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701"/>
  <workbookPr/>
  <mc:AlternateContent xmlns:mc="http://schemas.openxmlformats.org/markup-compatibility/2006">
    <mc:Choice Requires="x15">
      <x15ac:absPath xmlns:x15ac="http://schemas.microsoft.com/office/spreadsheetml/2010/11/ac" url="D:\دوره جامع تحلیل گر داده\1 -Excel\ارسالی\"/>
    </mc:Choice>
  </mc:AlternateContent>
  <xr:revisionPtr revIDLastSave="0" documentId="13_ncr:1_{161FC14E-5139-4AFD-BF57-0C906ABBA58D}" xr6:coauthVersionLast="47" xr6:coauthVersionMax="47" xr10:uidLastSave="{00000000-0000-0000-0000-000000000000}"/>
  <bookViews>
    <workbookView xWindow="-108" yWindow="-108" windowWidth="23256" windowHeight="12720" xr2:uid="{00000000-000D-0000-FFFF-FFFF00000000}"/>
  </bookViews>
  <sheets>
    <sheet name="Data Entry" sheetId="1" r:id="rId1"/>
    <sheet name="List of Data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2" i="1" l="1" a="1"/>
  <c r="M2" i="1"/>
  <c r="M3" i="1" a="1"/>
  <c r="M3" i="1" s="1"/>
  <c r="G2" i="1"/>
  <c r="G3" i="1"/>
  <c r="K3" i="1"/>
  <c r="K2" i="1"/>
  <c r="H2" i="2" a="1"/>
  <c r="H2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<sst xmlns="http://schemas.openxmlformats.org/spreadsheetml/2006/main" count="160" uniqueCount="136">
  <si>
    <t>0000000000</t>
  </si>
  <si>
    <t xml:space="preserve"> (First Name)نام</t>
  </si>
  <si>
    <t>نام‌خانوادگی (Last Name)</t>
  </si>
  <si>
    <t>شماره تماس (Phone Number)</t>
  </si>
  <si>
    <t>شماره ملی (National ID)</t>
  </si>
  <si>
    <t>جنیست (SEX)</t>
  </si>
  <si>
    <t>استان (Province)</t>
  </si>
  <si>
    <t>شهر (City)</t>
  </si>
  <si>
    <t>ماه تولد (Birth Month)</t>
  </si>
  <si>
    <t>روز سال (Birth Day)</t>
  </si>
  <si>
    <t>سال تولد (Birth Year)</t>
  </si>
  <si>
    <t xml:space="preserve">تاریخ تولد (Birth Date) </t>
  </si>
  <si>
    <t>SEX</t>
  </si>
  <si>
    <t>زن (Female)</t>
  </si>
  <si>
    <t>مرد (Male)</t>
  </si>
  <si>
    <t>Alborz</t>
  </si>
  <si>
    <t>البرز</t>
  </si>
  <si>
    <t>Ardabil</t>
  </si>
  <si>
    <t>اردبیل</t>
  </si>
  <si>
    <t>Bushehr</t>
  </si>
  <si>
    <t>بوشهر</t>
  </si>
  <si>
    <t>Chaharmahal and Bakhtiari</t>
  </si>
  <si>
    <t>چهارمحال و بختیاری</t>
  </si>
  <si>
    <t>East Azerbaijan</t>
  </si>
  <si>
    <t>آذربایجان شرقی</t>
  </si>
  <si>
    <t>West Azerbaijan</t>
  </si>
  <si>
    <t>آذربایجان غربی</t>
  </si>
  <si>
    <t>Fars</t>
  </si>
  <si>
    <t>فارس</t>
  </si>
  <si>
    <t>Gilan</t>
  </si>
  <si>
    <t>گیلان</t>
  </si>
  <si>
    <t>Golestan</t>
  </si>
  <si>
    <t>گلستان</t>
  </si>
  <si>
    <t>Hamadan</t>
  </si>
  <si>
    <t>همدان</t>
  </si>
  <si>
    <t>Hormozgan</t>
  </si>
  <si>
    <t>هرمزگان</t>
  </si>
  <si>
    <t>Ilam</t>
  </si>
  <si>
    <t>ایلام</t>
  </si>
  <si>
    <t>Isfahan</t>
  </si>
  <si>
    <t>اصفهان</t>
  </si>
  <si>
    <t>Kerman</t>
  </si>
  <si>
    <t>کرمان</t>
  </si>
  <si>
    <t>Kermanshah</t>
  </si>
  <si>
    <t>کرمانشاه</t>
  </si>
  <si>
    <t>Khuzestan</t>
  </si>
  <si>
    <t>خوزستان</t>
  </si>
  <si>
    <t>Kohgiluyeh and Boyer-Ahmad</t>
  </si>
  <si>
    <t>کهگیلویه و بویراحمد</t>
  </si>
  <si>
    <t>Kurdistan</t>
  </si>
  <si>
    <t>کردستان</t>
  </si>
  <si>
    <t>Lorestan</t>
  </si>
  <si>
    <t>لرستان</t>
  </si>
  <si>
    <t>Markazi</t>
  </si>
  <si>
    <t>مرکزی</t>
  </si>
  <si>
    <t>Mazandaran</t>
  </si>
  <si>
    <t>مازندران</t>
  </si>
  <si>
    <t>North Khorasan</t>
  </si>
  <si>
    <t>خراسان شمالی</t>
  </si>
  <si>
    <t>Razavi Khorasan</t>
  </si>
  <si>
    <t>خراسان رضوی</t>
  </si>
  <si>
    <t>South Khorasan</t>
  </si>
  <si>
    <t>خراسان جنوبی</t>
  </si>
  <si>
    <t>Qazvin</t>
  </si>
  <si>
    <t>قزوین</t>
  </si>
  <si>
    <t>Qom</t>
  </si>
  <si>
    <t>قم</t>
  </si>
  <si>
    <t>Semnan</t>
  </si>
  <si>
    <t>سمنان</t>
  </si>
  <si>
    <t>Sistan and Baluchestan</t>
  </si>
  <si>
    <t>سیستان و بلوچستان</t>
  </si>
  <si>
    <t>Tehran</t>
  </si>
  <si>
    <t>تهران</t>
  </si>
  <si>
    <t>Yazd</t>
  </si>
  <si>
    <t>یزد</t>
  </si>
  <si>
    <t>Persian</t>
  </si>
  <si>
    <t>English</t>
  </si>
  <si>
    <t>زنجان</t>
  </si>
  <si>
    <t>Zanjan</t>
  </si>
  <si>
    <t>Province</t>
  </si>
  <si>
    <t xml:space="preserve"> </t>
  </si>
  <si>
    <t>years</t>
  </si>
  <si>
    <t>Month</t>
  </si>
  <si>
    <t>فروردین</t>
  </si>
  <si>
    <t>اردیبهشت</t>
  </si>
  <si>
    <t>خرداد</t>
  </si>
  <si>
    <t>تیر</t>
  </si>
  <si>
    <t>مرداد</t>
  </si>
  <si>
    <t>شهریور</t>
  </si>
  <si>
    <t>مهر</t>
  </si>
  <si>
    <t xml:space="preserve">آبان </t>
  </si>
  <si>
    <t>آذر</t>
  </si>
  <si>
    <t>بهمن</t>
  </si>
  <si>
    <t>اسفند</t>
  </si>
  <si>
    <t>دی</t>
  </si>
  <si>
    <t>Name month</t>
  </si>
  <si>
    <t>name Month</t>
  </si>
  <si>
    <t>Day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</si>
  <si>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</si>
  <si>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</si>
  <si>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</si>
  <si>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</si>
  <si>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</si>
  <si>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</si>
  <si>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</si>
  <si>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</si>
  <si>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</si>
  <si>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</si>
  <si>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</si>
  <si>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</si>
  <si>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</si>
  <si>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</si>
  <si>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</si>
  <si>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</si>
  <si>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</si>
  <si>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</si>
  <si>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</si>
  <si>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</si>
  <si>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</si>
  <si>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</si>
  <si>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</si>
  <si>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</si>
  <si>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</si>
  <si>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</si>
  <si>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</si>
  <si>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</si>
  <si>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</si>
  <si>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</si>
  <si>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</si>
  <si>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09191111111</t>
  </si>
  <si>
    <t>در ستون‌های «نام»، «نام خانوادگی» و «نام شهر»، ورود هرگونه مقدار عددی (حتی به‌صورت متنی) به‌طور کامل غیرمجاز بوده و این ستون‌ها صرفاً باید شامل داده‌های متنی باشند.
همچنین ستون «نام استان به زبان انگلیسی» و ستون «نام ماه به زبان فارسی» صرفاً به‌منظور تمرین بیشتر، افزایش مهارت در ورود داده‌ها و همچنین زیباتر شدن ساختار فایل اضافه شده‌اند و جزو الزامات اصلی تمرین نمی‌باشند.</t>
  </si>
  <si>
    <t>احمدی روشن اصل</t>
  </si>
  <si>
    <t>محمد امین</t>
  </si>
  <si>
    <t>محمدی آهویی</t>
  </si>
  <si>
    <t>نازنین زهرا</t>
  </si>
  <si>
    <t>09000000000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</si>
</sst>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8">
    <border>
      <left/>
      <right/>
      <top/>
      <bottom/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/>
      <right style="thin">
        <color theme="4" tint="0.39997558519241921"/>
      </right>
      <top/>
      <bottom style="thin">
        <color theme="4" tint="0.3999755851924192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49" fontId="0" fillId="0" borderId="2" xfId="0" applyNumberFormat="1" applyBorder="1" applyAlignment="1">
      <alignment horizontal="center" vertical="center"/>
    </xf>
    <xf numFmtId="49" fontId="0" fillId="0" borderId="0" xfId="0" applyNumberFormat="1"/>
    <xf numFmtId="0" fontId="2" fillId="0" borderId="0" xfId="0" applyFont="1" applyAlignment="1">
      <alignment horizontal="center" vertical="center" wrapText="1"/>
    </xf>
    <xf numFmtId="0" fontId="0" fillId="3" borderId="1" xfId="0" applyFill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49" fontId="0" fillId="0" borderId="2" xfId="0" applyNumberFormat="1" applyBorder="1"/>
    <xf numFmtId="0" fontId="0" fillId="0" borderId="2" xfId="0" applyBorder="1"/>
    <xf numFmtId="49" fontId="1" fillId="2" borderId="2" xfId="0" applyNumberFormat="1" applyFont="1" applyFill="1" applyBorder="1" applyAlignment="1">
      <alignment horizontal="center" vertical="center" wrapText="1"/>
    </xf>
    <xf numFmtId="49" fontId="0" fillId="3" borderId="2" xfId="0" applyNumberFormat="1" applyFill="1" applyBorder="1" applyAlignment="1">
      <alignment horizontal="center" vertical="center" wrapText="1"/>
    </xf>
    <xf numFmtId="49" fontId="0" fillId="0" borderId="2" xfId="0" applyNumberFormat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0" fillId="3" borderId="2" xfId="0" applyFill="1" applyBorder="1" applyAlignment="1">
      <alignment vertical="center" wrapText="1"/>
    </xf>
    <xf numFmtId="0" fontId="0" fillId="0" borderId="2" xfId="0" applyBorder="1" applyAlignment="1">
      <alignment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0" fillId="3" borderId="7" xfId="0" applyFill="1" applyBorder="1" applyAlignment="1">
      <alignment vertical="center" wrapText="1"/>
    </xf>
    <xf numFmtId="49" fontId="0" fillId="0" borderId="5" xfId="0" applyNumberFormat="1" applyBorder="1" applyAlignment="1">
      <alignment horizontal="center" vertical="center"/>
    </xf>
    <xf numFmtId="49" fontId="0" fillId="0" borderId="3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2" xfId="0" applyNumberFormat="1" applyBorder="1" applyAlignment="1">
      <alignment horizontal="center" vertical="center"/>
    </xf>
    <xf numFmtId="0" fontId="0" fillId="0" borderId="4" xfId="0" applyNumberFormat="1" applyBorder="1" applyAlignment="1">
      <alignment horizontal="center" vertical="center"/>
    </xf>
    <xf numFmtId="0" fontId="0" fillId="0" borderId="2" xfId="0" applyNumberFormat="1" applyBorder="1"/>
    <xf numFmtId="0" fontId="0" fillId="0" borderId="0" xfId="0" applyNumberFormat="1"/>
  </cellXfs>
  <cellStyles count="1">
    <cellStyle name="Normal" xfId="0" builtinId="0"/>
  </cellStyles>
  <dxfs count="22">
    <dxf>
      <numFmt numFmtId="0" formatCode="General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0" formatCode="@"/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C176355-A1EE-489F-B34F-685B14B73CC8}" name="Table3" displayName="Table3" ref="A1:M3" totalsRowShown="0" headerRowDxfId="14" dataDxfId="13">
  <autoFilter ref="A1:M3" xr:uid="{AC176355-A1EE-489F-B34F-685B14B73CC8}"/>
  <tableColumns count="13">
    <tableColumn id="1" xr3:uid="{FE19ECA0-5C10-49EA-8DB0-68EF5D429BBB}" name=" (First Name)نام" dataDxfId="12"/>
    <tableColumn id="2" xr3:uid="{D13F2380-C268-462E-9214-7317D88BC6C3}" name="نام‌خانوادگی (Last Name)" dataDxfId="11"/>
    <tableColumn id="3" xr3:uid="{F9A337E2-3618-40CE-8431-6459796F56D1}" name="شماره تماس (Phone Number)" dataDxfId="10"/>
    <tableColumn id="4" xr3:uid="{82A086D4-627A-43A7-91A4-A720FB80AFD7}" name="شماره ملی (National ID)" dataDxfId="9"/>
    <tableColumn id="5" xr3:uid="{E3E00A8C-4649-47B8-8760-5E861981C28A}" name="جنیست (SEX)" dataDxfId="8"/>
    <tableColumn id="6" xr3:uid="{0032D9CA-71AD-47F7-AE2C-97A84495FF92}" name="استان (Province)" dataDxfId="7"/>
    <tableColumn id="13" xr3:uid="{2780E70F-316D-4866-8377-9E7D23397691}" name="Province" dataDxfId="6">
      <calculatedColumnFormula>IF(Table3[[#This Row],[استان (Province)]]="","",_xlfn.XLOOKUP(Table3[[#This Row],[استان (Province)]],'List of Data'!D:D,'List of Data'!E:E,""))</calculatedColumnFormula>
    </tableColumn>
    <tableColumn id="7" xr3:uid="{F13E20A7-4EBA-4208-8D88-CA60388E9A73}" name="شهر (City)" dataDxfId="5"/>
    <tableColumn id="8" xr3:uid="{694B74AD-6328-43AB-BE1D-DF92491202E3}" name="سال تولد (Birth Year)" dataDxfId="4"/>
    <tableColumn id="9" xr3:uid="{D9D24A67-5C05-43BA-AAB2-5E34AE023856}" name="ماه تولد (Birth Month)" dataDxfId="3"/>
    <tableColumn id="14" xr3:uid="{C901A2B6-A181-4455-B2C5-43FCCDBDA304}" name="name Month" dataDxfId="2">
      <calculatedColumnFormula>IF(Table3[[#This Row],[ماه تولد (Birth Month)]]="","",_xlfn.XLOOKUP(Table3[[#This Row],[ماه تولد (Birth Month)]],'List of Data'!J2:J13,'List of Data'!K2:K13))</calculatedColumnFormula>
    </tableColumn>
    <tableColumn id="10" xr3:uid="{D2F7DD52-CD2D-44FA-AA78-3FE701D30A4B}" name="روز سال (Birth Day)" dataDxfId="1"/>
    <tableColumn id="11" xr3:uid="{51A6F6ED-A176-4CC6-802C-DC3F14CA90BC}" name="تاریخ تولد (Birth Date) " dataDxfId="0">
      <calculatedColumnFormula array="1">_xlfn.IFS(
AND(J2&lt;&gt;"",I2&lt;&gt;"",L2&lt;&gt;""),
_xlfn.TEXTJOIN("/",TRUE,I2,J2,L2),
TRUE,""
)</calculatedColumnFormula>
    </tableColumn>
  </tableColumns>
  <tableStyleInfo name="TableStyleLight1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1FF0A99-518A-49B4-93D4-0CCBDED0D234}" name="Sex" displayName="Sex" ref="A1:A3" totalsRowShown="0" headerRowDxfId="21" dataDxfId="20">
  <autoFilter ref="A1:A3" xr:uid="{A1FF0A99-518A-49B4-93D4-0CCBDED0D234}"/>
  <tableColumns count="1">
    <tableColumn id="1" xr3:uid="{A91014AF-4426-485A-A068-BFF8D029809B}" name="SEX" dataDxfId="19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2176C16F-B2D7-4D27-A8D9-014C8169DD61}" name="Table6" displayName="Table6" ref="D1:E33" totalsRowShown="0" headerRowDxfId="18" dataDxfId="17">
  <autoFilter ref="D1:E33" xr:uid="{2176C16F-B2D7-4D27-A8D9-014C8169DD61}"/>
  <tableColumns count="2">
    <tableColumn id="1" xr3:uid="{C65136C8-313E-4BBF-981D-8B5E7A06F5FE}" name="Persian" dataDxfId="16"/>
    <tableColumn id="2" xr3:uid="{A232EF31-22E3-4D0A-A7A6-8173ABA96AFD}" name="English" dataDxfId="15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0"/>
  <sheetViews>
    <sheetView tabSelected="1" topLeftCell="G1" zoomScaleNormal="100" workbookViewId="0">
      <selection activeCell="M3" sqref="M3"/>
    </sheetView>
  </sheetViews>
  <sheetFormatPr defaultRowHeight="14.4" x14ac:dyDescent="0.3"/>
  <cols>
    <col min="1" max="1" width="14.88671875" style="5" customWidth="1"/>
    <col min="2" max="2" width="17.44140625" style="5" customWidth="1"/>
    <col min="3" max="3" width="19.77734375" style="5" customWidth="1"/>
    <col min="4" max="4" width="15.44140625" customWidth="1"/>
    <col min="5" max="5" width="11.88671875" customWidth="1"/>
    <col min="6" max="6" width="22.6640625" customWidth="1"/>
    <col min="7" max="7" width="16.44140625" customWidth="1"/>
    <col min="8" max="8" width="13.5546875" style="5" bestFit="1" customWidth="1"/>
    <col min="9" max="9" width="13.88671875" customWidth="1"/>
    <col min="10" max="10" width="21.5546875" customWidth="1"/>
    <col min="11" max="11" width="6.88671875" customWidth="1"/>
    <col min="12" max="12" width="15.44140625" customWidth="1"/>
    <col min="13" max="13" width="17.88671875" style="26" customWidth="1"/>
  </cols>
  <sheetData>
    <row r="1" spans="1:23" x14ac:dyDescent="0.3">
      <c r="A1" s="4" t="s">
        <v>1</v>
      </c>
      <c r="B1" s="4" t="s">
        <v>2</v>
      </c>
      <c r="C1" s="4" t="s">
        <v>3</v>
      </c>
      <c r="D1" s="2" t="s">
        <v>4</v>
      </c>
      <c r="E1" s="2" t="s">
        <v>5</v>
      </c>
      <c r="F1" s="2" t="s">
        <v>6</v>
      </c>
      <c r="G1" s="2" t="s">
        <v>79</v>
      </c>
      <c r="H1" s="4" t="s">
        <v>7</v>
      </c>
      <c r="I1" s="2" t="s">
        <v>10</v>
      </c>
      <c r="J1" s="2" t="s">
        <v>8</v>
      </c>
      <c r="K1" s="2" t="s">
        <v>96</v>
      </c>
      <c r="L1" s="2" t="s">
        <v>9</v>
      </c>
      <c r="M1" s="23" t="s">
        <v>11</v>
      </c>
      <c r="N1" s="21" t="s">
        <v>130</v>
      </c>
      <c r="O1" s="22"/>
      <c r="P1" s="22"/>
      <c r="Q1" s="22"/>
      <c r="R1" s="22"/>
      <c r="S1" s="22"/>
      <c r="T1" s="22"/>
      <c r="U1" s="22"/>
      <c r="V1" s="22"/>
      <c r="W1" s="22"/>
    </row>
    <row r="2" spans="1:23" x14ac:dyDescent="0.3">
      <c r="A2" s="4" t="s">
        <v>132</v>
      </c>
      <c r="B2" s="4" t="s">
        <v>133</v>
      </c>
      <c r="C2" s="4" t="s">
        <v>129</v>
      </c>
      <c r="D2" s="4" t="s">
        <v>0</v>
      </c>
      <c r="E2" s="2" t="s">
        <v>14</v>
      </c>
      <c r="F2" s="2" t="s">
        <v>72</v>
      </c>
      <c r="G2" s="2" t="str">
        <f>IF(Table3[[#This Row],[استان (Province)]]="","",_xlfn.XLOOKUP(Table3[[#This Row],[استان (Province)]],'List of Data'!D:D,'List of Data'!E:E,""))</f>
        <v>Tehran</v>
      </c>
      <c r="H2" s="4" t="s">
        <v>72</v>
      </c>
      <c r="I2" s="2">
        <v>1378</v>
      </c>
      <c r="J2" s="2" t="s">
        <v>108</v>
      </c>
      <c r="K2" s="2" t="str">
        <f>IF(Table3[[#This Row],[ماه تولد (Birth Month)]]="","",_xlfn.XLOOKUP(Table3[[#This Row],[ماه تولد (Birth Month)]],'List of Data'!J2:J13,'List of Data'!K2:K13))</f>
        <v>بهمن</v>
      </c>
      <c r="L2" s="2" t="s">
        <v>116</v>
      </c>
      <c r="M2" s="23" t="str" cm="1">
        <f t="array" ref="M2">_xlfn.IFS(
AND(J2&lt;&gt;"",I2&lt;&gt;"",L2&lt;&gt;""),
_xlfn.TEXTJOIN("/",TRUE,I2,J2,L2),
TRUE,""
)</f>
        <v>1378/11/19</v>
      </c>
      <c r="N2" s="22"/>
      <c r="O2" s="22"/>
      <c r="P2" s="22"/>
      <c r="Q2" s="22"/>
      <c r="R2" s="22"/>
      <c r="S2" s="22"/>
      <c r="T2" s="22"/>
      <c r="U2" s="22"/>
      <c r="V2" s="22"/>
      <c r="W2" s="22"/>
    </row>
    <row r="3" spans="1:23" x14ac:dyDescent="0.3">
      <c r="A3" s="19" t="s">
        <v>134</v>
      </c>
      <c r="B3" s="20" t="s">
        <v>131</v>
      </c>
      <c r="C3" s="20" t="s">
        <v>135</v>
      </c>
      <c r="D3" s="20" t="s">
        <v>0</v>
      </c>
      <c r="E3" s="3" t="s">
        <v>13</v>
      </c>
      <c r="F3" s="3" t="s">
        <v>72</v>
      </c>
      <c r="G3" s="3" t="str">
        <f>IF(Table3[[#This Row],[استان (Province)]]="","",_xlfn.XLOOKUP(Table3[[#This Row],[استان (Province)]],'List of Data'!D:D,'List of Data'!E:E,""))</f>
        <v>Tehran</v>
      </c>
      <c r="H3" s="20" t="s">
        <v>72</v>
      </c>
      <c r="I3" s="3">
        <v>1382</v>
      </c>
      <c r="J3" s="3" t="s">
        <v>105</v>
      </c>
      <c r="K3" s="3" t="str">
        <f>IF(Table3[[#This Row],[ماه تولد (Birth Month)]]="","",_xlfn.XLOOKUP(Table3[[#This Row],[ماه تولد (Birth Month)]],'List of Data'!J3:J14,'List of Data'!K3:K14))</f>
        <v xml:space="preserve">آبان </v>
      </c>
      <c r="L3" s="3" t="s">
        <v>100</v>
      </c>
      <c r="M3" s="24" t="str" cm="1">
        <f t="array" ref="M3">_xlfn.IFS(
AND(J3&lt;&gt;"",I3&lt;&gt;"",L3&lt;&gt;""),
_xlfn.TEXTJOIN("/",TRUE,I3,J3,L3),
TRUE,""
)</f>
        <v>1382/08/03</v>
      </c>
      <c r="N3" s="22"/>
      <c r="O3" s="22"/>
      <c r="P3" s="22"/>
      <c r="Q3" s="22"/>
      <c r="R3" s="22"/>
      <c r="S3" s="22"/>
      <c r="T3" s="22"/>
      <c r="U3" s="22"/>
      <c r="V3" s="22"/>
      <c r="W3" s="22"/>
    </row>
    <row r="4" spans="1:23" x14ac:dyDescent="0.3">
      <c r="A4" s="9"/>
      <c r="B4" s="9"/>
      <c r="C4" s="9"/>
      <c r="D4" s="9"/>
      <c r="E4" s="10"/>
      <c r="F4" s="10"/>
      <c r="G4" s="10"/>
      <c r="H4" s="9"/>
      <c r="I4" s="10"/>
      <c r="J4" s="10"/>
      <c r="K4" s="10"/>
      <c r="L4" s="10"/>
      <c r="M4" s="25"/>
      <c r="N4" s="22"/>
      <c r="O4" s="22"/>
      <c r="P4" s="22"/>
      <c r="Q4" s="22"/>
      <c r="R4" s="22"/>
      <c r="S4" s="22"/>
      <c r="T4" s="22"/>
      <c r="U4" s="22"/>
      <c r="V4" s="22"/>
      <c r="W4" s="22"/>
    </row>
    <row r="5" spans="1:23" x14ac:dyDescent="0.3">
      <c r="A5" s="9"/>
      <c r="B5" s="9"/>
      <c r="C5" s="9"/>
      <c r="D5" s="10"/>
      <c r="E5" s="10"/>
      <c r="F5" s="10"/>
      <c r="G5" s="10"/>
      <c r="H5" s="9"/>
      <c r="I5" s="10"/>
      <c r="J5" s="10"/>
      <c r="K5" s="10"/>
      <c r="L5" s="10"/>
      <c r="M5" s="25"/>
      <c r="N5" s="22"/>
      <c r="O5" s="22"/>
      <c r="P5" s="22"/>
      <c r="Q5" s="22"/>
      <c r="R5" s="22"/>
      <c r="S5" s="22"/>
      <c r="T5" s="22"/>
      <c r="U5" s="22"/>
      <c r="V5" s="22"/>
      <c r="W5" s="22"/>
    </row>
    <row r="6" spans="1:23" x14ac:dyDescent="0.3">
      <c r="A6" s="9"/>
      <c r="B6" s="9"/>
      <c r="C6" s="9"/>
      <c r="D6" s="10"/>
      <c r="E6" s="10"/>
      <c r="F6" s="10"/>
      <c r="G6" s="10"/>
      <c r="H6" s="9"/>
      <c r="I6" s="10"/>
      <c r="J6" s="10"/>
      <c r="K6" s="10"/>
      <c r="L6" s="10"/>
      <c r="M6" s="25"/>
      <c r="N6" s="22"/>
      <c r="O6" s="22"/>
      <c r="P6" s="22"/>
      <c r="Q6" s="22"/>
      <c r="R6" s="22"/>
      <c r="S6" s="22"/>
      <c r="T6" s="22"/>
      <c r="U6" s="22"/>
      <c r="V6" s="22"/>
      <c r="W6" s="22"/>
    </row>
    <row r="7" spans="1:23" x14ac:dyDescent="0.3">
      <c r="A7" s="9"/>
      <c r="B7" s="9"/>
      <c r="C7" s="9"/>
      <c r="D7" s="10"/>
      <c r="E7" s="10"/>
      <c r="F7" s="10"/>
      <c r="G7" s="10"/>
      <c r="H7" s="9"/>
      <c r="I7" s="10"/>
      <c r="J7" s="10"/>
      <c r="K7" s="10"/>
      <c r="L7" s="10"/>
      <c r="M7" s="25"/>
      <c r="N7" s="22"/>
      <c r="O7" s="22"/>
      <c r="P7" s="22"/>
      <c r="Q7" s="22"/>
      <c r="R7" s="22"/>
      <c r="S7" s="22"/>
      <c r="T7" s="22"/>
      <c r="U7" s="22"/>
      <c r="V7" s="22"/>
      <c r="W7" s="22"/>
    </row>
    <row r="8" spans="1:23" x14ac:dyDescent="0.3">
      <c r="A8" s="9"/>
      <c r="B8" s="9"/>
      <c r="C8" s="9"/>
      <c r="D8" s="10"/>
      <c r="E8" s="10"/>
      <c r="F8" s="10"/>
      <c r="G8" s="10"/>
      <c r="H8" s="9"/>
      <c r="I8" s="10"/>
      <c r="J8" s="10"/>
      <c r="K8" s="10"/>
      <c r="L8" s="10"/>
      <c r="M8" s="25"/>
      <c r="N8" s="22"/>
      <c r="O8" s="22"/>
      <c r="P8" s="22"/>
      <c r="Q8" s="22"/>
      <c r="R8" s="22"/>
      <c r="S8" s="22"/>
      <c r="T8" s="22"/>
      <c r="U8" s="22"/>
      <c r="V8" s="22"/>
      <c r="W8" s="22"/>
    </row>
    <row r="9" spans="1:23" x14ac:dyDescent="0.3">
      <c r="A9" s="9"/>
      <c r="B9" s="9"/>
      <c r="C9" s="9"/>
      <c r="D9" s="10"/>
      <c r="E9" s="10"/>
      <c r="F9" s="10"/>
      <c r="G9" s="10"/>
      <c r="H9" s="9"/>
      <c r="I9" s="10"/>
      <c r="J9" s="10"/>
      <c r="K9" s="10"/>
      <c r="L9" s="10"/>
      <c r="M9" s="25"/>
      <c r="N9" s="22"/>
      <c r="O9" s="22"/>
      <c r="P9" s="22"/>
      <c r="Q9" s="22"/>
      <c r="R9" s="22"/>
      <c r="S9" s="22"/>
      <c r="T9" s="22"/>
      <c r="U9" s="22"/>
      <c r="V9" s="22"/>
      <c r="W9" s="22"/>
    </row>
    <row r="10" spans="1:23" x14ac:dyDescent="0.3">
      <c r="A10" s="9"/>
      <c r="B10" s="9"/>
      <c r="C10" s="9"/>
      <c r="D10" s="10"/>
      <c r="E10" s="10"/>
      <c r="F10" s="10"/>
      <c r="G10" s="10"/>
      <c r="H10" s="9"/>
      <c r="I10" s="10"/>
      <c r="J10" s="10"/>
      <c r="K10" s="10"/>
      <c r="L10" s="10"/>
      <c r="M10" s="25"/>
      <c r="N10" s="22"/>
      <c r="O10" s="22"/>
      <c r="P10" s="22"/>
      <c r="Q10" s="22"/>
      <c r="R10" s="22"/>
      <c r="S10" s="22"/>
      <c r="T10" s="22"/>
      <c r="U10" s="22"/>
      <c r="V10" s="22"/>
      <c r="W10" s="22"/>
    </row>
  </sheetData>
  <mergeCells count="1">
    <mergeCell ref="N1:W10"/>
  </mergeCells>
  <dataValidations count="9">
    <dataValidation type="custom" allowBlank="1" showInputMessage="1" showErrorMessage="1" sqref="A1 A5:A1048576 A3" xr:uid="{E33C7B4B-F9F9-44DE-A0D9-CF9D9E42C12C}">
      <formula1>AND(LEN(A1)&lt;=20,LEN(A1)&gt;2,ISTEXT(A1),A1=SUBSTITUTE(SUBSTITUTE(SUBSTITUTE(SUBSTITUTE(SUBSTITUTE(SUBSTITUTE(SUBSTITUTE(SUBSTITUTE(SUBSTITUTE(SUBSTITUTE(A1,"0",""),"1",""),"2",""),"3",""),"4",""),"5",""),"6",""),"7",""),"8",""),"9",""))</formula1>
    </dataValidation>
    <dataValidation type="custom" allowBlank="1" showInputMessage="1" showErrorMessage="1" sqref="B5:B1048576" xr:uid="{EDDC0D65-DAED-4835-99E6-AAC6AFB6733A}">
      <formula1>AND(LEN(B5)&lt;=30,LEN(B5)&gt;2,ISTEXT(B5),B5=SUBSTITUTE(SUBSTITUTE(SUBSTITUTE(SUBSTITUTE(SUBSTITUTE(SUBSTITUTE(SUBSTITUTE(SUBSTITUTE(SUBSTITUTE(SUBSTITUTE(B5,"0",""),"1",""),"2",""),"3",""),"4",""),"5",""),"6",""),"7",""),"8",""),"9",""))</formula1>
    </dataValidation>
    <dataValidation type="custom" showInputMessage="1" showErrorMessage="1" error="Your name must be between 2 and 20 characters long and must not contain numbers." prompt="Enter your name without numbers." sqref="A2" xr:uid="{CF42FD3D-A5C4-4CC7-A7CD-A09D0880185C}">
      <formula1>AND(LEN(A2)&lt;=20,LEN(A2)&gt;=2,ISTEXT(A2),A2=SUBSTITUTE(SUBSTITUTE(SUBSTITUTE(SUBSTITUTE(SUBSTITUTE(SUBSTITUTE(SUBSTITUTE(SUBSTITUTE(SUBSTITUTE(SUBSTITUTE(A2,"0",""),"1",""),"2",""),"3",""),"4",""),"5",""),"6",""),"7",""),"8",""),"9",""))</formula1>
    </dataValidation>
    <dataValidation type="custom" showInputMessage="1" showErrorMessage="1" error="Your name must be between 2 and 30 characters long and must not contain numbers." prompt="Enter your family name without numbers." sqref="B2:B3" xr:uid="{B2F3BDD1-3EFD-400B-9CFB-A1A77014D6CB}">
      <formula1>AND(LEN(B2)&lt;=30,LEN(B2)&gt;=2,ISTEXT(B2),B2=SUBSTITUTE(SUBSTITUTE(SUBSTITUTE(SUBSTITUTE(SUBSTITUTE(SUBSTITUTE(SUBSTITUTE(SUBSTITUTE(SUBSTITUTE(SUBSTITUTE(B2,"0",""),"1",""),"2",""),"3",""),"4",""),"5",""),"6",""),"7",""),"8",""),"9",""))</formula1>
    </dataValidation>
    <dataValidation type="custom" showInputMessage="1" showErrorMessage="1" error="“The number must start with 09.”" prompt="“The number must start with 09.”" sqref="C2:C3" xr:uid="{74383806-69DD-4CB4-AC3D-4D55149C39C9}">
      <formula1>AND(LEN(C2)=11,LEFT(C2,2)="09",ISNUMBER(--C2))</formula1>
    </dataValidation>
    <dataValidation type="textLength" operator="equal" showInputMessage="1" showErrorMessage="1" error="The national ID must be 10 digits long." prompt="The national ID must be 10 digits long." sqref="D2:D3" xr:uid="{F837FD47-63AC-4E15-B0AB-7AE01B7DB652}">
      <formula1>10</formula1>
    </dataValidation>
    <dataValidation type="custom" allowBlank="1" showInputMessage="1" showErrorMessage="1" sqref="G2:G3" xr:uid="{A43C3AF4-03AC-4888-B9CD-0E825A0A4538}">
      <formula1>FALSE</formula1>
    </dataValidation>
    <dataValidation type="custom" allowBlank="1" showInputMessage="1" showErrorMessage="1" error="The city must be less than 30 characters and contain no numbers." sqref="H2:H3" xr:uid="{C4E9259B-B18B-4E72-95F7-46E86FBE6509}">
      <formula1>AND(LEN(H2)&lt;=30,ISTEXT(H2),H2=SUBSTITUTE(SUBSTITUTE(SUBSTITUTE(SUBSTITUTE(SUBSTITUTE(SUBSTITUTE(SUBSTITUTE(SUBSTITUTE(SUBSTITUTE(SUBSTITUTE(H2,"0",""),"1",""),"2",""),"3",""),"4",""),"5",""),"6",""),"7",""),"8",""),"9",""))</formula1>
    </dataValidation>
    <dataValidation showInputMessage="1" showErrorMessage="1" sqref="K2:K3" xr:uid="{733E6C5D-9953-4C6E-9AF3-CACB89BBD557}"/>
  </dataValidations>
  <pageMargins left="0.7" right="0.7" top="0.75" bottom="0.75" header="0.3" footer="0.3"/>
  <pageSetup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showInputMessage="1" showErrorMessage="1" xr:uid="{DF233BF3-7638-4A9F-BDCC-4839C2711FE5}">
          <x14:formula1>
            <xm:f>'List of Data'!$A$2:$A$3</xm:f>
          </x14:formula1>
          <xm:sqref>E2:E3</xm:sqref>
        </x14:dataValidation>
        <x14:dataValidation type="list" allowBlank="1" showInputMessage="1" showErrorMessage="1" prompt="Please select and enter the province from the list." xr:uid="{34FB7E7F-F6F1-419F-8D58-376DD74B9C8E}">
          <x14:formula1>
            <xm:f>'List of Data'!$D$2:$D$32</xm:f>
          </x14:formula1>
          <xm:sqref>F2:F3</xm:sqref>
        </x14:dataValidation>
        <x14:dataValidation type="list" allowBlank="1" showInputMessage="1" showErrorMessage="1" xr:uid="{0130BA0D-829C-41CD-9E06-97DE61C20C9B}">
          <x14:formula1>
            <xm:f>'List of Data'!$J$2:$J$13</xm:f>
          </x14:formula1>
          <xm:sqref>J2:J3</xm:sqref>
        </x14:dataValidation>
        <x14:dataValidation type="list" allowBlank="1" showInputMessage="1" showErrorMessage="1" xr:uid="{522BE7C5-3F91-4FC1-A4EC-EF333A1AEE73}">
          <x14:formula1>
            <xm:f>'List of Data'!$M$2:$M$32</xm:f>
          </x14:formula1>
          <xm:sqref>L2:L3</xm:sqref>
        </x14:dataValidation>
        <x14:dataValidation type="list" allowBlank="1" showInputMessage="1" showErrorMessage="1" xr:uid="{6F785357-4381-4EC3-8BFD-9C3CD2DB9E32}">
          <x14:formula1>
            <xm:f>'List of Data'!$H$2:$H$107</xm:f>
          </x14:formula1>
          <xm:sqref>I2:I3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7B4C8A-7B43-41F2-820A-A0E3B8552165}">
  <dimension ref="A1:M213"/>
  <sheetViews>
    <sheetView topLeftCell="A81" workbookViewId="0">
      <selection activeCell="M6" sqref="M6"/>
    </sheetView>
  </sheetViews>
  <sheetFormatPr defaultRowHeight="14.4" x14ac:dyDescent="0.3"/>
  <cols>
    <col min="1" max="1" width="10.21875" bestFit="1" customWidth="1"/>
    <col min="4" max="4" width="20.77734375" customWidth="1"/>
    <col min="5" max="5" width="23.5546875" customWidth="1"/>
    <col min="11" max="11" width="13" customWidth="1"/>
    <col min="12" max="12" width="11.109375" customWidth="1"/>
  </cols>
  <sheetData>
    <row r="1" spans="1:13" ht="22.2" customHeight="1" x14ac:dyDescent="0.3">
      <c r="A1" s="1" t="s">
        <v>12</v>
      </c>
      <c r="D1" s="6" t="s">
        <v>75</v>
      </c>
      <c r="E1" s="6" t="s">
        <v>76</v>
      </c>
      <c r="H1" s="17" t="s">
        <v>81</v>
      </c>
      <c r="J1" s="14" t="s">
        <v>82</v>
      </c>
      <c r="K1" s="14" t="s">
        <v>95</v>
      </c>
      <c r="M1" s="11" t="s">
        <v>97</v>
      </c>
    </row>
    <row r="2" spans="1:13" ht="22.2" customHeight="1" x14ac:dyDescent="0.3">
      <c r="A2" s="2" t="s">
        <v>14</v>
      </c>
      <c r="D2" s="16" t="s">
        <v>24</v>
      </c>
      <c r="E2" s="16" t="s">
        <v>23</v>
      </c>
      <c r="H2" s="15" cm="1">
        <f t="array" aca="1" ref="H2:H107" ca="1">_xlfn.SEQUENCE(YEAR(TODAY())-621-1300+1,1,1300,1)</f>
        <v>1300</v>
      </c>
      <c r="J2" s="12" t="s">
        <v>98</v>
      </c>
      <c r="K2" s="15" t="s">
        <v>83</v>
      </c>
      <c r="M2" s="12" t="s">
        <v>98</v>
      </c>
    </row>
    <row r="3" spans="1:13" ht="14.4" customHeight="1" x14ac:dyDescent="0.3">
      <c r="A3" s="2" t="s">
        <v>13</v>
      </c>
      <c r="D3" s="16" t="s">
        <v>26</v>
      </c>
      <c r="E3" s="16" t="s">
        <v>25</v>
      </c>
      <c r="H3" s="16">
        <f ca="1"/>
        <v>1301</v>
      </c>
      <c r="J3" s="13" t="s">
        <v>99</v>
      </c>
      <c r="K3" s="16" t="s">
        <v>84</v>
      </c>
      <c r="M3" s="13" t="s">
        <v>99</v>
      </c>
    </row>
    <row r="4" spans="1:13" x14ac:dyDescent="0.3">
      <c r="D4" s="16" t="s">
        <v>18</v>
      </c>
      <c r="E4" s="16" t="s">
        <v>17</v>
      </c>
      <c r="H4" s="15">
        <f ca="1"/>
        <v>1302</v>
      </c>
      <c r="J4" s="12" t="s">
        <v>100</v>
      </c>
      <c r="K4" s="15" t="s">
        <v>85</v>
      </c>
      <c r="M4" s="12" t="s">
        <v>100</v>
      </c>
    </row>
    <row r="5" spans="1:13" x14ac:dyDescent="0.3">
      <c r="D5" s="16" t="s">
        <v>40</v>
      </c>
      <c r="E5" s="16" t="s">
        <v>39</v>
      </c>
      <c r="H5" s="16">
        <f ca="1"/>
        <v>1303</v>
      </c>
      <c r="J5" s="12" t="s">
        <v>101</v>
      </c>
      <c r="K5" s="16" t="s">
        <v>86</v>
      </c>
      <c r="M5" s="12" t="s">
        <v>101</v>
      </c>
    </row>
    <row r="6" spans="1:13" x14ac:dyDescent="0.3">
      <c r="D6" s="16" t="s">
        <v>16</v>
      </c>
      <c r="E6" s="16" t="s">
        <v>15</v>
      </c>
      <c r="H6" s="15">
        <f ca="1"/>
        <v>1304</v>
      </c>
      <c r="J6" s="13" t="s">
        <v>102</v>
      </c>
      <c r="K6" s="15" t="s">
        <v>87</v>
      </c>
      <c r="M6" s="13" t="s">
        <v>102</v>
      </c>
    </row>
    <row r="7" spans="1:13" x14ac:dyDescent="0.3">
      <c r="D7" s="16" t="s">
        <v>38</v>
      </c>
      <c r="E7" s="16" t="s">
        <v>37</v>
      </c>
      <c r="H7" s="16">
        <f ca="1"/>
        <v>1305</v>
      </c>
      <c r="J7" s="12" t="s">
        <v>103</v>
      </c>
      <c r="K7" s="15" t="s">
        <v>88</v>
      </c>
      <c r="M7" s="12" t="s">
        <v>103</v>
      </c>
    </row>
    <row r="8" spans="1:13" x14ac:dyDescent="0.3">
      <c r="D8" s="16" t="s">
        <v>20</v>
      </c>
      <c r="E8" s="16" t="s">
        <v>19</v>
      </c>
      <c r="H8" s="15">
        <f ca="1"/>
        <v>1306</v>
      </c>
      <c r="J8" s="12" t="s">
        <v>104</v>
      </c>
      <c r="K8" s="16" t="s">
        <v>89</v>
      </c>
      <c r="M8" s="12" t="s">
        <v>104</v>
      </c>
    </row>
    <row r="9" spans="1:13" x14ac:dyDescent="0.3">
      <c r="D9" s="16" t="s">
        <v>72</v>
      </c>
      <c r="E9" s="16" t="s">
        <v>71</v>
      </c>
      <c r="H9" s="16">
        <f ca="1"/>
        <v>1307</v>
      </c>
      <c r="J9" s="13" t="s">
        <v>105</v>
      </c>
      <c r="K9" s="15" t="s">
        <v>90</v>
      </c>
      <c r="M9" s="13" t="s">
        <v>105</v>
      </c>
    </row>
    <row r="10" spans="1:13" x14ac:dyDescent="0.3">
      <c r="D10" s="16" t="s">
        <v>22</v>
      </c>
      <c r="E10" s="16" t="s">
        <v>21</v>
      </c>
      <c r="H10" s="15">
        <f ca="1"/>
        <v>1308</v>
      </c>
      <c r="J10" s="12" t="s">
        <v>106</v>
      </c>
      <c r="K10" s="16" t="s">
        <v>91</v>
      </c>
      <c r="M10" s="12" t="s">
        <v>106</v>
      </c>
    </row>
    <row r="11" spans="1:13" x14ac:dyDescent="0.3">
      <c r="D11" s="16" t="s">
        <v>62</v>
      </c>
      <c r="E11" s="16" t="s">
        <v>61</v>
      </c>
      <c r="H11" s="16">
        <f ca="1"/>
        <v>1309</v>
      </c>
      <c r="J11" s="12" t="s">
        <v>107</v>
      </c>
      <c r="K11" s="15" t="s">
        <v>94</v>
      </c>
      <c r="M11" s="12" t="s">
        <v>107</v>
      </c>
    </row>
    <row r="12" spans="1:13" x14ac:dyDescent="0.3">
      <c r="D12" s="16" t="s">
        <v>60</v>
      </c>
      <c r="E12" s="16" t="s">
        <v>59</v>
      </c>
      <c r="H12" s="15">
        <f ca="1"/>
        <v>1310</v>
      </c>
      <c r="J12" s="13" t="s">
        <v>108</v>
      </c>
      <c r="K12" s="15" t="s">
        <v>92</v>
      </c>
      <c r="M12" s="13" t="s">
        <v>108</v>
      </c>
    </row>
    <row r="13" spans="1:13" x14ac:dyDescent="0.3">
      <c r="D13" s="16" t="s">
        <v>58</v>
      </c>
      <c r="E13" s="16" t="s">
        <v>57</v>
      </c>
      <c r="H13" s="16">
        <f ca="1"/>
        <v>1311</v>
      </c>
      <c r="J13" s="12" t="s">
        <v>109</v>
      </c>
      <c r="K13" s="16" t="s">
        <v>93</v>
      </c>
      <c r="M13" s="12" t="s">
        <v>109</v>
      </c>
    </row>
    <row r="14" spans="1:13" x14ac:dyDescent="0.3">
      <c r="D14" s="16" t="s">
        <v>46</v>
      </c>
      <c r="E14" s="16" t="s">
        <v>45</v>
      </c>
      <c r="H14" s="15">
        <f ca="1"/>
        <v>1312</v>
      </c>
      <c r="M14" s="12" t="s">
        <v>110</v>
      </c>
    </row>
    <row r="15" spans="1:13" x14ac:dyDescent="0.3">
      <c r="D15" s="16" t="s">
        <v>77</v>
      </c>
      <c r="E15" s="16" t="s">
        <v>78</v>
      </c>
      <c r="H15" s="16">
        <f ca="1"/>
        <v>1313</v>
      </c>
      <c r="M15" s="13" t="s">
        <v>111</v>
      </c>
    </row>
    <row r="16" spans="1:13" x14ac:dyDescent="0.3">
      <c r="D16" s="16" t="s">
        <v>68</v>
      </c>
      <c r="E16" s="16" t="s">
        <v>67</v>
      </c>
      <c r="H16" s="15">
        <f ca="1"/>
        <v>1314</v>
      </c>
      <c r="M16" s="12" t="s">
        <v>112</v>
      </c>
    </row>
    <row r="17" spans="4:13" ht="21" customHeight="1" x14ac:dyDescent="0.3">
      <c r="D17" s="16" t="s">
        <v>70</v>
      </c>
      <c r="E17" s="16" t="s">
        <v>69</v>
      </c>
      <c r="H17" s="16">
        <f ca="1"/>
        <v>1315</v>
      </c>
      <c r="M17" s="12" t="s">
        <v>113</v>
      </c>
    </row>
    <row r="18" spans="4:13" x14ac:dyDescent="0.3">
      <c r="D18" s="16" t="s">
        <v>28</v>
      </c>
      <c r="E18" s="16" t="s">
        <v>27</v>
      </c>
      <c r="H18" s="15">
        <f ca="1"/>
        <v>1316</v>
      </c>
      <c r="M18" s="13" t="s">
        <v>114</v>
      </c>
    </row>
    <row r="19" spans="4:13" x14ac:dyDescent="0.3">
      <c r="D19" s="16" t="s">
        <v>64</v>
      </c>
      <c r="E19" s="16" t="s">
        <v>63</v>
      </c>
      <c r="H19" s="16">
        <f ca="1"/>
        <v>1317</v>
      </c>
      <c r="M19" s="12" t="s">
        <v>115</v>
      </c>
    </row>
    <row r="20" spans="4:13" x14ac:dyDescent="0.3">
      <c r="D20" s="16" t="s">
        <v>66</v>
      </c>
      <c r="E20" s="16" t="s">
        <v>65</v>
      </c>
      <c r="H20" s="15">
        <f ca="1"/>
        <v>1318</v>
      </c>
      <c r="M20" s="12" t="s">
        <v>116</v>
      </c>
    </row>
    <row r="21" spans="4:13" x14ac:dyDescent="0.3">
      <c r="D21" s="16" t="s">
        <v>50</v>
      </c>
      <c r="E21" s="16" t="s">
        <v>49</v>
      </c>
      <c r="H21" s="16">
        <f ca="1"/>
        <v>1319</v>
      </c>
      <c r="M21" s="13" t="s">
        <v>117</v>
      </c>
    </row>
    <row r="22" spans="4:13" x14ac:dyDescent="0.3">
      <c r="D22" s="16" t="s">
        <v>42</v>
      </c>
      <c r="E22" s="16" t="s">
        <v>41</v>
      </c>
      <c r="H22" s="15">
        <f ca="1"/>
        <v>1320</v>
      </c>
      <c r="M22" s="12" t="s">
        <v>118</v>
      </c>
    </row>
    <row r="23" spans="4:13" x14ac:dyDescent="0.3">
      <c r="D23" s="16" t="s">
        <v>44</v>
      </c>
      <c r="E23" s="16" t="s">
        <v>43</v>
      </c>
      <c r="H23" s="16">
        <f ca="1"/>
        <v>1321</v>
      </c>
      <c r="M23" s="12" t="s">
        <v>119</v>
      </c>
    </row>
    <row r="24" spans="4:13" ht="28.8" x14ac:dyDescent="0.3">
      <c r="D24" s="16" t="s">
        <v>48</v>
      </c>
      <c r="E24" s="16" t="s">
        <v>47</v>
      </c>
      <c r="H24" s="15">
        <f ca="1"/>
        <v>1322</v>
      </c>
      <c r="M24" s="13" t="s">
        <v>120</v>
      </c>
    </row>
    <row r="25" spans="4:13" x14ac:dyDescent="0.3">
      <c r="D25" s="16" t="s">
        <v>32</v>
      </c>
      <c r="E25" s="16" t="s">
        <v>31</v>
      </c>
      <c r="H25" s="16">
        <f ca="1"/>
        <v>1323</v>
      </c>
      <c r="M25" s="12" t="s">
        <v>121</v>
      </c>
    </row>
    <row r="26" spans="4:13" x14ac:dyDescent="0.3">
      <c r="D26" s="16" t="s">
        <v>30</v>
      </c>
      <c r="E26" s="16" t="s">
        <v>29</v>
      </c>
      <c r="H26" s="15">
        <f ca="1"/>
        <v>1324</v>
      </c>
      <c r="M26" s="12" t="s">
        <v>122</v>
      </c>
    </row>
    <row r="27" spans="4:13" x14ac:dyDescent="0.3">
      <c r="D27" s="16" t="s">
        <v>52</v>
      </c>
      <c r="E27" s="16" t="s">
        <v>51</v>
      </c>
      <c r="H27" s="16">
        <f ca="1"/>
        <v>1325</v>
      </c>
      <c r="M27" s="13" t="s">
        <v>123</v>
      </c>
    </row>
    <row r="28" spans="4:13" x14ac:dyDescent="0.3">
      <c r="D28" s="16" t="s">
        <v>56</v>
      </c>
      <c r="E28" s="16" t="s">
        <v>55</v>
      </c>
      <c r="H28" s="15">
        <f ca="1"/>
        <v>1326</v>
      </c>
      <c r="M28" s="12" t="s">
        <v>124</v>
      </c>
    </row>
    <row r="29" spans="4:13" x14ac:dyDescent="0.3">
      <c r="D29" s="16" t="s">
        <v>54</v>
      </c>
      <c r="E29" s="16" t="s">
        <v>53</v>
      </c>
      <c r="H29" s="16">
        <f ca="1"/>
        <v>1327</v>
      </c>
      <c r="M29" s="12" t="s">
        <v>125</v>
      </c>
    </row>
    <row r="30" spans="4:13" x14ac:dyDescent="0.3">
      <c r="D30" s="16" t="s">
        <v>36</v>
      </c>
      <c r="E30" s="16" t="s">
        <v>35</v>
      </c>
      <c r="H30" s="15">
        <f ca="1"/>
        <v>1328</v>
      </c>
      <c r="M30" s="13" t="s">
        <v>126</v>
      </c>
    </row>
    <row r="31" spans="4:13" x14ac:dyDescent="0.3">
      <c r="D31" s="16" t="s">
        <v>34</v>
      </c>
      <c r="E31" s="16" t="s">
        <v>33</v>
      </c>
      <c r="H31" s="16">
        <f ca="1"/>
        <v>1329</v>
      </c>
      <c r="M31" s="12" t="s">
        <v>127</v>
      </c>
    </row>
    <row r="32" spans="4:13" x14ac:dyDescent="0.3">
      <c r="D32" s="16" t="s">
        <v>74</v>
      </c>
      <c r="E32" s="16" t="s">
        <v>73</v>
      </c>
      <c r="H32" s="15">
        <f ca="1"/>
        <v>1330</v>
      </c>
      <c r="M32" s="12" t="s">
        <v>128</v>
      </c>
    </row>
    <row r="33" spans="4:8" x14ac:dyDescent="0.3">
      <c r="D33" s="16" t="s">
        <v>80</v>
      </c>
      <c r="E33" s="16" t="s">
        <v>80</v>
      </c>
      <c r="H33" s="16">
        <f ca="1"/>
        <v>1331</v>
      </c>
    </row>
    <row r="34" spans="4:8" x14ac:dyDescent="0.3">
      <c r="H34" s="15">
        <f ca="1"/>
        <v>1332</v>
      </c>
    </row>
    <row r="35" spans="4:8" x14ac:dyDescent="0.3">
      <c r="H35" s="16">
        <f ca="1"/>
        <v>1333</v>
      </c>
    </row>
    <row r="36" spans="4:8" x14ac:dyDescent="0.3">
      <c r="H36" s="15">
        <f ca="1"/>
        <v>1334</v>
      </c>
    </row>
    <row r="37" spans="4:8" x14ac:dyDescent="0.3">
      <c r="H37" s="16">
        <f ca="1"/>
        <v>1335</v>
      </c>
    </row>
    <row r="38" spans="4:8" x14ac:dyDescent="0.3">
      <c r="H38" s="15">
        <f ca="1"/>
        <v>1336</v>
      </c>
    </row>
    <row r="39" spans="4:8" x14ac:dyDescent="0.3">
      <c r="H39" s="16">
        <f ca="1"/>
        <v>1337</v>
      </c>
    </row>
    <row r="40" spans="4:8" x14ac:dyDescent="0.3">
      <c r="H40" s="15">
        <f ca="1"/>
        <v>1338</v>
      </c>
    </row>
    <row r="41" spans="4:8" x14ac:dyDescent="0.3">
      <c r="H41" s="16">
        <f ca="1"/>
        <v>1339</v>
      </c>
    </row>
    <row r="42" spans="4:8" x14ac:dyDescent="0.3">
      <c r="H42" s="15">
        <f ca="1"/>
        <v>1340</v>
      </c>
    </row>
    <row r="43" spans="4:8" x14ac:dyDescent="0.3">
      <c r="H43" s="16">
        <f ca="1"/>
        <v>1341</v>
      </c>
    </row>
    <row r="44" spans="4:8" x14ac:dyDescent="0.3">
      <c r="H44" s="15">
        <f ca="1"/>
        <v>1342</v>
      </c>
    </row>
    <row r="45" spans="4:8" x14ac:dyDescent="0.3">
      <c r="H45" s="16">
        <f ca="1"/>
        <v>1343</v>
      </c>
    </row>
    <row r="46" spans="4:8" x14ac:dyDescent="0.3">
      <c r="H46" s="15">
        <f ca="1"/>
        <v>1344</v>
      </c>
    </row>
    <row r="47" spans="4:8" x14ac:dyDescent="0.3">
      <c r="H47" s="16">
        <f ca="1"/>
        <v>1345</v>
      </c>
    </row>
    <row r="48" spans="4:8" x14ac:dyDescent="0.3">
      <c r="H48" s="15">
        <f ca="1"/>
        <v>1346</v>
      </c>
    </row>
    <row r="49" spans="8:8" x14ac:dyDescent="0.3">
      <c r="H49" s="16">
        <f ca="1"/>
        <v>1347</v>
      </c>
    </row>
    <row r="50" spans="8:8" x14ac:dyDescent="0.3">
      <c r="H50" s="15">
        <f ca="1"/>
        <v>1348</v>
      </c>
    </row>
    <row r="51" spans="8:8" x14ac:dyDescent="0.3">
      <c r="H51" s="16">
        <f ca="1"/>
        <v>1349</v>
      </c>
    </row>
    <row r="52" spans="8:8" x14ac:dyDescent="0.3">
      <c r="H52" s="15">
        <f ca="1"/>
        <v>1350</v>
      </c>
    </row>
    <row r="53" spans="8:8" x14ac:dyDescent="0.3">
      <c r="H53" s="16">
        <f ca="1"/>
        <v>1351</v>
      </c>
    </row>
    <row r="54" spans="8:8" x14ac:dyDescent="0.3">
      <c r="H54" s="15">
        <f ca="1"/>
        <v>1352</v>
      </c>
    </row>
    <row r="55" spans="8:8" x14ac:dyDescent="0.3">
      <c r="H55" s="16">
        <f ca="1"/>
        <v>1353</v>
      </c>
    </row>
    <row r="56" spans="8:8" x14ac:dyDescent="0.3">
      <c r="H56" s="15">
        <f ca="1"/>
        <v>1354</v>
      </c>
    </row>
    <row r="57" spans="8:8" x14ac:dyDescent="0.3">
      <c r="H57" s="16">
        <f ca="1"/>
        <v>1355</v>
      </c>
    </row>
    <row r="58" spans="8:8" x14ac:dyDescent="0.3">
      <c r="H58" s="15">
        <f ca="1"/>
        <v>1356</v>
      </c>
    </row>
    <row r="59" spans="8:8" x14ac:dyDescent="0.3">
      <c r="H59" s="16">
        <f ca="1"/>
        <v>1357</v>
      </c>
    </row>
    <row r="60" spans="8:8" x14ac:dyDescent="0.3">
      <c r="H60" s="15">
        <f ca="1"/>
        <v>1358</v>
      </c>
    </row>
    <row r="61" spans="8:8" x14ac:dyDescent="0.3">
      <c r="H61" s="16">
        <f ca="1"/>
        <v>1359</v>
      </c>
    </row>
    <row r="62" spans="8:8" x14ac:dyDescent="0.3">
      <c r="H62" s="15">
        <f ca="1"/>
        <v>1360</v>
      </c>
    </row>
    <row r="63" spans="8:8" x14ac:dyDescent="0.3">
      <c r="H63" s="16">
        <f ca="1"/>
        <v>1361</v>
      </c>
    </row>
    <row r="64" spans="8:8" x14ac:dyDescent="0.3">
      <c r="H64" s="15">
        <f ca="1"/>
        <v>1362</v>
      </c>
    </row>
    <row r="65" spans="8:8" x14ac:dyDescent="0.3">
      <c r="H65" s="16">
        <f ca="1"/>
        <v>1363</v>
      </c>
    </row>
    <row r="66" spans="8:8" x14ac:dyDescent="0.3">
      <c r="H66" s="15">
        <f ca="1"/>
        <v>1364</v>
      </c>
    </row>
    <row r="67" spans="8:8" x14ac:dyDescent="0.3">
      <c r="H67" s="16">
        <f ca="1"/>
        <v>1365</v>
      </c>
    </row>
    <row r="68" spans="8:8" x14ac:dyDescent="0.3">
      <c r="H68" s="15">
        <f ca="1"/>
        <v>1366</v>
      </c>
    </row>
    <row r="69" spans="8:8" x14ac:dyDescent="0.3">
      <c r="H69" s="16">
        <f ca="1"/>
        <v>1367</v>
      </c>
    </row>
    <row r="70" spans="8:8" x14ac:dyDescent="0.3">
      <c r="H70" s="15">
        <f ca="1"/>
        <v>1368</v>
      </c>
    </row>
    <row r="71" spans="8:8" x14ac:dyDescent="0.3">
      <c r="H71" s="16">
        <f ca="1"/>
        <v>1369</v>
      </c>
    </row>
    <row r="72" spans="8:8" x14ac:dyDescent="0.3">
      <c r="H72" s="15">
        <f ca="1"/>
        <v>1370</v>
      </c>
    </row>
    <row r="73" spans="8:8" x14ac:dyDescent="0.3">
      <c r="H73" s="16">
        <f ca="1"/>
        <v>1371</v>
      </c>
    </row>
    <row r="74" spans="8:8" x14ac:dyDescent="0.3">
      <c r="H74" s="15">
        <f ca="1"/>
        <v>1372</v>
      </c>
    </row>
    <row r="75" spans="8:8" x14ac:dyDescent="0.3">
      <c r="H75" s="16">
        <f ca="1"/>
        <v>1373</v>
      </c>
    </row>
    <row r="76" spans="8:8" x14ac:dyDescent="0.3">
      <c r="H76" s="15">
        <f ca="1"/>
        <v>1374</v>
      </c>
    </row>
    <row r="77" spans="8:8" x14ac:dyDescent="0.3">
      <c r="H77" s="16">
        <f ca="1"/>
        <v>1375</v>
      </c>
    </row>
    <row r="78" spans="8:8" x14ac:dyDescent="0.3">
      <c r="H78" s="15">
        <f ca="1"/>
        <v>1376</v>
      </c>
    </row>
    <row r="79" spans="8:8" x14ac:dyDescent="0.3">
      <c r="H79" s="16">
        <f ca="1"/>
        <v>1377</v>
      </c>
    </row>
    <row r="80" spans="8:8" x14ac:dyDescent="0.3">
      <c r="H80" s="15">
        <f ca="1"/>
        <v>1378</v>
      </c>
    </row>
    <row r="81" spans="8:8" x14ac:dyDescent="0.3">
      <c r="H81" s="16">
        <f ca="1"/>
        <v>1379</v>
      </c>
    </row>
    <row r="82" spans="8:8" x14ac:dyDescent="0.3">
      <c r="H82" s="15">
        <f ca="1"/>
        <v>1380</v>
      </c>
    </row>
    <row r="83" spans="8:8" x14ac:dyDescent="0.3">
      <c r="H83" s="16">
        <f ca="1"/>
        <v>1381</v>
      </c>
    </row>
    <row r="84" spans="8:8" x14ac:dyDescent="0.3">
      <c r="H84" s="15">
        <f ca="1"/>
        <v>1382</v>
      </c>
    </row>
    <row r="85" spans="8:8" x14ac:dyDescent="0.3">
      <c r="H85" s="16">
        <f ca="1"/>
        <v>1383</v>
      </c>
    </row>
    <row r="86" spans="8:8" x14ac:dyDescent="0.3">
      <c r="H86" s="15">
        <f ca="1"/>
        <v>1384</v>
      </c>
    </row>
    <row r="87" spans="8:8" x14ac:dyDescent="0.3">
      <c r="H87" s="16">
        <f ca="1"/>
        <v>1385</v>
      </c>
    </row>
    <row r="88" spans="8:8" x14ac:dyDescent="0.3">
      <c r="H88" s="15">
        <f ca="1"/>
        <v>1386</v>
      </c>
    </row>
    <row r="89" spans="8:8" x14ac:dyDescent="0.3">
      <c r="H89" s="16">
        <f ca="1"/>
        <v>1387</v>
      </c>
    </row>
    <row r="90" spans="8:8" x14ac:dyDescent="0.3">
      <c r="H90" s="15">
        <f ca="1"/>
        <v>1388</v>
      </c>
    </row>
    <row r="91" spans="8:8" x14ac:dyDescent="0.3">
      <c r="H91" s="16">
        <f ca="1"/>
        <v>1389</v>
      </c>
    </row>
    <row r="92" spans="8:8" x14ac:dyDescent="0.3">
      <c r="H92" s="15">
        <f ca="1"/>
        <v>1390</v>
      </c>
    </row>
    <row r="93" spans="8:8" x14ac:dyDescent="0.3">
      <c r="H93" s="16">
        <f ca="1"/>
        <v>1391</v>
      </c>
    </row>
    <row r="94" spans="8:8" x14ac:dyDescent="0.3">
      <c r="H94" s="15">
        <f ca="1"/>
        <v>1392</v>
      </c>
    </row>
    <row r="95" spans="8:8" x14ac:dyDescent="0.3">
      <c r="H95" s="16">
        <f ca="1"/>
        <v>1393</v>
      </c>
    </row>
    <row r="96" spans="8:8" x14ac:dyDescent="0.3">
      <c r="H96" s="15">
        <f ca="1"/>
        <v>1394</v>
      </c>
    </row>
    <row r="97" spans="8:8" x14ac:dyDescent="0.3">
      <c r="H97" s="16">
        <f ca="1"/>
        <v>1395</v>
      </c>
    </row>
    <row r="98" spans="8:8" x14ac:dyDescent="0.3">
      <c r="H98" s="15">
        <f ca="1"/>
        <v>1396</v>
      </c>
    </row>
    <row r="99" spans="8:8" x14ac:dyDescent="0.3">
      <c r="H99" s="16">
        <f ca="1"/>
        <v>1397</v>
      </c>
    </row>
    <row r="100" spans="8:8" x14ac:dyDescent="0.3">
      <c r="H100" s="15">
        <f ca="1"/>
        <v>1398</v>
      </c>
    </row>
    <row r="101" spans="8:8" x14ac:dyDescent="0.3">
      <c r="H101" s="16">
        <f ca="1"/>
        <v>1399</v>
      </c>
    </row>
    <row r="102" spans="8:8" x14ac:dyDescent="0.3">
      <c r="H102" s="15">
        <f ca="1"/>
        <v>1400</v>
      </c>
    </row>
    <row r="103" spans="8:8" x14ac:dyDescent="0.3">
      <c r="H103" s="16">
        <f ca="1"/>
        <v>1401</v>
      </c>
    </row>
    <row r="104" spans="8:8" x14ac:dyDescent="0.3">
      <c r="H104" s="15">
        <f ca="1"/>
        <v>1402</v>
      </c>
    </row>
    <row r="105" spans="8:8" x14ac:dyDescent="0.3">
      <c r="H105" s="16">
        <f ca="1"/>
        <v>1403</v>
      </c>
    </row>
    <row r="106" spans="8:8" x14ac:dyDescent="0.3">
      <c r="H106" s="15">
        <f ca="1"/>
        <v>1404</v>
      </c>
    </row>
    <row r="107" spans="8:8" x14ac:dyDescent="0.3">
      <c r="H107" s="16">
        <f ca="1"/>
        <v>1405</v>
      </c>
    </row>
    <row r="108" spans="8:8" x14ac:dyDescent="0.3">
      <c r="H108" s="18"/>
    </row>
    <row r="109" spans="8:8" x14ac:dyDescent="0.3">
      <c r="H109" s="8"/>
    </row>
    <row r="110" spans="8:8" x14ac:dyDescent="0.3">
      <c r="H110" s="7"/>
    </row>
    <row r="111" spans="8:8" x14ac:dyDescent="0.3">
      <c r="H111" s="8"/>
    </row>
    <row r="112" spans="8:8" x14ac:dyDescent="0.3">
      <c r="H112" s="7"/>
    </row>
    <row r="113" spans="8:8" x14ac:dyDescent="0.3">
      <c r="H113" s="8"/>
    </row>
    <row r="114" spans="8:8" x14ac:dyDescent="0.3">
      <c r="H114" s="7"/>
    </row>
    <row r="115" spans="8:8" x14ac:dyDescent="0.3">
      <c r="H115" s="8"/>
    </row>
    <row r="116" spans="8:8" x14ac:dyDescent="0.3">
      <c r="H116" s="7"/>
    </row>
    <row r="117" spans="8:8" x14ac:dyDescent="0.3">
      <c r="H117" s="8"/>
    </row>
    <row r="118" spans="8:8" x14ac:dyDescent="0.3">
      <c r="H118" s="7"/>
    </row>
    <row r="119" spans="8:8" x14ac:dyDescent="0.3">
      <c r="H119" s="8"/>
    </row>
    <row r="120" spans="8:8" x14ac:dyDescent="0.3">
      <c r="H120" s="7"/>
    </row>
    <row r="121" spans="8:8" x14ac:dyDescent="0.3">
      <c r="H121" s="8"/>
    </row>
    <row r="122" spans="8:8" x14ac:dyDescent="0.3">
      <c r="H122" s="7"/>
    </row>
    <row r="123" spans="8:8" x14ac:dyDescent="0.3">
      <c r="H123" s="8"/>
    </row>
    <row r="124" spans="8:8" x14ac:dyDescent="0.3">
      <c r="H124" s="7"/>
    </row>
    <row r="125" spans="8:8" x14ac:dyDescent="0.3">
      <c r="H125" s="8"/>
    </row>
    <row r="126" spans="8:8" x14ac:dyDescent="0.3">
      <c r="H126" s="7"/>
    </row>
    <row r="127" spans="8:8" x14ac:dyDescent="0.3">
      <c r="H127" s="8"/>
    </row>
    <row r="128" spans="8:8" x14ac:dyDescent="0.3">
      <c r="H128" s="7"/>
    </row>
    <row r="129" spans="8:8" x14ac:dyDescent="0.3">
      <c r="H129" s="8"/>
    </row>
    <row r="130" spans="8:8" x14ac:dyDescent="0.3">
      <c r="H130" s="7"/>
    </row>
    <row r="131" spans="8:8" x14ac:dyDescent="0.3">
      <c r="H131" s="8"/>
    </row>
    <row r="132" spans="8:8" x14ac:dyDescent="0.3">
      <c r="H132" s="7"/>
    </row>
    <row r="133" spans="8:8" x14ac:dyDescent="0.3">
      <c r="H133" s="8"/>
    </row>
    <row r="134" spans="8:8" x14ac:dyDescent="0.3">
      <c r="H134" s="7"/>
    </row>
    <row r="135" spans="8:8" x14ac:dyDescent="0.3">
      <c r="H135" s="8"/>
    </row>
    <row r="136" spans="8:8" x14ac:dyDescent="0.3">
      <c r="H136" s="7"/>
    </row>
    <row r="137" spans="8:8" x14ac:dyDescent="0.3">
      <c r="H137" s="8"/>
    </row>
    <row r="138" spans="8:8" x14ac:dyDescent="0.3">
      <c r="H138" s="7"/>
    </row>
    <row r="139" spans="8:8" x14ac:dyDescent="0.3">
      <c r="H139" s="8"/>
    </row>
    <row r="140" spans="8:8" x14ac:dyDescent="0.3">
      <c r="H140" s="7"/>
    </row>
    <row r="141" spans="8:8" x14ac:dyDescent="0.3">
      <c r="H141" s="8"/>
    </row>
    <row r="142" spans="8:8" x14ac:dyDescent="0.3">
      <c r="H142" s="7"/>
    </row>
    <row r="143" spans="8:8" x14ac:dyDescent="0.3">
      <c r="H143" s="8"/>
    </row>
    <row r="144" spans="8:8" x14ac:dyDescent="0.3">
      <c r="H144" s="7"/>
    </row>
    <row r="145" spans="8:8" x14ac:dyDescent="0.3">
      <c r="H145" s="8"/>
    </row>
    <row r="146" spans="8:8" x14ac:dyDescent="0.3">
      <c r="H146" s="7"/>
    </row>
    <row r="147" spans="8:8" x14ac:dyDescent="0.3">
      <c r="H147" s="8"/>
    </row>
    <row r="148" spans="8:8" x14ac:dyDescent="0.3">
      <c r="H148" s="7"/>
    </row>
    <row r="149" spans="8:8" x14ac:dyDescent="0.3">
      <c r="H149" s="8"/>
    </row>
    <row r="150" spans="8:8" x14ac:dyDescent="0.3">
      <c r="H150" s="7"/>
    </row>
    <row r="151" spans="8:8" x14ac:dyDescent="0.3">
      <c r="H151" s="8"/>
    </row>
    <row r="152" spans="8:8" x14ac:dyDescent="0.3">
      <c r="H152" s="7"/>
    </row>
    <row r="153" spans="8:8" x14ac:dyDescent="0.3">
      <c r="H153" s="8"/>
    </row>
    <row r="154" spans="8:8" x14ac:dyDescent="0.3">
      <c r="H154" s="7"/>
    </row>
    <row r="155" spans="8:8" x14ac:dyDescent="0.3">
      <c r="H155" s="8"/>
    </row>
    <row r="156" spans="8:8" x14ac:dyDescent="0.3">
      <c r="H156" s="7"/>
    </row>
    <row r="157" spans="8:8" x14ac:dyDescent="0.3">
      <c r="H157" s="8"/>
    </row>
    <row r="158" spans="8:8" x14ac:dyDescent="0.3">
      <c r="H158" s="7"/>
    </row>
    <row r="159" spans="8:8" x14ac:dyDescent="0.3">
      <c r="H159" s="8"/>
    </row>
    <row r="160" spans="8:8" x14ac:dyDescent="0.3">
      <c r="H160" s="7"/>
    </row>
    <row r="161" spans="8:8" x14ac:dyDescent="0.3">
      <c r="H161" s="8"/>
    </row>
    <row r="162" spans="8:8" x14ac:dyDescent="0.3">
      <c r="H162" s="7"/>
    </row>
    <row r="163" spans="8:8" x14ac:dyDescent="0.3">
      <c r="H163" s="8"/>
    </row>
    <row r="164" spans="8:8" x14ac:dyDescent="0.3">
      <c r="H164" s="7"/>
    </row>
    <row r="165" spans="8:8" x14ac:dyDescent="0.3">
      <c r="H165" s="8"/>
    </row>
    <row r="166" spans="8:8" x14ac:dyDescent="0.3">
      <c r="H166" s="7"/>
    </row>
    <row r="167" spans="8:8" x14ac:dyDescent="0.3">
      <c r="H167" s="8"/>
    </row>
    <row r="168" spans="8:8" x14ac:dyDescent="0.3">
      <c r="H168" s="7"/>
    </row>
    <row r="169" spans="8:8" x14ac:dyDescent="0.3">
      <c r="H169" s="8"/>
    </row>
    <row r="170" spans="8:8" x14ac:dyDescent="0.3">
      <c r="H170" s="7"/>
    </row>
    <row r="171" spans="8:8" x14ac:dyDescent="0.3">
      <c r="H171" s="8"/>
    </row>
    <row r="172" spans="8:8" x14ac:dyDescent="0.3">
      <c r="H172" s="7"/>
    </row>
    <row r="173" spans="8:8" x14ac:dyDescent="0.3">
      <c r="H173" s="8"/>
    </row>
    <row r="174" spans="8:8" x14ac:dyDescent="0.3">
      <c r="H174" s="7"/>
    </row>
    <row r="175" spans="8:8" x14ac:dyDescent="0.3">
      <c r="H175" s="8"/>
    </row>
    <row r="176" spans="8:8" x14ac:dyDescent="0.3">
      <c r="H176" s="7"/>
    </row>
    <row r="177" spans="8:8" x14ac:dyDescent="0.3">
      <c r="H177" s="8"/>
    </row>
    <row r="178" spans="8:8" x14ac:dyDescent="0.3">
      <c r="H178" s="7"/>
    </row>
    <row r="179" spans="8:8" x14ac:dyDescent="0.3">
      <c r="H179" s="8"/>
    </row>
    <row r="180" spans="8:8" x14ac:dyDescent="0.3">
      <c r="H180" s="7"/>
    </row>
    <row r="181" spans="8:8" x14ac:dyDescent="0.3">
      <c r="H181" s="8"/>
    </row>
    <row r="182" spans="8:8" x14ac:dyDescent="0.3">
      <c r="H182" s="7"/>
    </row>
    <row r="183" spans="8:8" x14ac:dyDescent="0.3">
      <c r="H183" s="8"/>
    </row>
    <row r="184" spans="8:8" x14ac:dyDescent="0.3">
      <c r="H184" s="7"/>
    </row>
    <row r="185" spans="8:8" x14ac:dyDescent="0.3">
      <c r="H185" s="8"/>
    </row>
    <row r="186" spans="8:8" x14ac:dyDescent="0.3">
      <c r="H186" s="7"/>
    </row>
    <row r="187" spans="8:8" x14ac:dyDescent="0.3">
      <c r="H187" s="8"/>
    </row>
    <row r="188" spans="8:8" x14ac:dyDescent="0.3">
      <c r="H188" s="7"/>
    </row>
    <row r="189" spans="8:8" x14ac:dyDescent="0.3">
      <c r="H189" s="8"/>
    </row>
    <row r="190" spans="8:8" x14ac:dyDescent="0.3">
      <c r="H190" s="7"/>
    </row>
    <row r="191" spans="8:8" x14ac:dyDescent="0.3">
      <c r="H191" s="8"/>
    </row>
    <row r="192" spans="8:8" x14ac:dyDescent="0.3">
      <c r="H192" s="7"/>
    </row>
    <row r="193" spans="8:8" x14ac:dyDescent="0.3">
      <c r="H193" s="8"/>
    </row>
    <row r="194" spans="8:8" x14ac:dyDescent="0.3">
      <c r="H194" s="7"/>
    </row>
    <row r="195" spans="8:8" x14ac:dyDescent="0.3">
      <c r="H195" s="8"/>
    </row>
    <row r="196" spans="8:8" x14ac:dyDescent="0.3">
      <c r="H196" s="7"/>
    </row>
    <row r="197" spans="8:8" x14ac:dyDescent="0.3">
      <c r="H197" s="8"/>
    </row>
    <row r="198" spans="8:8" x14ac:dyDescent="0.3">
      <c r="H198" s="7"/>
    </row>
    <row r="199" spans="8:8" x14ac:dyDescent="0.3">
      <c r="H199" s="8"/>
    </row>
    <row r="200" spans="8:8" x14ac:dyDescent="0.3">
      <c r="H200" s="7"/>
    </row>
    <row r="201" spans="8:8" x14ac:dyDescent="0.3">
      <c r="H201" s="8"/>
    </row>
    <row r="202" spans="8:8" x14ac:dyDescent="0.3">
      <c r="H202" s="7"/>
    </row>
    <row r="203" spans="8:8" x14ac:dyDescent="0.3">
      <c r="H203" s="8"/>
    </row>
    <row r="204" spans="8:8" x14ac:dyDescent="0.3">
      <c r="H204" s="7"/>
    </row>
    <row r="205" spans="8:8" x14ac:dyDescent="0.3">
      <c r="H205" s="8"/>
    </row>
    <row r="206" spans="8:8" x14ac:dyDescent="0.3">
      <c r="H206" s="7"/>
    </row>
    <row r="207" spans="8:8" x14ac:dyDescent="0.3">
      <c r="H207" s="8"/>
    </row>
    <row r="208" spans="8:8" x14ac:dyDescent="0.3">
      <c r="H208" s="7"/>
    </row>
    <row r="209" spans="8:8" x14ac:dyDescent="0.3">
      <c r="H209" s="8"/>
    </row>
    <row r="210" spans="8:8" x14ac:dyDescent="0.3">
      <c r="H210" s="7"/>
    </row>
    <row r="211" spans="8:8" x14ac:dyDescent="0.3">
      <c r="H211" s="8"/>
    </row>
    <row r="212" spans="8:8" x14ac:dyDescent="0.3">
      <c r="H212" s="7"/>
    </row>
    <row r="213" spans="8:8" x14ac:dyDescent="0.3">
      <c r="H213" s="8"/>
    </row>
  </sheetData>
  <phoneticPr fontId="3" type="noConversion"/>
  <pageMargins left="0.7" right="0.7" top="0.75" bottom="0.75" header="0.3" footer="0.3"/>
  <pageSetup orientation="portrait"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 Entry</vt:lpstr>
      <vt:lpstr>List of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2015-06-05T18:17:20Z</dcterms:created>
  <dcterms:modified xsi:type="dcterms:W3CDTF">2026-06-28T15:23:00Z</dcterms:modified>
</cp:coreProperties>
</file>