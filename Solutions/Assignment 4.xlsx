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D:\دوره جامع تحلیل گر داده\1 -Excel\ارسالی\"/>
    </mc:Choice>
  </mc:AlternateContent>
  <xr:revisionPtr revIDLastSave="0" documentId="13_ncr:1_{6E6F4075-1ACF-4649-9C3F-3CF847225401}" xr6:coauthVersionLast="47" xr6:coauthVersionMax="47" xr10:uidLastSave="{00000000-0000-0000-0000-000000000000}"/>
  <bookViews>
    <workbookView xWindow="-108" yWindow="-108" windowWidth="23256" windowHeight="12720" activeTab="3" xr2:uid="{D478BA7F-0DEA-4F2A-B933-AA4E269788A9}"/>
  </bookViews>
  <sheets>
    <sheet name="Category" sheetId="1" r:id="rId1"/>
    <sheet name="Orders" sheetId="4" r:id="rId2"/>
    <sheet name="Product" sheetId="2" r:id="rId3"/>
    <sheet name="OrderDetails" sheetId="3" r:id="rId4"/>
    <sheet name="Sales Performance Overview" sheetId="5" r:id="rId5"/>
    <sheet name="Sales Key Insights" sheetId="6" r:id="rId6"/>
    <sheet name="Sales Composition Analysis" sheetId="7" r:id="rId7"/>
  </sheet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3" l="1"/>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J344" i="3"/>
  <c r="J604" i="3"/>
  <c r="J743" i="3"/>
  <c r="J863" i="3"/>
  <c r="J941" i="3"/>
  <c r="J1009" i="3"/>
  <c r="J1061" i="3"/>
  <c r="J1098" i="3"/>
  <c r="J1136" i="3"/>
  <c r="J1168" i="3"/>
  <c r="J1201" i="3"/>
  <c r="J1304" i="3"/>
  <c r="J1340" i="3"/>
  <c r="J1372" i="3"/>
  <c r="J1402" i="3"/>
  <c r="J1425" i="3"/>
  <c r="J1445" i="3"/>
  <c r="J1466" i="3"/>
  <c r="J1489" i="3"/>
  <c r="J1509" i="3"/>
  <c r="J1530" i="3"/>
  <c r="J1553" i="3"/>
  <c r="J1573" i="3"/>
  <c r="J1593" i="3"/>
  <c r="J1610" i="3"/>
  <c r="J1627" i="3"/>
  <c r="J1643" i="3"/>
  <c r="J1661" i="3"/>
  <c r="J1680" i="3"/>
  <c r="J1709" i="3"/>
  <c r="J1723" i="3"/>
  <c r="J1737" i="3"/>
  <c r="J1752" i="3"/>
  <c r="J1779" i="3"/>
  <c r="J1794" i="3"/>
  <c r="J1809" i="3"/>
  <c r="J1837" i="3"/>
  <c r="J1851" i="3"/>
  <c r="J1865" i="3"/>
  <c r="J1880" i="3"/>
  <c r="J1891" i="3"/>
  <c r="J1901" i="3"/>
  <c r="J1912" i="3"/>
  <c r="J1923" i="3"/>
  <c r="J1933" i="3"/>
  <c r="J1944" i="3"/>
  <c r="J1955" i="3"/>
  <c r="J1965" i="3"/>
  <c r="J1976" i="3"/>
  <c r="J1987" i="3"/>
  <c r="J1997" i="3"/>
  <c r="J2008" i="3"/>
  <c r="J2019" i="3"/>
  <c r="J2029" i="3"/>
  <c r="J2040" i="3"/>
  <c r="J2051" i="3"/>
  <c r="J2061" i="3"/>
  <c r="I1350" i="3"/>
  <c r="I1419" i="3"/>
  <c r="I1483" i="3"/>
  <c r="I1547" i="3"/>
  <c r="I1611" i="3"/>
  <c r="I1675" i="3"/>
  <c r="I1739" i="3"/>
  <c r="I1803" i="3"/>
  <c r="I1891" i="3"/>
  <c r="I1911" i="3"/>
  <c r="I1923" i="3"/>
  <c r="I1940" i="3"/>
  <c r="I1948" i="3"/>
  <c r="I1956" i="3"/>
  <c r="I1964" i="3"/>
  <c r="I1980" i="3"/>
  <c r="I1988" i="3"/>
  <c r="I1996" i="3"/>
  <c r="I2004" i="3"/>
  <c r="I2012" i="3"/>
  <c r="I2020" i="3"/>
  <c r="I2028" i="3"/>
  <c r="I2036" i="3"/>
  <c r="I2044" i="3"/>
  <c r="I2052" i="3"/>
  <c r="I2062" i="3"/>
  <c r="I2070" i="3"/>
  <c r="I2078" i="3"/>
  <c r="I2084" i="3"/>
  <c r="I2086" i="3"/>
  <c r="I2092" i="3"/>
  <c r="I2094" i="3"/>
  <c r="I2100" i="3"/>
  <c r="I2102" i="3"/>
  <c r="I2108" i="3"/>
  <c r="I2110" i="3"/>
  <c r="I2113" i="3"/>
  <c r="I2116" i="3"/>
  <c r="I2118" i="3"/>
  <c r="I2123" i="3"/>
  <c r="I2129" i="3"/>
  <c r="I2131" i="3"/>
  <c r="I2132" i="3"/>
  <c r="I2134" i="3"/>
  <c r="I2139" i="3"/>
  <c r="I2140" i="3"/>
  <c r="I2147" i="3"/>
  <c r="I2148" i="3"/>
  <c r="I2155" i="3"/>
  <c r="I2156" i="3"/>
  <c r="G2" i="2"/>
  <c r="G3" i="2"/>
  <c r="I2119" i="3" s="1"/>
  <c r="G4" i="2"/>
  <c r="I1579" i="3" s="1"/>
  <c r="G5" i="2"/>
  <c r="G6" i="2"/>
  <c r="G7" i="2"/>
  <c r="I1915" i="3" s="1"/>
  <c r="G8" i="2"/>
  <c r="I1603" i="3" s="1"/>
  <c r="G9" i="2"/>
  <c r="I1962" i="3" s="1"/>
  <c r="G10" i="2"/>
  <c r="G11" i="2"/>
  <c r="I2138" i="3" s="1"/>
  <c r="G12" i="2"/>
  <c r="G13" i="2"/>
  <c r="I2066" i="3" s="1"/>
  <c r="G14" i="2"/>
  <c r="I1851" i="3" s="1"/>
  <c r="G15" i="2"/>
  <c r="I2141" i="3" s="1"/>
  <c r="G16" i="2"/>
  <c r="G17" i="2"/>
  <c r="I1903" i="3" s="1"/>
  <c r="G18" i="2"/>
  <c r="G19" i="2"/>
  <c r="I1991" i="3" s="1"/>
  <c r="G20" i="2"/>
  <c r="I2001" i="3" s="1"/>
  <c r="G21" i="2"/>
  <c r="I1907" i="3" s="1"/>
  <c r="G22" i="2"/>
  <c r="I1885" i="3" s="1"/>
  <c r="G23" i="2"/>
  <c r="G24" i="2"/>
  <c r="G25" i="2"/>
  <c r="I2013" i="3" s="1"/>
  <c r="G26" i="2"/>
  <c r="G27" i="2"/>
  <c r="G28" i="2"/>
  <c r="G29" i="2"/>
  <c r="I1158" i="3" s="1"/>
  <c r="G30" i="2"/>
  <c r="I1963" i="3" s="1"/>
  <c r="G31" i="2"/>
  <c r="G32" i="2"/>
  <c r="I1811" i="3" s="1"/>
  <c r="G33" i="2"/>
  <c r="I2072" i="3" s="1"/>
  <c r="G34" i="2"/>
  <c r="G35" i="2"/>
  <c r="I2095" i="3" s="1"/>
  <c r="G36" i="2"/>
  <c r="I1523" i="3" s="1"/>
  <c r="G37" i="2"/>
  <c r="I1969" i="3" s="1"/>
  <c r="G38" i="2"/>
  <c r="G39" i="2"/>
  <c r="I2029" i="3" s="1"/>
  <c r="G40" i="2"/>
  <c r="G41" i="2"/>
  <c r="G42" i="2"/>
  <c r="G43" i="2"/>
  <c r="G44" i="2"/>
  <c r="I2069" i="3" s="1"/>
  <c r="G45" i="2"/>
  <c r="I2034" i="3" s="1"/>
  <c r="G46" i="2"/>
  <c r="G47" i="2"/>
  <c r="I1947" i="3" s="1"/>
  <c r="G48" i="2"/>
  <c r="G49" i="2"/>
  <c r="G50" i="2"/>
  <c r="G51" i="2"/>
  <c r="I2121" i="3" s="1"/>
  <c r="G52" i="2"/>
  <c r="I1451" i="3" s="1"/>
  <c r="G53" i="2"/>
  <c r="I902" i="3" s="1"/>
  <c r="G54" i="2"/>
  <c r="I2093" i="3" s="1"/>
  <c r="G55" i="2"/>
  <c r="I1427" i="3" s="1"/>
  <c r="G56" i="2"/>
  <c r="I2101" i="3" s="1"/>
  <c r="G57" i="2"/>
  <c r="I1030" i="3" s="1"/>
  <c r="G58" i="2"/>
  <c r="G59" i="2"/>
  <c r="G60" i="2"/>
  <c r="I1928" i="3" s="1"/>
  <c r="G61" i="2"/>
  <c r="I2089" i="3" s="1"/>
  <c r="G62" i="2"/>
  <c r="I1659" i="3" s="1"/>
  <c r="G63" i="2"/>
  <c r="G64" i="2"/>
  <c r="I1893" i="3" s="1"/>
  <c r="G65" i="2"/>
  <c r="I1651" i="3" s="1"/>
  <c r="G66" i="2"/>
  <c r="G67" i="2"/>
  <c r="I2153" i="3" s="1"/>
  <c r="G68" i="2"/>
  <c r="I2075" i="3" s="1"/>
  <c r="G69" i="2"/>
  <c r="I1981" i="3" s="1"/>
  <c r="G70" i="2"/>
  <c r="I1332" i="3" s="1"/>
  <c r="G71" i="2"/>
  <c r="I2083" i="3" s="1"/>
  <c r="G72" i="2"/>
  <c r="I2027" i="3" s="1"/>
  <c r="G73" i="2"/>
  <c r="I2000" i="3" s="1"/>
  <c r="G74" i="2"/>
  <c r="G75" i="2"/>
  <c r="G76" i="2"/>
  <c r="I1835" i="3" s="1"/>
  <c r="G77" i="2"/>
  <c r="I966" i="3" s="1"/>
  <c r="G78" i="2"/>
  <c r="I1909" i="3"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G2" i="3"/>
  <c r="J2" i="3" s="1"/>
  <c r="G3" i="3"/>
  <c r="J3" i="3" s="1"/>
  <c r="G4" i="3"/>
  <c r="J4" i="3" s="1"/>
  <c r="G5" i="3"/>
  <c r="J5" i="3" s="1"/>
  <c r="G6" i="3"/>
  <c r="J6" i="3" s="1"/>
  <c r="G7" i="3"/>
  <c r="J7" i="3" s="1"/>
  <c r="G8" i="3"/>
  <c r="J8" i="3" s="1"/>
  <c r="G9" i="3"/>
  <c r="J9" i="3" s="1"/>
  <c r="G10" i="3"/>
  <c r="J10" i="3" s="1"/>
  <c r="G11" i="3"/>
  <c r="J11" i="3" s="1"/>
  <c r="G12" i="3"/>
  <c r="J12" i="3" s="1"/>
  <c r="G13" i="3"/>
  <c r="J13" i="3" s="1"/>
  <c r="G14" i="3"/>
  <c r="J14" i="3" s="1"/>
  <c r="G15" i="3"/>
  <c r="J15" i="3" s="1"/>
  <c r="G16" i="3"/>
  <c r="J16" i="3" s="1"/>
  <c r="G17" i="3"/>
  <c r="J17" i="3" s="1"/>
  <c r="G18" i="3"/>
  <c r="J18" i="3" s="1"/>
  <c r="G19" i="3"/>
  <c r="J19" i="3" s="1"/>
  <c r="G20" i="3"/>
  <c r="J20" i="3" s="1"/>
  <c r="G21" i="3"/>
  <c r="J21" i="3" s="1"/>
  <c r="G22" i="3"/>
  <c r="J22" i="3" s="1"/>
  <c r="G23" i="3"/>
  <c r="J23" i="3" s="1"/>
  <c r="G24" i="3"/>
  <c r="J24" i="3" s="1"/>
  <c r="G25" i="3"/>
  <c r="J25" i="3" s="1"/>
  <c r="G26" i="3"/>
  <c r="J26" i="3" s="1"/>
  <c r="G27" i="3"/>
  <c r="J27" i="3" s="1"/>
  <c r="G28" i="3"/>
  <c r="J28" i="3" s="1"/>
  <c r="G29" i="3"/>
  <c r="J29" i="3" s="1"/>
  <c r="G30" i="3"/>
  <c r="J30" i="3" s="1"/>
  <c r="G31" i="3"/>
  <c r="J31" i="3" s="1"/>
  <c r="G32" i="3"/>
  <c r="J32" i="3" s="1"/>
  <c r="G33" i="3"/>
  <c r="J33" i="3" s="1"/>
  <c r="G34" i="3"/>
  <c r="J34" i="3" s="1"/>
  <c r="G35" i="3"/>
  <c r="J35" i="3" s="1"/>
  <c r="G36" i="3"/>
  <c r="J36" i="3" s="1"/>
  <c r="G37" i="3"/>
  <c r="J37" i="3" s="1"/>
  <c r="G38" i="3"/>
  <c r="J38" i="3" s="1"/>
  <c r="G39" i="3"/>
  <c r="J39" i="3" s="1"/>
  <c r="G40" i="3"/>
  <c r="J40" i="3" s="1"/>
  <c r="G41" i="3"/>
  <c r="J41" i="3" s="1"/>
  <c r="G42" i="3"/>
  <c r="J42" i="3" s="1"/>
  <c r="G43" i="3"/>
  <c r="J43" i="3" s="1"/>
  <c r="G44" i="3"/>
  <c r="J44" i="3" s="1"/>
  <c r="G45" i="3"/>
  <c r="J45" i="3" s="1"/>
  <c r="G46" i="3"/>
  <c r="J46" i="3" s="1"/>
  <c r="G47" i="3"/>
  <c r="J47" i="3" s="1"/>
  <c r="G48" i="3"/>
  <c r="J48" i="3" s="1"/>
  <c r="G49" i="3"/>
  <c r="J49" i="3" s="1"/>
  <c r="G50" i="3"/>
  <c r="J50" i="3" s="1"/>
  <c r="G51" i="3"/>
  <c r="J51" i="3" s="1"/>
  <c r="G52" i="3"/>
  <c r="J52" i="3" s="1"/>
  <c r="G53" i="3"/>
  <c r="J53" i="3" s="1"/>
  <c r="G54" i="3"/>
  <c r="J54" i="3" s="1"/>
  <c r="G55" i="3"/>
  <c r="J55" i="3" s="1"/>
  <c r="G56" i="3"/>
  <c r="J56" i="3" s="1"/>
  <c r="G57" i="3"/>
  <c r="J57" i="3" s="1"/>
  <c r="G58" i="3"/>
  <c r="J58" i="3" s="1"/>
  <c r="G59" i="3"/>
  <c r="J59" i="3" s="1"/>
  <c r="G60" i="3"/>
  <c r="J60" i="3" s="1"/>
  <c r="G61" i="3"/>
  <c r="J61" i="3" s="1"/>
  <c r="G62" i="3"/>
  <c r="J62" i="3" s="1"/>
  <c r="G63" i="3"/>
  <c r="J63" i="3" s="1"/>
  <c r="G64" i="3"/>
  <c r="J64" i="3" s="1"/>
  <c r="G65" i="3"/>
  <c r="J65" i="3" s="1"/>
  <c r="G66" i="3"/>
  <c r="J66" i="3" s="1"/>
  <c r="G67" i="3"/>
  <c r="J67" i="3" s="1"/>
  <c r="G68" i="3"/>
  <c r="J68" i="3" s="1"/>
  <c r="G69" i="3"/>
  <c r="J69" i="3" s="1"/>
  <c r="G70" i="3"/>
  <c r="J70" i="3" s="1"/>
  <c r="G71" i="3"/>
  <c r="J71" i="3" s="1"/>
  <c r="G72" i="3"/>
  <c r="J72" i="3" s="1"/>
  <c r="G73" i="3"/>
  <c r="J73" i="3" s="1"/>
  <c r="G74" i="3"/>
  <c r="J74" i="3" s="1"/>
  <c r="G75" i="3"/>
  <c r="J75" i="3" s="1"/>
  <c r="G76" i="3"/>
  <c r="J76" i="3" s="1"/>
  <c r="G77" i="3"/>
  <c r="J77" i="3" s="1"/>
  <c r="G78" i="3"/>
  <c r="J78" i="3" s="1"/>
  <c r="G79" i="3"/>
  <c r="J79" i="3" s="1"/>
  <c r="G80" i="3"/>
  <c r="J80" i="3" s="1"/>
  <c r="G81" i="3"/>
  <c r="J81" i="3" s="1"/>
  <c r="G82" i="3"/>
  <c r="J82" i="3" s="1"/>
  <c r="G83" i="3"/>
  <c r="J83" i="3" s="1"/>
  <c r="G84" i="3"/>
  <c r="J84" i="3" s="1"/>
  <c r="G85" i="3"/>
  <c r="J85" i="3" s="1"/>
  <c r="G86" i="3"/>
  <c r="J86" i="3" s="1"/>
  <c r="G87" i="3"/>
  <c r="J87" i="3" s="1"/>
  <c r="G88" i="3"/>
  <c r="J88" i="3" s="1"/>
  <c r="G89" i="3"/>
  <c r="J89" i="3" s="1"/>
  <c r="G90" i="3"/>
  <c r="J90" i="3" s="1"/>
  <c r="G91" i="3"/>
  <c r="J91" i="3" s="1"/>
  <c r="G92" i="3"/>
  <c r="J92" i="3" s="1"/>
  <c r="G93" i="3"/>
  <c r="J93" i="3" s="1"/>
  <c r="G94" i="3"/>
  <c r="J94" i="3" s="1"/>
  <c r="G95" i="3"/>
  <c r="J95" i="3" s="1"/>
  <c r="G96" i="3"/>
  <c r="J96" i="3" s="1"/>
  <c r="G97" i="3"/>
  <c r="J97" i="3" s="1"/>
  <c r="G98" i="3"/>
  <c r="J98" i="3" s="1"/>
  <c r="G99" i="3"/>
  <c r="J99" i="3" s="1"/>
  <c r="G100" i="3"/>
  <c r="J100" i="3" s="1"/>
  <c r="G101" i="3"/>
  <c r="J101" i="3" s="1"/>
  <c r="G102" i="3"/>
  <c r="J102" i="3" s="1"/>
  <c r="G103" i="3"/>
  <c r="J103" i="3" s="1"/>
  <c r="G104" i="3"/>
  <c r="J104" i="3" s="1"/>
  <c r="G105" i="3"/>
  <c r="J105" i="3" s="1"/>
  <c r="G106" i="3"/>
  <c r="J106" i="3" s="1"/>
  <c r="G107" i="3"/>
  <c r="J107" i="3" s="1"/>
  <c r="G108" i="3"/>
  <c r="J108" i="3" s="1"/>
  <c r="G109" i="3"/>
  <c r="J109" i="3" s="1"/>
  <c r="G110" i="3"/>
  <c r="J110" i="3" s="1"/>
  <c r="G111" i="3"/>
  <c r="J111" i="3" s="1"/>
  <c r="G112" i="3"/>
  <c r="J112" i="3" s="1"/>
  <c r="G113" i="3"/>
  <c r="J113" i="3" s="1"/>
  <c r="G114" i="3"/>
  <c r="J114" i="3" s="1"/>
  <c r="G115" i="3"/>
  <c r="J115" i="3" s="1"/>
  <c r="G116" i="3"/>
  <c r="J116" i="3" s="1"/>
  <c r="G117" i="3"/>
  <c r="J117" i="3" s="1"/>
  <c r="G118" i="3"/>
  <c r="J118" i="3" s="1"/>
  <c r="G119" i="3"/>
  <c r="J119" i="3" s="1"/>
  <c r="G120" i="3"/>
  <c r="J120" i="3" s="1"/>
  <c r="G121" i="3"/>
  <c r="J121" i="3" s="1"/>
  <c r="G122" i="3"/>
  <c r="J122" i="3" s="1"/>
  <c r="G123" i="3"/>
  <c r="J123" i="3" s="1"/>
  <c r="G124" i="3"/>
  <c r="J124" i="3" s="1"/>
  <c r="G125" i="3"/>
  <c r="J125" i="3" s="1"/>
  <c r="G126" i="3"/>
  <c r="J126" i="3" s="1"/>
  <c r="G127" i="3"/>
  <c r="J127" i="3" s="1"/>
  <c r="G128" i="3"/>
  <c r="J128" i="3" s="1"/>
  <c r="G129" i="3"/>
  <c r="J129" i="3" s="1"/>
  <c r="G130" i="3"/>
  <c r="J130" i="3" s="1"/>
  <c r="G131" i="3"/>
  <c r="J131" i="3" s="1"/>
  <c r="G132" i="3"/>
  <c r="J132" i="3" s="1"/>
  <c r="G133" i="3"/>
  <c r="J133" i="3" s="1"/>
  <c r="G134" i="3"/>
  <c r="J134" i="3" s="1"/>
  <c r="G135" i="3"/>
  <c r="J135" i="3" s="1"/>
  <c r="G136" i="3"/>
  <c r="J136" i="3" s="1"/>
  <c r="G137" i="3"/>
  <c r="J137" i="3" s="1"/>
  <c r="G138" i="3"/>
  <c r="J138" i="3" s="1"/>
  <c r="G139" i="3"/>
  <c r="J139" i="3" s="1"/>
  <c r="G140" i="3"/>
  <c r="J140" i="3" s="1"/>
  <c r="G141" i="3"/>
  <c r="J141" i="3" s="1"/>
  <c r="G142" i="3"/>
  <c r="J142" i="3" s="1"/>
  <c r="G143" i="3"/>
  <c r="J143" i="3" s="1"/>
  <c r="G144" i="3"/>
  <c r="J144" i="3" s="1"/>
  <c r="G145" i="3"/>
  <c r="J145" i="3" s="1"/>
  <c r="G146" i="3"/>
  <c r="J146" i="3" s="1"/>
  <c r="G147" i="3"/>
  <c r="J147" i="3" s="1"/>
  <c r="G148" i="3"/>
  <c r="J148" i="3" s="1"/>
  <c r="G149" i="3"/>
  <c r="J149" i="3" s="1"/>
  <c r="G150" i="3"/>
  <c r="J150" i="3" s="1"/>
  <c r="G151" i="3"/>
  <c r="J151" i="3" s="1"/>
  <c r="G152" i="3"/>
  <c r="J152" i="3" s="1"/>
  <c r="G153" i="3"/>
  <c r="J153" i="3" s="1"/>
  <c r="G154" i="3"/>
  <c r="J154" i="3" s="1"/>
  <c r="G155" i="3"/>
  <c r="J155" i="3" s="1"/>
  <c r="G156" i="3"/>
  <c r="J156" i="3" s="1"/>
  <c r="G157" i="3"/>
  <c r="J157" i="3" s="1"/>
  <c r="G158" i="3"/>
  <c r="J158" i="3" s="1"/>
  <c r="G159" i="3"/>
  <c r="J159" i="3" s="1"/>
  <c r="G160" i="3"/>
  <c r="J160" i="3" s="1"/>
  <c r="G161" i="3"/>
  <c r="J161" i="3" s="1"/>
  <c r="G162" i="3"/>
  <c r="J162" i="3" s="1"/>
  <c r="G163" i="3"/>
  <c r="J163" i="3" s="1"/>
  <c r="G164" i="3"/>
  <c r="J164" i="3" s="1"/>
  <c r="G165" i="3"/>
  <c r="J165" i="3" s="1"/>
  <c r="G166" i="3"/>
  <c r="J166" i="3" s="1"/>
  <c r="G167" i="3"/>
  <c r="J167" i="3" s="1"/>
  <c r="G168" i="3"/>
  <c r="J168" i="3" s="1"/>
  <c r="G169" i="3"/>
  <c r="J169" i="3" s="1"/>
  <c r="G170" i="3"/>
  <c r="J170" i="3" s="1"/>
  <c r="G171" i="3"/>
  <c r="J171" i="3" s="1"/>
  <c r="G172" i="3"/>
  <c r="J172" i="3" s="1"/>
  <c r="G173" i="3"/>
  <c r="J173" i="3" s="1"/>
  <c r="G174" i="3"/>
  <c r="J174" i="3" s="1"/>
  <c r="G175" i="3"/>
  <c r="J175" i="3" s="1"/>
  <c r="G176" i="3"/>
  <c r="J176" i="3" s="1"/>
  <c r="G177" i="3"/>
  <c r="J177" i="3" s="1"/>
  <c r="G178" i="3"/>
  <c r="J178" i="3" s="1"/>
  <c r="G179" i="3"/>
  <c r="J179" i="3" s="1"/>
  <c r="G180" i="3"/>
  <c r="J180" i="3" s="1"/>
  <c r="G181" i="3"/>
  <c r="J181" i="3" s="1"/>
  <c r="G182" i="3"/>
  <c r="J182" i="3" s="1"/>
  <c r="G183" i="3"/>
  <c r="J183" i="3" s="1"/>
  <c r="G184" i="3"/>
  <c r="J184" i="3" s="1"/>
  <c r="G185" i="3"/>
  <c r="J185" i="3" s="1"/>
  <c r="G186" i="3"/>
  <c r="J186" i="3" s="1"/>
  <c r="G187" i="3"/>
  <c r="J187" i="3" s="1"/>
  <c r="G188" i="3"/>
  <c r="J188" i="3" s="1"/>
  <c r="G189" i="3"/>
  <c r="J189" i="3" s="1"/>
  <c r="G190" i="3"/>
  <c r="J190" i="3" s="1"/>
  <c r="G191" i="3"/>
  <c r="J191" i="3" s="1"/>
  <c r="G192" i="3"/>
  <c r="J192" i="3" s="1"/>
  <c r="G193" i="3"/>
  <c r="J193" i="3" s="1"/>
  <c r="G194" i="3"/>
  <c r="J194" i="3" s="1"/>
  <c r="G195" i="3"/>
  <c r="J195" i="3" s="1"/>
  <c r="G196" i="3"/>
  <c r="J196" i="3" s="1"/>
  <c r="G197" i="3"/>
  <c r="J197" i="3" s="1"/>
  <c r="G198" i="3"/>
  <c r="J198" i="3" s="1"/>
  <c r="G199" i="3"/>
  <c r="J199" i="3" s="1"/>
  <c r="G200" i="3"/>
  <c r="J200" i="3" s="1"/>
  <c r="G201" i="3"/>
  <c r="J201" i="3" s="1"/>
  <c r="G202" i="3"/>
  <c r="J202" i="3" s="1"/>
  <c r="G203" i="3"/>
  <c r="J203" i="3" s="1"/>
  <c r="G204" i="3"/>
  <c r="J204" i="3" s="1"/>
  <c r="G205" i="3"/>
  <c r="J205" i="3" s="1"/>
  <c r="G206" i="3"/>
  <c r="J206" i="3" s="1"/>
  <c r="G207" i="3"/>
  <c r="J207" i="3" s="1"/>
  <c r="G208" i="3"/>
  <c r="J208" i="3" s="1"/>
  <c r="G209" i="3"/>
  <c r="J209" i="3" s="1"/>
  <c r="G210" i="3"/>
  <c r="J210" i="3" s="1"/>
  <c r="G211" i="3"/>
  <c r="J211" i="3" s="1"/>
  <c r="G212" i="3"/>
  <c r="J212" i="3" s="1"/>
  <c r="G213" i="3"/>
  <c r="J213" i="3" s="1"/>
  <c r="G214" i="3"/>
  <c r="J214" i="3" s="1"/>
  <c r="G215" i="3"/>
  <c r="J215" i="3" s="1"/>
  <c r="G216" i="3"/>
  <c r="J216" i="3" s="1"/>
  <c r="G217" i="3"/>
  <c r="J217" i="3" s="1"/>
  <c r="G218" i="3"/>
  <c r="J218" i="3" s="1"/>
  <c r="G219" i="3"/>
  <c r="J219" i="3" s="1"/>
  <c r="G220" i="3"/>
  <c r="J220" i="3" s="1"/>
  <c r="G221" i="3"/>
  <c r="J221" i="3" s="1"/>
  <c r="G222" i="3"/>
  <c r="J222" i="3" s="1"/>
  <c r="G223" i="3"/>
  <c r="J223" i="3" s="1"/>
  <c r="G224" i="3"/>
  <c r="J224" i="3" s="1"/>
  <c r="G225" i="3"/>
  <c r="J225" i="3" s="1"/>
  <c r="G226" i="3"/>
  <c r="J226" i="3" s="1"/>
  <c r="G227" i="3"/>
  <c r="J227" i="3" s="1"/>
  <c r="G228" i="3"/>
  <c r="J228" i="3" s="1"/>
  <c r="G229" i="3"/>
  <c r="J229" i="3" s="1"/>
  <c r="G230" i="3"/>
  <c r="J230" i="3" s="1"/>
  <c r="G231" i="3"/>
  <c r="J231" i="3" s="1"/>
  <c r="G232" i="3"/>
  <c r="J232" i="3" s="1"/>
  <c r="G233" i="3"/>
  <c r="J233" i="3" s="1"/>
  <c r="G234" i="3"/>
  <c r="J234" i="3" s="1"/>
  <c r="G235" i="3"/>
  <c r="J235" i="3" s="1"/>
  <c r="G236" i="3"/>
  <c r="J236" i="3" s="1"/>
  <c r="G237" i="3"/>
  <c r="J237" i="3" s="1"/>
  <c r="G238" i="3"/>
  <c r="J238" i="3" s="1"/>
  <c r="G239" i="3"/>
  <c r="J239" i="3" s="1"/>
  <c r="G240" i="3"/>
  <c r="J240" i="3" s="1"/>
  <c r="G241" i="3"/>
  <c r="J241" i="3" s="1"/>
  <c r="G242" i="3"/>
  <c r="J242" i="3" s="1"/>
  <c r="G243" i="3"/>
  <c r="J243" i="3" s="1"/>
  <c r="G244" i="3"/>
  <c r="J244" i="3" s="1"/>
  <c r="G245" i="3"/>
  <c r="J245" i="3" s="1"/>
  <c r="G246" i="3"/>
  <c r="J246" i="3" s="1"/>
  <c r="G247" i="3"/>
  <c r="J247" i="3" s="1"/>
  <c r="G248" i="3"/>
  <c r="J248" i="3" s="1"/>
  <c r="G249" i="3"/>
  <c r="J249" i="3" s="1"/>
  <c r="G250" i="3"/>
  <c r="J250" i="3" s="1"/>
  <c r="G251" i="3"/>
  <c r="J251" i="3" s="1"/>
  <c r="G252" i="3"/>
  <c r="J252" i="3" s="1"/>
  <c r="G253" i="3"/>
  <c r="J253" i="3" s="1"/>
  <c r="G254" i="3"/>
  <c r="J254" i="3" s="1"/>
  <c r="G255" i="3"/>
  <c r="J255" i="3" s="1"/>
  <c r="G256" i="3"/>
  <c r="J256" i="3" s="1"/>
  <c r="G257" i="3"/>
  <c r="J257" i="3" s="1"/>
  <c r="G258" i="3"/>
  <c r="J258" i="3" s="1"/>
  <c r="G259" i="3"/>
  <c r="J259" i="3" s="1"/>
  <c r="G260" i="3"/>
  <c r="J260" i="3" s="1"/>
  <c r="G261" i="3"/>
  <c r="J261" i="3" s="1"/>
  <c r="G262" i="3"/>
  <c r="J262" i="3" s="1"/>
  <c r="G263" i="3"/>
  <c r="J263" i="3" s="1"/>
  <c r="G264" i="3"/>
  <c r="J264" i="3" s="1"/>
  <c r="G265" i="3"/>
  <c r="J265" i="3" s="1"/>
  <c r="G266" i="3"/>
  <c r="J266" i="3" s="1"/>
  <c r="G267" i="3"/>
  <c r="J267" i="3" s="1"/>
  <c r="G268" i="3"/>
  <c r="J268" i="3" s="1"/>
  <c r="G269" i="3"/>
  <c r="J269" i="3" s="1"/>
  <c r="G270" i="3"/>
  <c r="J270" i="3" s="1"/>
  <c r="G271" i="3"/>
  <c r="J271" i="3" s="1"/>
  <c r="G272" i="3"/>
  <c r="J272" i="3" s="1"/>
  <c r="G273" i="3"/>
  <c r="J273" i="3" s="1"/>
  <c r="G274" i="3"/>
  <c r="J274" i="3" s="1"/>
  <c r="G275" i="3"/>
  <c r="J275" i="3" s="1"/>
  <c r="G276" i="3"/>
  <c r="J276" i="3" s="1"/>
  <c r="G277" i="3"/>
  <c r="J277" i="3" s="1"/>
  <c r="G278" i="3"/>
  <c r="J278" i="3" s="1"/>
  <c r="G279" i="3"/>
  <c r="J279" i="3" s="1"/>
  <c r="G280" i="3"/>
  <c r="J280" i="3" s="1"/>
  <c r="G281" i="3"/>
  <c r="J281" i="3" s="1"/>
  <c r="G282" i="3"/>
  <c r="J282" i="3" s="1"/>
  <c r="G283" i="3"/>
  <c r="J283" i="3" s="1"/>
  <c r="G284" i="3"/>
  <c r="J284" i="3" s="1"/>
  <c r="G285" i="3"/>
  <c r="J285" i="3" s="1"/>
  <c r="G286" i="3"/>
  <c r="J286" i="3" s="1"/>
  <c r="G287" i="3"/>
  <c r="J287" i="3" s="1"/>
  <c r="G288" i="3"/>
  <c r="J288" i="3" s="1"/>
  <c r="G289" i="3"/>
  <c r="J289" i="3" s="1"/>
  <c r="G290" i="3"/>
  <c r="J290" i="3" s="1"/>
  <c r="G291" i="3"/>
  <c r="J291" i="3" s="1"/>
  <c r="G292" i="3"/>
  <c r="J292" i="3" s="1"/>
  <c r="G293" i="3"/>
  <c r="J293" i="3" s="1"/>
  <c r="G294" i="3"/>
  <c r="J294" i="3" s="1"/>
  <c r="G295" i="3"/>
  <c r="J295" i="3" s="1"/>
  <c r="G296" i="3"/>
  <c r="J296" i="3" s="1"/>
  <c r="G297" i="3"/>
  <c r="J297" i="3" s="1"/>
  <c r="G298" i="3"/>
  <c r="J298" i="3" s="1"/>
  <c r="G299" i="3"/>
  <c r="J299" i="3" s="1"/>
  <c r="G300" i="3"/>
  <c r="J300" i="3" s="1"/>
  <c r="G301" i="3"/>
  <c r="J301" i="3" s="1"/>
  <c r="G302" i="3"/>
  <c r="J302" i="3" s="1"/>
  <c r="G303" i="3"/>
  <c r="J303" i="3" s="1"/>
  <c r="G304" i="3"/>
  <c r="J304" i="3" s="1"/>
  <c r="G305" i="3"/>
  <c r="J305" i="3" s="1"/>
  <c r="G306" i="3"/>
  <c r="J306" i="3" s="1"/>
  <c r="G307" i="3"/>
  <c r="J307" i="3" s="1"/>
  <c r="G308" i="3"/>
  <c r="J308" i="3" s="1"/>
  <c r="G309" i="3"/>
  <c r="J309" i="3" s="1"/>
  <c r="G310" i="3"/>
  <c r="J310" i="3" s="1"/>
  <c r="G311" i="3"/>
  <c r="J311" i="3" s="1"/>
  <c r="G312" i="3"/>
  <c r="J312" i="3" s="1"/>
  <c r="G313" i="3"/>
  <c r="J313" i="3" s="1"/>
  <c r="G314" i="3"/>
  <c r="J314" i="3" s="1"/>
  <c r="G315" i="3"/>
  <c r="J315" i="3" s="1"/>
  <c r="G316" i="3"/>
  <c r="J316" i="3" s="1"/>
  <c r="G317" i="3"/>
  <c r="J317" i="3" s="1"/>
  <c r="G318" i="3"/>
  <c r="J318" i="3" s="1"/>
  <c r="G319" i="3"/>
  <c r="J319" i="3" s="1"/>
  <c r="G320" i="3"/>
  <c r="J320" i="3" s="1"/>
  <c r="G321" i="3"/>
  <c r="J321" i="3" s="1"/>
  <c r="G322" i="3"/>
  <c r="J322" i="3" s="1"/>
  <c r="G323" i="3"/>
  <c r="J323" i="3" s="1"/>
  <c r="G324" i="3"/>
  <c r="J324" i="3" s="1"/>
  <c r="G325" i="3"/>
  <c r="J325" i="3" s="1"/>
  <c r="G326" i="3"/>
  <c r="J326" i="3" s="1"/>
  <c r="G327" i="3"/>
  <c r="J327" i="3" s="1"/>
  <c r="G328" i="3"/>
  <c r="J328" i="3" s="1"/>
  <c r="G329" i="3"/>
  <c r="J329" i="3" s="1"/>
  <c r="G330" i="3"/>
  <c r="J330" i="3" s="1"/>
  <c r="G331" i="3"/>
  <c r="J331" i="3" s="1"/>
  <c r="G332" i="3"/>
  <c r="J332" i="3" s="1"/>
  <c r="G333" i="3"/>
  <c r="J333" i="3" s="1"/>
  <c r="G334" i="3"/>
  <c r="J334" i="3" s="1"/>
  <c r="G335" i="3"/>
  <c r="J335" i="3" s="1"/>
  <c r="G336" i="3"/>
  <c r="J336" i="3" s="1"/>
  <c r="G337" i="3"/>
  <c r="J337" i="3" s="1"/>
  <c r="G338" i="3"/>
  <c r="J338" i="3" s="1"/>
  <c r="G339" i="3"/>
  <c r="J339" i="3" s="1"/>
  <c r="G340" i="3"/>
  <c r="J340" i="3" s="1"/>
  <c r="G341" i="3"/>
  <c r="J341" i="3" s="1"/>
  <c r="G342" i="3"/>
  <c r="J342" i="3" s="1"/>
  <c r="G343" i="3"/>
  <c r="J343" i="3" s="1"/>
  <c r="G344" i="3"/>
  <c r="G345" i="3"/>
  <c r="J345" i="3" s="1"/>
  <c r="G346" i="3"/>
  <c r="J346" i="3" s="1"/>
  <c r="G347" i="3"/>
  <c r="J347" i="3" s="1"/>
  <c r="G348" i="3"/>
  <c r="J348" i="3" s="1"/>
  <c r="G349" i="3"/>
  <c r="J349" i="3" s="1"/>
  <c r="G350" i="3"/>
  <c r="J350" i="3" s="1"/>
  <c r="G351" i="3"/>
  <c r="J351" i="3" s="1"/>
  <c r="G352" i="3"/>
  <c r="J352" i="3" s="1"/>
  <c r="G353" i="3"/>
  <c r="J353" i="3" s="1"/>
  <c r="G354" i="3"/>
  <c r="J354" i="3" s="1"/>
  <c r="G355" i="3"/>
  <c r="J355" i="3" s="1"/>
  <c r="G356" i="3"/>
  <c r="J356" i="3" s="1"/>
  <c r="G357" i="3"/>
  <c r="J357" i="3" s="1"/>
  <c r="G358" i="3"/>
  <c r="J358" i="3" s="1"/>
  <c r="G359" i="3"/>
  <c r="J359" i="3" s="1"/>
  <c r="G360" i="3"/>
  <c r="J360" i="3" s="1"/>
  <c r="G361" i="3"/>
  <c r="J361" i="3" s="1"/>
  <c r="G362" i="3"/>
  <c r="J362" i="3" s="1"/>
  <c r="G363" i="3"/>
  <c r="J363" i="3" s="1"/>
  <c r="G364" i="3"/>
  <c r="J364" i="3" s="1"/>
  <c r="G365" i="3"/>
  <c r="J365" i="3" s="1"/>
  <c r="G366" i="3"/>
  <c r="J366" i="3" s="1"/>
  <c r="G367" i="3"/>
  <c r="J367" i="3" s="1"/>
  <c r="G368" i="3"/>
  <c r="J368" i="3" s="1"/>
  <c r="G369" i="3"/>
  <c r="J369" i="3" s="1"/>
  <c r="G370" i="3"/>
  <c r="J370" i="3" s="1"/>
  <c r="G371" i="3"/>
  <c r="J371" i="3" s="1"/>
  <c r="G372" i="3"/>
  <c r="J372" i="3" s="1"/>
  <c r="G373" i="3"/>
  <c r="J373" i="3" s="1"/>
  <c r="G374" i="3"/>
  <c r="J374" i="3" s="1"/>
  <c r="G375" i="3"/>
  <c r="J375" i="3" s="1"/>
  <c r="G376" i="3"/>
  <c r="J376" i="3" s="1"/>
  <c r="G377" i="3"/>
  <c r="J377" i="3" s="1"/>
  <c r="G378" i="3"/>
  <c r="J378" i="3" s="1"/>
  <c r="G379" i="3"/>
  <c r="J379" i="3" s="1"/>
  <c r="G380" i="3"/>
  <c r="J380" i="3" s="1"/>
  <c r="G381" i="3"/>
  <c r="J381" i="3" s="1"/>
  <c r="G382" i="3"/>
  <c r="J382" i="3" s="1"/>
  <c r="G383" i="3"/>
  <c r="J383" i="3" s="1"/>
  <c r="G384" i="3"/>
  <c r="J384" i="3" s="1"/>
  <c r="G385" i="3"/>
  <c r="J385" i="3" s="1"/>
  <c r="G386" i="3"/>
  <c r="J386" i="3" s="1"/>
  <c r="G387" i="3"/>
  <c r="J387" i="3" s="1"/>
  <c r="G388" i="3"/>
  <c r="J388" i="3" s="1"/>
  <c r="G389" i="3"/>
  <c r="J389" i="3" s="1"/>
  <c r="G390" i="3"/>
  <c r="J390" i="3" s="1"/>
  <c r="G391" i="3"/>
  <c r="J391" i="3" s="1"/>
  <c r="G392" i="3"/>
  <c r="J392" i="3" s="1"/>
  <c r="G393" i="3"/>
  <c r="J393" i="3" s="1"/>
  <c r="G394" i="3"/>
  <c r="J394" i="3" s="1"/>
  <c r="G395" i="3"/>
  <c r="J395" i="3" s="1"/>
  <c r="G396" i="3"/>
  <c r="J396" i="3" s="1"/>
  <c r="G397" i="3"/>
  <c r="J397" i="3" s="1"/>
  <c r="G398" i="3"/>
  <c r="J398" i="3" s="1"/>
  <c r="G399" i="3"/>
  <c r="J399" i="3" s="1"/>
  <c r="G400" i="3"/>
  <c r="J400" i="3" s="1"/>
  <c r="G401" i="3"/>
  <c r="J401" i="3" s="1"/>
  <c r="G402" i="3"/>
  <c r="J402" i="3" s="1"/>
  <c r="G403" i="3"/>
  <c r="J403" i="3" s="1"/>
  <c r="G404" i="3"/>
  <c r="J404" i="3" s="1"/>
  <c r="G405" i="3"/>
  <c r="J405" i="3" s="1"/>
  <c r="G406" i="3"/>
  <c r="J406" i="3" s="1"/>
  <c r="G407" i="3"/>
  <c r="J407" i="3" s="1"/>
  <c r="G408" i="3"/>
  <c r="J408" i="3" s="1"/>
  <c r="G409" i="3"/>
  <c r="J409" i="3" s="1"/>
  <c r="G410" i="3"/>
  <c r="J410" i="3" s="1"/>
  <c r="G411" i="3"/>
  <c r="J411" i="3" s="1"/>
  <c r="G412" i="3"/>
  <c r="J412" i="3" s="1"/>
  <c r="G413" i="3"/>
  <c r="J413" i="3" s="1"/>
  <c r="G414" i="3"/>
  <c r="J414" i="3" s="1"/>
  <c r="G415" i="3"/>
  <c r="J415" i="3" s="1"/>
  <c r="G416" i="3"/>
  <c r="J416" i="3" s="1"/>
  <c r="G417" i="3"/>
  <c r="J417" i="3" s="1"/>
  <c r="G418" i="3"/>
  <c r="J418" i="3" s="1"/>
  <c r="G419" i="3"/>
  <c r="J419" i="3" s="1"/>
  <c r="G420" i="3"/>
  <c r="J420" i="3" s="1"/>
  <c r="G421" i="3"/>
  <c r="J421" i="3" s="1"/>
  <c r="G422" i="3"/>
  <c r="J422" i="3" s="1"/>
  <c r="G423" i="3"/>
  <c r="J423" i="3" s="1"/>
  <c r="G424" i="3"/>
  <c r="J424" i="3" s="1"/>
  <c r="G425" i="3"/>
  <c r="J425" i="3" s="1"/>
  <c r="G426" i="3"/>
  <c r="J426" i="3" s="1"/>
  <c r="G427" i="3"/>
  <c r="J427" i="3" s="1"/>
  <c r="G428" i="3"/>
  <c r="J428" i="3" s="1"/>
  <c r="G429" i="3"/>
  <c r="J429" i="3" s="1"/>
  <c r="G430" i="3"/>
  <c r="J430" i="3" s="1"/>
  <c r="G431" i="3"/>
  <c r="J431" i="3" s="1"/>
  <c r="G432" i="3"/>
  <c r="J432" i="3" s="1"/>
  <c r="G433" i="3"/>
  <c r="J433" i="3" s="1"/>
  <c r="G434" i="3"/>
  <c r="J434" i="3" s="1"/>
  <c r="G435" i="3"/>
  <c r="J435" i="3" s="1"/>
  <c r="G436" i="3"/>
  <c r="J436" i="3" s="1"/>
  <c r="G437" i="3"/>
  <c r="J437" i="3" s="1"/>
  <c r="G438" i="3"/>
  <c r="J438" i="3" s="1"/>
  <c r="G439" i="3"/>
  <c r="J439" i="3" s="1"/>
  <c r="G440" i="3"/>
  <c r="J440" i="3" s="1"/>
  <c r="G441" i="3"/>
  <c r="J441" i="3" s="1"/>
  <c r="G442" i="3"/>
  <c r="J442" i="3" s="1"/>
  <c r="G443" i="3"/>
  <c r="J443" i="3" s="1"/>
  <c r="G444" i="3"/>
  <c r="J444" i="3" s="1"/>
  <c r="G445" i="3"/>
  <c r="J445" i="3" s="1"/>
  <c r="G446" i="3"/>
  <c r="J446" i="3" s="1"/>
  <c r="G447" i="3"/>
  <c r="J447" i="3" s="1"/>
  <c r="G448" i="3"/>
  <c r="J448" i="3" s="1"/>
  <c r="G449" i="3"/>
  <c r="J449" i="3" s="1"/>
  <c r="G450" i="3"/>
  <c r="J450" i="3" s="1"/>
  <c r="G451" i="3"/>
  <c r="J451" i="3" s="1"/>
  <c r="G452" i="3"/>
  <c r="J452" i="3" s="1"/>
  <c r="G453" i="3"/>
  <c r="J453" i="3" s="1"/>
  <c r="G454" i="3"/>
  <c r="J454" i="3" s="1"/>
  <c r="G455" i="3"/>
  <c r="J455" i="3" s="1"/>
  <c r="G456" i="3"/>
  <c r="J456" i="3" s="1"/>
  <c r="G457" i="3"/>
  <c r="J457" i="3" s="1"/>
  <c r="G458" i="3"/>
  <c r="J458" i="3" s="1"/>
  <c r="G459" i="3"/>
  <c r="J459" i="3" s="1"/>
  <c r="G460" i="3"/>
  <c r="J460" i="3" s="1"/>
  <c r="G461" i="3"/>
  <c r="J461" i="3" s="1"/>
  <c r="G462" i="3"/>
  <c r="J462" i="3" s="1"/>
  <c r="G463" i="3"/>
  <c r="J463" i="3" s="1"/>
  <c r="G464" i="3"/>
  <c r="J464" i="3" s="1"/>
  <c r="G465" i="3"/>
  <c r="J465" i="3" s="1"/>
  <c r="G466" i="3"/>
  <c r="J466" i="3" s="1"/>
  <c r="G467" i="3"/>
  <c r="J467" i="3" s="1"/>
  <c r="G468" i="3"/>
  <c r="J468" i="3" s="1"/>
  <c r="G469" i="3"/>
  <c r="J469" i="3" s="1"/>
  <c r="G470" i="3"/>
  <c r="J470" i="3" s="1"/>
  <c r="G471" i="3"/>
  <c r="J471" i="3" s="1"/>
  <c r="G472" i="3"/>
  <c r="J472" i="3" s="1"/>
  <c r="G473" i="3"/>
  <c r="J473" i="3" s="1"/>
  <c r="G474" i="3"/>
  <c r="J474" i="3" s="1"/>
  <c r="G475" i="3"/>
  <c r="J475" i="3" s="1"/>
  <c r="G476" i="3"/>
  <c r="J476" i="3" s="1"/>
  <c r="G477" i="3"/>
  <c r="J477" i="3" s="1"/>
  <c r="G478" i="3"/>
  <c r="J478" i="3" s="1"/>
  <c r="G479" i="3"/>
  <c r="J479" i="3" s="1"/>
  <c r="G480" i="3"/>
  <c r="J480" i="3" s="1"/>
  <c r="G481" i="3"/>
  <c r="J481" i="3" s="1"/>
  <c r="G482" i="3"/>
  <c r="J482" i="3" s="1"/>
  <c r="G483" i="3"/>
  <c r="J483" i="3" s="1"/>
  <c r="G484" i="3"/>
  <c r="J484" i="3" s="1"/>
  <c r="G485" i="3"/>
  <c r="J485" i="3" s="1"/>
  <c r="G486" i="3"/>
  <c r="J486" i="3" s="1"/>
  <c r="G487" i="3"/>
  <c r="J487" i="3" s="1"/>
  <c r="G488" i="3"/>
  <c r="J488" i="3" s="1"/>
  <c r="G489" i="3"/>
  <c r="J489" i="3" s="1"/>
  <c r="G490" i="3"/>
  <c r="J490" i="3" s="1"/>
  <c r="G491" i="3"/>
  <c r="J491" i="3" s="1"/>
  <c r="G492" i="3"/>
  <c r="J492" i="3" s="1"/>
  <c r="G493" i="3"/>
  <c r="J493" i="3" s="1"/>
  <c r="G494" i="3"/>
  <c r="J494" i="3" s="1"/>
  <c r="G495" i="3"/>
  <c r="J495" i="3" s="1"/>
  <c r="G496" i="3"/>
  <c r="J496" i="3" s="1"/>
  <c r="G497" i="3"/>
  <c r="J497" i="3" s="1"/>
  <c r="G498" i="3"/>
  <c r="J498" i="3" s="1"/>
  <c r="G499" i="3"/>
  <c r="J499" i="3" s="1"/>
  <c r="G500" i="3"/>
  <c r="J500" i="3" s="1"/>
  <c r="G501" i="3"/>
  <c r="J501" i="3" s="1"/>
  <c r="G502" i="3"/>
  <c r="J502" i="3" s="1"/>
  <c r="G503" i="3"/>
  <c r="J503" i="3" s="1"/>
  <c r="G504" i="3"/>
  <c r="J504" i="3" s="1"/>
  <c r="G505" i="3"/>
  <c r="J505" i="3" s="1"/>
  <c r="G506" i="3"/>
  <c r="J506" i="3" s="1"/>
  <c r="G507" i="3"/>
  <c r="J507" i="3" s="1"/>
  <c r="G508" i="3"/>
  <c r="J508" i="3" s="1"/>
  <c r="G509" i="3"/>
  <c r="J509" i="3" s="1"/>
  <c r="G510" i="3"/>
  <c r="J510" i="3" s="1"/>
  <c r="G511" i="3"/>
  <c r="J511" i="3" s="1"/>
  <c r="G512" i="3"/>
  <c r="J512" i="3" s="1"/>
  <c r="G513" i="3"/>
  <c r="J513" i="3" s="1"/>
  <c r="G514" i="3"/>
  <c r="J514" i="3" s="1"/>
  <c r="G515" i="3"/>
  <c r="J515" i="3" s="1"/>
  <c r="G516" i="3"/>
  <c r="J516" i="3" s="1"/>
  <c r="G517" i="3"/>
  <c r="J517" i="3" s="1"/>
  <c r="G518" i="3"/>
  <c r="J518" i="3" s="1"/>
  <c r="G519" i="3"/>
  <c r="J519" i="3" s="1"/>
  <c r="G520" i="3"/>
  <c r="J520" i="3" s="1"/>
  <c r="G521" i="3"/>
  <c r="J521" i="3" s="1"/>
  <c r="G522" i="3"/>
  <c r="J522" i="3" s="1"/>
  <c r="G523" i="3"/>
  <c r="J523" i="3" s="1"/>
  <c r="G524" i="3"/>
  <c r="J524" i="3" s="1"/>
  <c r="G525" i="3"/>
  <c r="J525" i="3" s="1"/>
  <c r="G526" i="3"/>
  <c r="J526" i="3" s="1"/>
  <c r="G527" i="3"/>
  <c r="J527" i="3" s="1"/>
  <c r="G528" i="3"/>
  <c r="J528" i="3" s="1"/>
  <c r="G529" i="3"/>
  <c r="J529" i="3" s="1"/>
  <c r="G530" i="3"/>
  <c r="J530" i="3" s="1"/>
  <c r="G531" i="3"/>
  <c r="J531" i="3" s="1"/>
  <c r="G532" i="3"/>
  <c r="J532" i="3" s="1"/>
  <c r="G533" i="3"/>
  <c r="J533" i="3" s="1"/>
  <c r="G534" i="3"/>
  <c r="J534" i="3" s="1"/>
  <c r="G535" i="3"/>
  <c r="J535" i="3" s="1"/>
  <c r="G536" i="3"/>
  <c r="J536" i="3" s="1"/>
  <c r="G537" i="3"/>
  <c r="J537" i="3" s="1"/>
  <c r="G538" i="3"/>
  <c r="J538" i="3" s="1"/>
  <c r="G539" i="3"/>
  <c r="J539" i="3" s="1"/>
  <c r="G540" i="3"/>
  <c r="J540" i="3" s="1"/>
  <c r="G541" i="3"/>
  <c r="J541" i="3" s="1"/>
  <c r="G542" i="3"/>
  <c r="J542" i="3" s="1"/>
  <c r="G543" i="3"/>
  <c r="J543" i="3" s="1"/>
  <c r="G544" i="3"/>
  <c r="J544" i="3" s="1"/>
  <c r="G545" i="3"/>
  <c r="J545" i="3" s="1"/>
  <c r="G546" i="3"/>
  <c r="J546" i="3" s="1"/>
  <c r="G547" i="3"/>
  <c r="J547" i="3" s="1"/>
  <c r="G548" i="3"/>
  <c r="J548" i="3" s="1"/>
  <c r="G549" i="3"/>
  <c r="J549" i="3" s="1"/>
  <c r="G550" i="3"/>
  <c r="J550" i="3" s="1"/>
  <c r="G551" i="3"/>
  <c r="J551" i="3" s="1"/>
  <c r="G552" i="3"/>
  <c r="J552" i="3" s="1"/>
  <c r="G553" i="3"/>
  <c r="J553" i="3" s="1"/>
  <c r="G554" i="3"/>
  <c r="J554" i="3" s="1"/>
  <c r="G555" i="3"/>
  <c r="J555" i="3" s="1"/>
  <c r="G556" i="3"/>
  <c r="J556" i="3" s="1"/>
  <c r="G557" i="3"/>
  <c r="J557" i="3" s="1"/>
  <c r="G558" i="3"/>
  <c r="J558" i="3" s="1"/>
  <c r="G559" i="3"/>
  <c r="J559" i="3" s="1"/>
  <c r="G560" i="3"/>
  <c r="J560" i="3" s="1"/>
  <c r="G561" i="3"/>
  <c r="J561" i="3" s="1"/>
  <c r="G562" i="3"/>
  <c r="J562" i="3" s="1"/>
  <c r="G563" i="3"/>
  <c r="J563" i="3" s="1"/>
  <c r="G564" i="3"/>
  <c r="J564" i="3" s="1"/>
  <c r="G565" i="3"/>
  <c r="J565" i="3" s="1"/>
  <c r="G566" i="3"/>
  <c r="J566" i="3" s="1"/>
  <c r="G567" i="3"/>
  <c r="J567" i="3" s="1"/>
  <c r="G568" i="3"/>
  <c r="J568" i="3" s="1"/>
  <c r="G569" i="3"/>
  <c r="J569" i="3" s="1"/>
  <c r="G570" i="3"/>
  <c r="J570" i="3" s="1"/>
  <c r="G571" i="3"/>
  <c r="J571" i="3" s="1"/>
  <c r="G572" i="3"/>
  <c r="J572" i="3" s="1"/>
  <c r="G573" i="3"/>
  <c r="J573" i="3" s="1"/>
  <c r="G574" i="3"/>
  <c r="J574" i="3" s="1"/>
  <c r="G575" i="3"/>
  <c r="J575" i="3" s="1"/>
  <c r="G576" i="3"/>
  <c r="J576" i="3" s="1"/>
  <c r="G577" i="3"/>
  <c r="J577" i="3" s="1"/>
  <c r="G578" i="3"/>
  <c r="J578" i="3" s="1"/>
  <c r="G579" i="3"/>
  <c r="J579" i="3" s="1"/>
  <c r="G580" i="3"/>
  <c r="J580" i="3" s="1"/>
  <c r="G581" i="3"/>
  <c r="J581" i="3" s="1"/>
  <c r="G582" i="3"/>
  <c r="J582" i="3" s="1"/>
  <c r="G583" i="3"/>
  <c r="J583" i="3" s="1"/>
  <c r="G584" i="3"/>
  <c r="J584" i="3" s="1"/>
  <c r="G585" i="3"/>
  <c r="J585" i="3" s="1"/>
  <c r="G586" i="3"/>
  <c r="J586" i="3" s="1"/>
  <c r="G587" i="3"/>
  <c r="J587" i="3" s="1"/>
  <c r="G588" i="3"/>
  <c r="J588" i="3" s="1"/>
  <c r="G589" i="3"/>
  <c r="J589" i="3" s="1"/>
  <c r="G590" i="3"/>
  <c r="J590" i="3" s="1"/>
  <c r="G591" i="3"/>
  <c r="J591" i="3" s="1"/>
  <c r="G592" i="3"/>
  <c r="J592" i="3" s="1"/>
  <c r="G593" i="3"/>
  <c r="J593" i="3" s="1"/>
  <c r="G594" i="3"/>
  <c r="J594" i="3" s="1"/>
  <c r="G595" i="3"/>
  <c r="J595" i="3" s="1"/>
  <c r="G596" i="3"/>
  <c r="J596" i="3" s="1"/>
  <c r="G597" i="3"/>
  <c r="J597" i="3" s="1"/>
  <c r="G598" i="3"/>
  <c r="J598" i="3" s="1"/>
  <c r="G599" i="3"/>
  <c r="J599" i="3" s="1"/>
  <c r="G600" i="3"/>
  <c r="J600" i="3" s="1"/>
  <c r="G601" i="3"/>
  <c r="J601" i="3" s="1"/>
  <c r="G602" i="3"/>
  <c r="J602" i="3" s="1"/>
  <c r="G603" i="3"/>
  <c r="J603" i="3" s="1"/>
  <c r="G604" i="3"/>
  <c r="G605" i="3"/>
  <c r="J605" i="3" s="1"/>
  <c r="G606" i="3"/>
  <c r="J606" i="3" s="1"/>
  <c r="G607" i="3"/>
  <c r="J607" i="3" s="1"/>
  <c r="G608" i="3"/>
  <c r="J608" i="3" s="1"/>
  <c r="G609" i="3"/>
  <c r="J609" i="3" s="1"/>
  <c r="G610" i="3"/>
  <c r="J610" i="3" s="1"/>
  <c r="G611" i="3"/>
  <c r="J611" i="3" s="1"/>
  <c r="G612" i="3"/>
  <c r="J612" i="3" s="1"/>
  <c r="G613" i="3"/>
  <c r="J613" i="3" s="1"/>
  <c r="G614" i="3"/>
  <c r="J614" i="3" s="1"/>
  <c r="G615" i="3"/>
  <c r="J615" i="3" s="1"/>
  <c r="G616" i="3"/>
  <c r="J616" i="3" s="1"/>
  <c r="G617" i="3"/>
  <c r="J617" i="3" s="1"/>
  <c r="G618" i="3"/>
  <c r="J618" i="3" s="1"/>
  <c r="G619" i="3"/>
  <c r="J619" i="3" s="1"/>
  <c r="G620" i="3"/>
  <c r="J620" i="3" s="1"/>
  <c r="G621" i="3"/>
  <c r="J621" i="3" s="1"/>
  <c r="G622" i="3"/>
  <c r="J622" i="3" s="1"/>
  <c r="G623" i="3"/>
  <c r="J623" i="3" s="1"/>
  <c r="G624" i="3"/>
  <c r="J624" i="3" s="1"/>
  <c r="G625" i="3"/>
  <c r="J625" i="3" s="1"/>
  <c r="G626" i="3"/>
  <c r="J626" i="3" s="1"/>
  <c r="G627" i="3"/>
  <c r="J627" i="3" s="1"/>
  <c r="G628" i="3"/>
  <c r="J628" i="3" s="1"/>
  <c r="G629" i="3"/>
  <c r="J629" i="3" s="1"/>
  <c r="G630" i="3"/>
  <c r="J630" i="3" s="1"/>
  <c r="G631" i="3"/>
  <c r="J631" i="3" s="1"/>
  <c r="G632" i="3"/>
  <c r="J632" i="3" s="1"/>
  <c r="G633" i="3"/>
  <c r="J633" i="3" s="1"/>
  <c r="G634" i="3"/>
  <c r="J634" i="3" s="1"/>
  <c r="G635" i="3"/>
  <c r="J635" i="3" s="1"/>
  <c r="G636" i="3"/>
  <c r="J636" i="3" s="1"/>
  <c r="G637" i="3"/>
  <c r="J637" i="3" s="1"/>
  <c r="G638" i="3"/>
  <c r="J638" i="3" s="1"/>
  <c r="G639" i="3"/>
  <c r="J639" i="3" s="1"/>
  <c r="G640" i="3"/>
  <c r="J640" i="3" s="1"/>
  <c r="G641" i="3"/>
  <c r="J641" i="3" s="1"/>
  <c r="G642" i="3"/>
  <c r="J642" i="3" s="1"/>
  <c r="G643" i="3"/>
  <c r="J643" i="3" s="1"/>
  <c r="G644" i="3"/>
  <c r="J644" i="3" s="1"/>
  <c r="G645" i="3"/>
  <c r="J645" i="3" s="1"/>
  <c r="G646" i="3"/>
  <c r="J646" i="3" s="1"/>
  <c r="G647" i="3"/>
  <c r="J647" i="3" s="1"/>
  <c r="G648" i="3"/>
  <c r="J648" i="3" s="1"/>
  <c r="G649" i="3"/>
  <c r="J649" i="3" s="1"/>
  <c r="G650" i="3"/>
  <c r="J650" i="3" s="1"/>
  <c r="G651" i="3"/>
  <c r="J651" i="3" s="1"/>
  <c r="G652" i="3"/>
  <c r="J652" i="3" s="1"/>
  <c r="G653" i="3"/>
  <c r="J653" i="3" s="1"/>
  <c r="G654" i="3"/>
  <c r="J654" i="3" s="1"/>
  <c r="G655" i="3"/>
  <c r="J655" i="3" s="1"/>
  <c r="G656" i="3"/>
  <c r="J656" i="3" s="1"/>
  <c r="G657" i="3"/>
  <c r="J657" i="3" s="1"/>
  <c r="G658" i="3"/>
  <c r="J658" i="3" s="1"/>
  <c r="G659" i="3"/>
  <c r="J659" i="3" s="1"/>
  <c r="G660" i="3"/>
  <c r="J660" i="3" s="1"/>
  <c r="G661" i="3"/>
  <c r="J661" i="3" s="1"/>
  <c r="G662" i="3"/>
  <c r="J662" i="3" s="1"/>
  <c r="G663" i="3"/>
  <c r="J663" i="3" s="1"/>
  <c r="G664" i="3"/>
  <c r="J664" i="3" s="1"/>
  <c r="G665" i="3"/>
  <c r="J665" i="3" s="1"/>
  <c r="G666" i="3"/>
  <c r="J666" i="3" s="1"/>
  <c r="G667" i="3"/>
  <c r="J667" i="3" s="1"/>
  <c r="G668" i="3"/>
  <c r="J668" i="3" s="1"/>
  <c r="G669" i="3"/>
  <c r="J669" i="3" s="1"/>
  <c r="G670" i="3"/>
  <c r="J670" i="3" s="1"/>
  <c r="G671" i="3"/>
  <c r="J671" i="3" s="1"/>
  <c r="G672" i="3"/>
  <c r="J672" i="3" s="1"/>
  <c r="G673" i="3"/>
  <c r="J673" i="3" s="1"/>
  <c r="G674" i="3"/>
  <c r="J674" i="3" s="1"/>
  <c r="G675" i="3"/>
  <c r="J675" i="3" s="1"/>
  <c r="G676" i="3"/>
  <c r="J676" i="3" s="1"/>
  <c r="G677" i="3"/>
  <c r="J677" i="3" s="1"/>
  <c r="G678" i="3"/>
  <c r="J678" i="3" s="1"/>
  <c r="G679" i="3"/>
  <c r="J679" i="3" s="1"/>
  <c r="G680" i="3"/>
  <c r="J680" i="3" s="1"/>
  <c r="G681" i="3"/>
  <c r="J681" i="3" s="1"/>
  <c r="G682" i="3"/>
  <c r="J682" i="3" s="1"/>
  <c r="G683" i="3"/>
  <c r="J683" i="3" s="1"/>
  <c r="G684" i="3"/>
  <c r="J684" i="3" s="1"/>
  <c r="G685" i="3"/>
  <c r="J685" i="3" s="1"/>
  <c r="G686" i="3"/>
  <c r="J686" i="3" s="1"/>
  <c r="G687" i="3"/>
  <c r="J687" i="3" s="1"/>
  <c r="G688" i="3"/>
  <c r="J688" i="3" s="1"/>
  <c r="G689" i="3"/>
  <c r="J689" i="3" s="1"/>
  <c r="G690" i="3"/>
  <c r="J690" i="3" s="1"/>
  <c r="G691" i="3"/>
  <c r="J691" i="3" s="1"/>
  <c r="G692" i="3"/>
  <c r="J692" i="3" s="1"/>
  <c r="G693" i="3"/>
  <c r="J693" i="3" s="1"/>
  <c r="G694" i="3"/>
  <c r="J694" i="3" s="1"/>
  <c r="G695" i="3"/>
  <c r="J695" i="3" s="1"/>
  <c r="G696" i="3"/>
  <c r="J696" i="3" s="1"/>
  <c r="G697" i="3"/>
  <c r="J697" i="3" s="1"/>
  <c r="G698" i="3"/>
  <c r="J698" i="3" s="1"/>
  <c r="G699" i="3"/>
  <c r="J699" i="3" s="1"/>
  <c r="G700" i="3"/>
  <c r="J700" i="3" s="1"/>
  <c r="G701" i="3"/>
  <c r="J701" i="3" s="1"/>
  <c r="G702" i="3"/>
  <c r="J702" i="3" s="1"/>
  <c r="G703" i="3"/>
  <c r="J703" i="3" s="1"/>
  <c r="G704" i="3"/>
  <c r="J704" i="3" s="1"/>
  <c r="G705" i="3"/>
  <c r="J705" i="3" s="1"/>
  <c r="G706" i="3"/>
  <c r="J706" i="3" s="1"/>
  <c r="G707" i="3"/>
  <c r="J707" i="3" s="1"/>
  <c r="G708" i="3"/>
  <c r="J708" i="3" s="1"/>
  <c r="G709" i="3"/>
  <c r="J709" i="3" s="1"/>
  <c r="G710" i="3"/>
  <c r="J710" i="3" s="1"/>
  <c r="G711" i="3"/>
  <c r="J711" i="3" s="1"/>
  <c r="G712" i="3"/>
  <c r="J712" i="3" s="1"/>
  <c r="G713" i="3"/>
  <c r="J713" i="3" s="1"/>
  <c r="G714" i="3"/>
  <c r="J714" i="3" s="1"/>
  <c r="G715" i="3"/>
  <c r="J715" i="3" s="1"/>
  <c r="G716" i="3"/>
  <c r="J716" i="3" s="1"/>
  <c r="G717" i="3"/>
  <c r="J717" i="3" s="1"/>
  <c r="G718" i="3"/>
  <c r="J718" i="3" s="1"/>
  <c r="G719" i="3"/>
  <c r="J719" i="3" s="1"/>
  <c r="G720" i="3"/>
  <c r="J720" i="3" s="1"/>
  <c r="G721" i="3"/>
  <c r="J721" i="3" s="1"/>
  <c r="G722" i="3"/>
  <c r="J722" i="3" s="1"/>
  <c r="G723" i="3"/>
  <c r="J723" i="3" s="1"/>
  <c r="G724" i="3"/>
  <c r="J724" i="3" s="1"/>
  <c r="G725" i="3"/>
  <c r="J725" i="3" s="1"/>
  <c r="G726" i="3"/>
  <c r="J726" i="3" s="1"/>
  <c r="G727" i="3"/>
  <c r="J727" i="3" s="1"/>
  <c r="G728" i="3"/>
  <c r="J728" i="3" s="1"/>
  <c r="G729" i="3"/>
  <c r="J729" i="3" s="1"/>
  <c r="G730" i="3"/>
  <c r="J730" i="3" s="1"/>
  <c r="G731" i="3"/>
  <c r="J731" i="3" s="1"/>
  <c r="G732" i="3"/>
  <c r="J732" i="3" s="1"/>
  <c r="G733" i="3"/>
  <c r="J733" i="3" s="1"/>
  <c r="G734" i="3"/>
  <c r="J734" i="3" s="1"/>
  <c r="G735" i="3"/>
  <c r="J735" i="3" s="1"/>
  <c r="G736" i="3"/>
  <c r="J736" i="3" s="1"/>
  <c r="G737" i="3"/>
  <c r="J737" i="3" s="1"/>
  <c r="G738" i="3"/>
  <c r="J738" i="3" s="1"/>
  <c r="G739" i="3"/>
  <c r="J739" i="3" s="1"/>
  <c r="G740" i="3"/>
  <c r="J740" i="3" s="1"/>
  <c r="G741" i="3"/>
  <c r="J741" i="3" s="1"/>
  <c r="G742" i="3"/>
  <c r="J742" i="3" s="1"/>
  <c r="G743" i="3"/>
  <c r="G744" i="3"/>
  <c r="J744" i="3" s="1"/>
  <c r="G745" i="3"/>
  <c r="J745" i="3" s="1"/>
  <c r="G746" i="3"/>
  <c r="J746" i="3" s="1"/>
  <c r="G747" i="3"/>
  <c r="J747" i="3" s="1"/>
  <c r="G748" i="3"/>
  <c r="J748" i="3" s="1"/>
  <c r="G749" i="3"/>
  <c r="J749" i="3" s="1"/>
  <c r="G750" i="3"/>
  <c r="J750" i="3" s="1"/>
  <c r="G751" i="3"/>
  <c r="J751" i="3" s="1"/>
  <c r="G752" i="3"/>
  <c r="J752" i="3" s="1"/>
  <c r="G753" i="3"/>
  <c r="J753" i="3" s="1"/>
  <c r="G754" i="3"/>
  <c r="J754" i="3" s="1"/>
  <c r="G755" i="3"/>
  <c r="J755" i="3" s="1"/>
  <c r="G756" i="3"/>
  <c r="J756" i="3" s="1"/>
  <c r="G757" i="3"/>
  <c r="J757" i="3" s="1"/>
  <c r="G758" i="3"/>
  <c r="J758" i="3" s="1"/>
  <c r="G759" i="3"/>
  <c r="J759" i="3" s="1"/>
  <c r="G760" i="3"/>
  <c r="J760" i="3" s="1"/>
  <c r="G761" i="3"/>
  <c r="J761" i="3" s="1"/>
  <c r="G762" i="3"/>
  <c r="J762" i="3" s="1"/>
  <c r="G763" i="3"/>
  <c r="J763" i="3" s="1"/>
  <c r="G764" i="3"/>
  <c r="J764" i="3" s="1"/>
  <c r="G765" i="3"/>
  <c r="J765" i="3" s="1"/>
  <c r="G766" i="3"/>
  <c r="J766" i="3" s="1"/>
  <c r="G767" i="3"/>
  <c r="J767" i="3" s="1"/>
  <c r="G768" i="3"/>
  <c r="J768" i="3" s="1"/>
  <c r="G769" i="3"/>
  <c r="J769" i="3" s="1"/>
  <c r="G770" i="3"/>
  <c r="J770" i="3" s="1"/>
  <c r="G771" i="3"/>
  <c r="J771" i="3" s="1"/>
  <c r="G772" i="3"/>
  <c r="J772" i="3" s="1"/>
  <c r="G773" i="3"/>
  <c r="J773" i="3" s="1"/>
  <c r="G774" i="3"/>
  <c r="J774" i="3" s="1"/>
  <c r="G775" i="3"/>
  <c r="J775" i="3" s="1"/>
  <c r="G776" i="3"/>
  <c r="J776" i="3" s="1"/>
  <c r="G777" i="3"/>
  <c r="J777" i="3" s="1"/>
  <c r="G778" i="3"/>
  <c r="J778" i="3" s="1"/>
  <c r="G779" i="3"/>
  <c r="J779" i="3" s="1"/>
  <c r="G780" i="3"/>
  <c r="J780" i="3" s="1"/>
  <c r="G781" i="3"/>
  <c r="J781" i="3" s="1"/>
  <c r="G782" i="3"/>
  <c r="J782" i="3" s="1"/>
  <c r="G783" i="3"/>
  <c r="J783" i="3" s="1"/>
  <c r="G784" i="3"/>
  <c r="J784" i="3" s="1"/>
  <c r="G785" i="3"/>
  <c r="J785" i="3" s="1"/>
  <c r="G786" i="3"/>
  <c r="J786" i="3" s="1"/>
  <c r="G787" i="3"/>
  <c r="J787" i="3" s="1"/>
  <c r="G788" i="3"/>
  <c r="J788" i="3" s="1"/>
  <c r="G789" i="3"/>
  <c r="J789" i="3" s="1"/>
  <c r="G790" i="3"/>
  <c r="J790" i="3" s="1"/>
  <c r="G791" i="3"/>
  <c r="J791" i="3" s="1"/>
  <c r="G792" i="3"/>
  <c r="J792" i="3" s="1"/>
  <c r="G793" i="3"/>
  <c r="J793" i="3" s="1"/>
  <c r="G794" i="3"/>
  <c r="J794" i="3" s="1"/>
  <c r="G795" i="3"/>
  <c r="J795" i="3" s="1"/>
  <c r="G796" i="3"/>
  <c r="J796" i="3" s="1"/>
  <c r="G797" i="3"/>
  <c r="J797" i="3" s="1"/>
  <c r="G798" i="3"/>
  <c r="J798" i="3" s="1"/>
  <c r="G799" i="3"/>
  <c r="J799" i="3" s="1"/>
  <c r="G800" i="3"/>
  <c r="J800" i="3" s="1"/>
  <c r="G801" i="3"/>
  <c r="J801" i="3" s="1"/>
  <c r="G802" i="3"/>
  <c r="J802" i="3" s="1"/>
  <c r="G803" i="3"/>
  <c r="J803" i="3" s="1"/>
  <c r="G804" i="3"/>
  <c r="J804" i="3" s="1"/>
  <c r="G805" i="3"/>
  <c r="J805" i="3" s="1"/>
  <c r="G806" i="3"/>
  <c r="J806" i="3" s="1"/>
  <c r="G807" i="3"/>
  <c r="J807" i="3" s="1"/>
  <c r="G808" i="3"/>
  <c r="J808" i="3" s="1"/>
  <c r="G809" i="3"/>
  <c r="J809" i="3" s="1"/>
  <c r="G810" i="3"/>
  <c r="J810" i="3" s="1"/>
  <c r="G811" i="3"/>
  <c r="J811" i="3" s="1"/>
  <c r="G812" i="3"/>
  <c r="J812" i="3" s="1"/>
  <c r="G813" i="3"/>
  <c r="J813" i="3" s="1"/>
  <c r="G814" i="3"/>
  <c r="J814" i="3" s="1"/>
  <c r="G815" i="3"/>
  <c r="J815" i="3" s="1"/>
  <c r="G816" i="3"/>
  <c r="J816" i="3" s="1"/>
  <c r="G817" i="3"/>
  <c r="J817" i="3" s="1"/>
  <c r="G818" i="3"/>
  <c r="J818" i="3" s="1"/>
  <c r="G819" i="3"/>
  <c r="J819" i="3" s="1"/>
  <c r="G820" i="3"/>
  <c r="J820" i="3" s="1"/>
  <c r="G821" i="3"/>
  <c r="J821" i="3" s="1"/>
  <c r="G822" i="3"/>
  <c r="J822" i="3" s="1"/>
  <c r="G823" i="3"/>
  <c r="J823" i="3" s="1"/>
  <c r="G824" i="3"/>
  <c r="J824" i="3" s="1"/>
  <c r="G825" i="3"/>
  <c r="J825" i="3" s="1"/>
  <c r="G826" i="3"/>
  <c r="J826" i="3" s="1"/>
  <c r="G827" i="3"/>
  <c r="J827" i="3" s="1"/>
  <c r="G828" i="3"/>
  <c r="J828" i="3" s="1"/>
  <c r="G829" i="3"/>
  <c r="J829" i="3" s="1"/>
  <c r="G830" i="3"/>
  <c r="J830" i="3" s="1"/>
  <c r="G831" i="3"/>
  <c r="J831" i="3" s="1"/>
  <c r="G832" i="3"/>
  <c r="J832" i="3" s="1"/>
  <c r="G833" i="3"/>
  <c r="J833" i="3" s="1"/>
  <c r="G834" i="3"/>
  <c r="J834" i="3" s="1"/>
  <c r="G835" i="3"/>
  <c r="J835" i="3" s="1"/>
  <c r="G836" i="3"/>
  <c r="J836" i="3" s="1"/>
  <c r="G837" i="3"/>
  <c r="J837" i="3" s="1"/>
  <c r="G838" i="3"/>
  <c r="J838" i="3" s="1"/>
  <c r="G839" i="3"/>
  <c r="J839" i="3" s="1"/>
  <c r="G840" i="3"/>
  <c r="J840" i="3" s="1"/>
  <c r="G841" i="3"/>
  <c r="J841" i="3" s="1"/>
  <c r="G842" i="3"/>
  <c r="J842" i="3" s="1"/>
  <c r="G843" i="3"/>
  <c r="J843" i="3" s="1"/>
  <c r="G844" i="3"/>
  <c r="J844" i="3" s="1"/>
  <c r="G845" i="3"/>
  <c r="J845" i="3" s="1"/>
  <c r="G846" i="3"/>
  <c r="J846" i="3" s="1"/>
  <c r="G847" i="3"/>
  <c r="J847" i="3" s="1"/>
  <c r="G848" i="3"/>
  <c r="J848" i="3" s="1"/>
  <c r="G849" i="3"/>
  <c r="J849" i="3" s="1"/>
  <c r="G850" i="3"/>
  <c r="J850" i="3" s="1"/>
  <c r="G851" i="3"/>
  <c r="J851" i="3" s="1"/>
  <c r="G852" i="3"/>
  <c r="J852" i="3" s="1"/>
  <c r="G853" i="3"/>
  <c r="J853" i="3" s="1"/>
  <c r="G854" i="3"/>
  <c r="J854" i="3" s="1"/>
  <c r="G855" i="3"/>
  <c r="J855" i="3" s="1"/>
  <c r="G856" i="3"/>
  <c r="J856" i="3" s="1"/>
  <c r="G857" i="3"/>
  <c r="J857" i="3" s="1"/>
  <c r="G858" i="3"/>
  <c r="J858" i="3" s="1"/>
  <c r="G859" i="3"/>
  <c r="J859" i="3" s="1"/>
  <c r="G860" i="3"/>
  <c r="J860" i="3" s="1"/>
  <c r="G861" i="3"/>
  <c r="J861" i="3" s="1"/>
  <c r="G862" i="3"/>
  <c r="J862" i="3" s="1"/>
  <c r="G863" i="3"/>
  <c r="G864" i="3"/>
  <c r="J864" i="3" s="1"/>
  <c r="G865" i="3"/>
  <c r="J865" i="3" s="1"/>
  <c r="G866" i="3"/>
  <c r="J866" i="3" s="1"/>
  <c r="G867" i="3"/>
  <c r="J867" i="3" s="1"/>
  <c r="G868" i="3"/>
  <c r="J868" i="3" s="1"/>
  <c r="G869" i="3"/>
  <c r="J869" i="3" s="1"/>
  <c r="G870" i="3"/>
  <c r="J870" i="3" s="1"/>
  <c r="G871" i="3"/>
  <c r="J871" i="3" s="1"/>
  <c r="G872" i="3"/>
  <c r="J872" i="3" s="1"/>
  <c r="G873" i="3"/>
  <c r="J873" i="3" s="1"/>
  <c r="G874" i="3"/>
  <c r="J874" i="3" s="1"/>
  <c r="G875" i="3"/>
  <c r="J875" i="3" s="1"/>
  <c r="G876" i="3"/>
  <c r="J876" i="3" s="1"/>
  <c r="G877" i="3"/>
  <c r="J877" i="3" s="1"/>
  <c r="G878" i="3"/>
  <c r="J878" i="3" s="1"/>
  <c r="G879" i="3"/>
  <c r="J879" i="3" s="1"/>
  <c r="G880" i="3"/>
  <c r="J880" i="3" s="1"/>
  <c r="G881" i="3"/>
  <c r="J881" i="3" s="1"/>
  <c r="G882" i="3"/>
  <c r="J882" i="3" s="1"/>
  <c r="G883" i="3"/>
  <c r="J883" i="3" s="1"/>
  <c r="G884" i="3"/>
  <c r="J884" i="3" s="1"/>
  <c r="G885" i="3"/>
  <c r="J885" i="3" s="1"/>
  <c r="G886" i="3"/>
  <c r="J886" i="3" s="1"/>
  <c r="G887" i="3"/>
  <c r="J887" i="3" s="1"/>
  <c r="G888" i="3"/>
  <c r="J888" i="3" s="1"/>
  <c r="G889" i="3"/>
  <c r="J889" i="3" s="1"/>
  <c r="G890" i="3"/>
  <c r="J890" i="3" s="1"/>
  <c r="G891" i="3"/>
  <c r="J891" i="3" s="1"/>
  <c r="G892" i="3"/>
  <c r="J892" i="3" s="1"/>
  <c r="G893" i="3"/>
  <c r="J893" i="3" s="1"/>
  <c r="G894" i="3"/>
  <c r="J894" i="3" s="1"/>
  <c r="G895" i="3"/>
  <c r="J895" i="3" s="1"/>
  <c r="G896" i="3"/>
  <c r="J896" i="3" s="1"/>
  <c r="G897" i="3"/>
  <c r="J897" i="3" s="1"/>
  <c r="G898" i="3"/>
  <c r="J898" i="3" s="1"/>
  <c r="G899" i="3"/>
  <c r="J899" i="3" s="1"/>
  <c r="G900" i="3"/>
  <c r="J900" i="3" s="1"/>
  <c r="G901" i="3"/>
  <c r="J901" i="3" s="1"/>
  <c r="G902" i="3"/>
  <c r="J902" i="3" s="1"/>
  <c r="G903" i="3"/>
  <c r="J903" i="3" s="1"/>
  <c r="G904" i="3"/>
  <c r="J904" i="3" s="1"/>
  <c r="G905" i="3"/>
  <c r="J905" i="3" s="1"/>
  <c r="G906" i="3"/>
  <c r="J906" i="3" s="1"/>
  <c r="G907" i="3"/>
  <c r="J907" i="3" s="1"/>
  <c r="G908" i="3"/>
  <c r="J908" i="3" s="1"/>
  <c r="G909" i="3"/>
  <c r="J909" i="3" s="1"/>
  <c r="G910" i="3"/>
  <c r="J910" i="3" s="1"/>
  <c r="G911" i="3"/>
  <c r="J911" i="3" s="1"/>
  <c r="G912" i="3"/>
  <c r="J912" i="3" s="1"/>
  <c r="G913" i="3"/>
  <c r="J913" i="3" s="1"/>
  <c r="G914" i="3"/>
  <c r="J914" i="3" s="1"/>
  <c r="G915" i="3"/>
  <c r="J915" i="3" s="1"/>
  <c r="G916" i="3"/>
  <c r="J916" i="3" s="1"/>
  <c r="G917" i="3"/>
  <c r="J917" i="3" s="1"/>
  <c r="G918" i="3"/>
  <c r="J918" i="3" s="1"/>
  <c r="G919" i="3"/>
  <c r="J919" i="3" s="1"/>
  <c r="G920" i="3"/>
  <c r="J920" i="3" s="1"/>
  <c r="G921" i="3"/>
  <c r="J921" i="3" s="1"/>
  <c r="G922" i="3"/>
  <c r="J922" i="3" s="1"/>
  <c r="G923" i="3"/>
  <c r="J923" i="3" s="1"/>
  <c r="G924" i="3"/>
  <c r="J924" i="3" s="1"/>
  <c r="G925" i="3"/>
  <c r="J925" i="3" s="1"/>
  <c r="G926" i="3"/>
  <c r="J926" i="3" s="1"/>
  <c r="G927" i="3"/>
  <c r="J927" i="3" s="1"/>
  <c r="G928" i="3"/>
  <c r="J928" i="3" s="1"/>
  <c r="G929" i="3"/>
  <c r="J929" i="3" s="1"/>
  <c r="G930" i="3"/>
  <c r="J930" i="3" s="1"/>
  <c r="G931" i="3"/>
  <c r="J931" i="3" s="1"/>
  <c r="G932" i="3"/>
  <c r="J932" i="3" s="1"/>
  <c r="G933" i="3"/>
  <c r="J933" i="3" s="1"/>
  <c r="G934" i="3"/>
  <c r="J934" i="3" s="1"/>
  <c r="G935" i="3"/>
  <c r="J935" i="3" s="1"/>
  <c r="G936" i="3"/>
  <c r="J936" i="3" s="1"/>
  <c r="G937" i="3"/>
  <c r="J937" i="3" s="1"/>
  <c r="G938" i="3"/>
  <c r="J938" i="3" s="1"/>
  <c r="G939" i="3"/>
  <c r="J939" i="3" s="1"/>
  <c r="G940" i="3"/>
  <c r="J940" i="3" s="1"/>
  <c r="G941" i="3"/>
  <c r="G942" i="3"/>
  <c r="J942" i="3" s="1"/>
  <c r="G943" i="3"/>
  <c r="J943" i="3" s="1"/>
  <c r="G944" i="3"/>
  <c r="J944" i="3" s="1"/>
  <c r="G945" i="3"/>
  <c r="J945" i="3" s="1"/>
  <c r="G946" i="3"/>
  <c r="J946" i="3" s="1"/>
  <c r="G947" i="3"/>
  <c r="J947" i="3" s="1"/>
  <c r="G948" i="3"/>
  <c r="J948" i="3" s="1"/>
  <c r="G949" i="3"/>
  <c r="J949" i="3" s="1"/>
  <c r="G950" i="3"/>
  <c r="J950" i="3" s="1"/>
  <c r="G951" i="3"/>
  <c r="J951" i="3" s="1"/>
  <c r="G952" i="3"/>
  <c r="J952" i="3" s="1"/>
  <c r="G953" i="3"/>
  <c r="J953" i="3" s="1"/>
  <c r="G954" i="3"/>
  <c r="J954" i="3" s="1"/>
  <c r="G955" i="3"/>
  <c r="J955" i="3" s="1"/>
  <c r="G956" i="3"/>
  <c r="J956" i="3" s="1"/>
  <c r="G957" i="3"/>
  <c r="J957" i="3" s="1"/>
  <c r="G958" i="3"/>
  <c r="J958" i="3" s="1"/>
  <c r="G959" i="3"/>
  <c r="J959" i="3" s="1"/>
  <c r="G960" i="3"/>
  <c r="J960" i="3" s="1"/>
  <c r="G961" i="3"/>
  <c r="J961" i="3" s="1"/>
  <c r="G962" i="3"/>
  <c r="J962" i="3" s="1"/>
  <c r="G963" i="3"/>
  <c r="J963" i="3" s="1"/>
  <c r="G964" i="3"/>
  <c r="J964" i="3" s="1"/>
  <c r="G965" i="3"/>
  <c r="J965" i="3" s="1"/>
  <c r="G966" i="3"/>
  <c r="J966" i="3" s="1"/>
  <c r="G967" i="3"/>
  <c r="J967" i="3" s="1"/>
  <c r="G968" i="3"/>
  <c r="J968" i="3" s="1"/>
  <c r="G969" i="3"/>
  <c r="J969" i="3" s="1"/>
  <c r="G970" i="3"/>
  <c r="J970" i="3" s="1"/>
  <c r="G971" i="3"/>
  <c r="J971" i="3" s="1"/>
  <c r="G972" i="3"/>
  <c r="J972" i="3" s="1"/>
  <c r="G973" i="3"/>
  <c r="J973" i="3" s="1"/>
  <c r="G974" i="3"/>
  <c r="J974" i="3" s="1"/>
  <c r="G975" i="3"/>
  <c r="J975" i="3" s="1"/>
  <c r="G976" i="3"/>
  <c r="J976" i="3" s="1"/>
  <c r="G977" i="3"/>
  <c r="J977" i="3" s="1"/>
  <c r="G978" i="3"/>
  <c r="J978" i="3" s="1"/>
  <c r="G979" i="3"/>
  <c r="J979" i="3" s="1"/>
  <c r="G980" i="3"/>
  <c r="J980" i="3" s="1"/>
  <c r="G981" i="3"/>
  <c r="J981" i="3" s="1"/>
  <c r="G982" i="3"/>
  <c r="J982" i="3" s="1"/>
  <c r="G983" i="3"/>
  <c r="J983" i="3" s="1"/>
  <c r="G984" i="3"/>
  <c r="J984" i="3" s="1"/>
  <c r="G985" i="3"/>
  <c r="J985" i="3" s="1"/>
  <c r="G986" i="3"/>
  <c r="J986" i="3" s="1"/>
  <c r="G987" i="3"/>
  <c r="J987" i="3" s="1"/>
  <c r="G988" i="3"/>
  <c r="J988" i="3" s="1"/>
  <c r="G989" i="3"/>
  <c r="J989" i="3" s="1"/>
  <c r="G990" i="3"/>
  <c r="J990" i="3" s="1"/>
  <c r="G991" i="3"/>
  <c r="J991" i="3" s="1"/>
  <c r="G992" i="3"/>
  <c r="J992" i="3" s="1"/>
  <c r="G993" i="3"/>
  <c r="J993" i="3" s="1"/>
  <c r="G994" i="3"/>
  <c r="J994" i="3" s="1"/>
  <c r="G995" i="3"/>
  <c r="J995" i="3" s="1"/>
  <c r="G996" i="3"/>
  <c r="J996" i="3" s="1"/>
  <c r="G997" i="3"/>
  <c r="J997" i="3" s="1"/>
  <c r="G998" i="3"/>
  <c r="J998" i="3" s="1"/>
  <c r="G999" i="3"/>
  <c r="J999" i="3" s="1"/>
  <c r="G1000" i="3"/>
  <c r="J1000" i="3" s="1"/>
  <c r="G1001" i="3"/>
  <c r="J1001" i="3" s="1"/>
  <c r="G1002" i="3"/>
  <c r="J1002" i="3" s="1"/>
  <c r="G1003" i="3"/>
  <c r="J1003" i="3" s="1"/>
  <c r="G1004" i="3"/>
  <c r="J1004" i="3" s="1"/>
  <c r="G1005" i="3"/>
  <c r="J1005" i="3" s="1"/>
  <c r="G1006" i="3"/>
  <c r="J1006" i="3" s="1"/>
  <c r="G1007" i="3"/>
  <c r="J1007" i="3" s="1"/>
  <c r="G1008" i="3"/>
  <c r="J1008" i="3" s="1"/>
  <c r="G1009" i="3"/>
  <c r="G1010" i="3"/>
  <c r="J1010" i="3" s="1"/>
  <c r="G1011" i="3"/>
  <c r="J1011" i="3" s="1"/>
  <c r="G1012" i="3"/>
  <c r="J1012" i="3" s="1"/>
  <c r="G1013" i="3"/>
  <c r="J1013" i="3" s="1"/>
  <c r="G1014" i="3"/>
  <c r="J1014" i="3" s="1"/>
  <c r="G1015" i="3"/>
  <c r="J1015" i="3" s="1"/>
  <c r="G1016" i="3"/>
  <c r="J1016" i="3" s="1"/>
  <c r="G1017" i="3"/>
  <c r="J1017" i="3" s="1"/>
  <c r="G1018" i="3"/>
  <c r="J1018" i="3" s="1"/>
  <c r="G1019" i="3"/>
  <c r="J1019" i="3" s="1"/>
  <c r="G1020" i="3"/>
  <c r="J1020" i="3" s="1"/>
  <c r="G1021" i="3"/>
  <c r="J1021" i="3" s="1"/>
  <c r="G1022" i="3"/>
  <c r="J1022" i="3" s="1"/>
  <c r="G1023" i="3"/>
  <c r="J1023" i="3" s="1"/>
  <c r="G1024" i="3"/>
  <c r="J1024" i="3" s="1"/>
  <c r="G1025" i="3"/>
  <c r="J1025" i="3" s="1"/>
  <c r="G1026" i="3"/>
  <c r="J1026" i="3" s="1"/>
  <c r="G1027" i="3"/>
  <c r="J1027" i="3" s="1"/>
  <c r="G1028" i="3"/>
  <c r="J1028" i="3" s="1"/>
  <c r="G1029" i="3"/>
  <c r="J1029" i="3" s="1"/>
  <c r="G1030" i="3"/>
  <c r="J1030" i="3" s="1"/>
  <c r="G1031" i="3"/>
  <c r="J1031" i="3" s="1"/>
  <c r="G1032" i="3"/>
  <c r="J1032" i="3" s="1"/>
  <c r="G1033" i="3"/>
  <c r="J1033" i="3" s="1"/>
  <c r="G1034" i="3"/>
  <c r="J1034" i="3" s="1"/>
  <c r="G1035" i="3"/>
  <c r="J1035" i="3" s="1"/>
  <c r="G1036" i="3"/>
  <c r="J1036" i="3" s="1"/>
  <c r="G1037" i="3"/>
  <c r="J1037" i="3" s="1"/>
  <c r="G1038" i="3"/>
  <c r="J1038" i="3" s="1"/>
  <c r="G1039" i="3"/>
  <c r="J1039" i="3" s="1"/>
  <c r="G1040" i="3"/>
  <c r="J1040" i="3" s="1"/>
  <c r="G1041" i="3"/>
  <c r="J1041" i="3" s="1"/>
  <c r="G1042" i="3"/>
  <c r="J1042" i="3" s="1"/>
  <c r="G1043" i="3"/>
  <c r="J1043" i="3" s="1"/>
  <c r="G1044" i="3"/>
  <c r="J1044" i="3" s="1"/>
  <c r="G1045" i="3"/>
  <c r="J1045" i="3" s="1"/>
  <c r="G1046" i="3"/>
  <c r="J1046" i="3" s="1"/>
  <c r="G1047" i="3"/>
  <c r="J1047" i="3" s="1"/>
  <c r="G1048" i="3"/>
  <c r="J1048" i="3" s="1"/>
  <c r="G1049" i="3"/>
  <c r="J1049" i="3" s="1"/>
  <c r="G1050" i="3"/>
  <c r="J1050" i="3" s="1"/>
  <c r="G1051" i="3"/>
  <c r="J1051" i="3" s="1"/>
  <c r="G1052" i="3"/>
  <c r="J1052" i="3" s="1"/>
  <c r="G1053" i="3"/>
  <c r="J1053" i="3" s="1"/>
  <c r="G1054" i="3"/>
  <c r="J1054" i="3" s="1"/>
  <c r="G1055" i="3"/>
  <c r="J1055" i="3" s="1"/>
  <c r="G1056" i="3"/>
  <c r="J1056" i="3" s="1"/>
  <c r="G1057" i="3"/>
  <c r="J1057" i="3" s="1"/>
  <c r="G1058" i="3"/>
  <c r="J1058" i="3" s="1"/>
  <c r="G1059" i="3"/>
  <c r="J1059" i="3" s="1"/>
  <c r="G1060" i="3"/>
  <c r="J1060" i="3" s="1"/>
  <c r="G1061" i="3"/>
  <c r="G1062" i="3"/>
  <c r="J1062" i="3" s="1"/>
  <c r="G1063" i="3"/>
  <c r="J1063" i="3" s="1"/>
  <c r="G1064" i="3"/>
  <c r="J1064" i="3" s="1"/>
  <c r="G1065" i="3"/>
  <c r="J1065" i="3" s="1"/>
  <c r="G1066" i="3"/>
  <c r="J1066" i="3" s="1"/>
  <c r="G1067" i="3"/>
  <c r="J1067" i="3" s="1"/>
  <c r="G1068" i="3"/>
  <c r="J1068" i="3" s="1"/>
  <c r="G1069" i="3"/>
  <c r="J1069" i="3" s="1"/>
  <c r="G1070" i="3"/>
  <c r="J1070" i="3" s="1"/>
  <c r="G1071" i="3"/>
  <c r="J1071" i="3" s="1"/>
  <c r="G1072" i="3"/>
  <c r="J1072" i="3" s="1"/>
  <c r="G1073" i="3"/>
  <c r="J1073" i="3" s="1"/>
  <c r="G1074" i="3"/>
  <c r="J1074" i="3" s="1"/>
  <c r="G1075" i="3"/>
  <c r="J1075" i="3" s="1"/>
  <c r="G1076" i="3"/>
  <c r="J1076" i="3" s="1"/>
  <c r="G1077" i="3"/>
  <c r="J1077" i="3" s="1"/>
  <c r="G1078" i="3"/>
  <c r="J1078" i="3" s="1"/>
  <c r="G1079" i="3"/>
  <c r="J1079" i="3" s="1"/>
  <c r="G1080" i="3"/>
  <c r="J1080" i="3" s="1"/>
  <c r="G1081" i="3"/>
  <c r="J1081" i="3" s="1"/>
  <c r="G1082" i="3"/>
  <c r="J1082" i="3" s="1"/>
  <c r="G1083" i="3"/>
  <c r="J1083" i="3" s="1"/>
  <c r="G1084" i="3"/>
  <c r="J1084" i="3" s="1"/>
  <c r="G1085" i="3"/>
  <c r="J1085" i="3" s="1"/>
  <c r="G1086" i="3"/>
  <c r="J1086" i="3" s="1"/>
  <c r="G1087" i="3"/>
  <c r="J1087" i="3" s="1"/>
  <c r="G1088" i="3"/>
  <c r="J1088" i="3" s="1"/>
  <c r="G1089" i="3"/>
  <c r="J1089" i="3" s="1"/>
  <c r="G1090" i="3"/>
  <c r="J1090" i="3" s="1"/>
  <c r="G1091" i="3"/>
  <c r="J1091" i="3" s="1"/>
  <c r="G1092" i="3"/>
  <c r="J1092" i="3" s="1"/>
  <c r="G1093" i="3"/>
  <c r="J1093" i="3" s="1"/>
  <c r="G1094" i="3"/>
  <c r="J1094" i="3" s="1"/>
  <c r="G1095" i="3"/>
  <c r="J1095" i="3" s="1"/>
  <c r="G1096" i="3"/>
  <c r="J1096" i="3" s="1"/>
  <c r="G1097" i="3"/>
  <c r="J1097" i="3" s="1"/>
  <c r="G1098" i="3"/>
  <c r="G1099" i="3"/>
  <c r="J1099" i="3" s="1"/>
  <c r="G1100" i="3"/>
  <c r="J1100" i="3" s="1"/>
  <c r="G1101" i="3"/>
  <c r="J1101" i="3" s="1"/>
  <c r="G1102" i="3"/>
  <c r="J1102" i="3" s="1"/>
  <c r="G1103" i="3"/>
  <c r="J1103" i="3" s="1"/>
  <c r="G1104" i="3"/>
  <c r="J1104" i="3" s="1"/>
  <c r="G1105" i="3"/>
  <c r="J1105" i="3" s="1"/>
  <c r="G1106" i="3"/>
  <c r="J1106" i="3" s="1"/>
  <c r="G1107" i="3"/>
  <c r="J1107" i="3" s="1"/>
  <c r="G1108" i="3"/>
  <c r="J1108" i="3" s="1"/>
  <c r="G1109" i="3"/>
  <c r="J1109" i="3" s="1"/>
  <c r="G1110" i="3"/>
  <c r="J1110" i="3" s="1"/>
  <c r="G1111" i="3"/>
  <c r="J1111" i="3" s="1"/>
  <c r="G1112" i="3"/>
  <c r="J1112" i="3" s="1"/>
  <c r="G1113" i="3"/>
  <c r="J1113" i="3" s="1"/>
  <c r="G1114" i="3"/>
  <c r="J1114" i="3" s="1"/>
  <c r="G1115" i="3"/>
  <c r="J1115" i="3" s="1"/>
  <c r="G1116" i="3"/>
  <c r="J1116" i="3" s="1"/>
  <c r="G1117" i="3"/>
  <c r="J1117" i="3" s="1"/>
  <c r="G1118" i="3"/>
  <c r="J1118" i="3" s="1"/>
  <c r="G1119" i="3"/>
  <c r="J1119" i="3" s="1"/>
  <c r="G1120" i="3"/>
  <c r="J1120" i="3" s="1"/>
  <c r="G1121" i="3"/>
  <c r="J1121" i="3" s="1"/>
  <c r="G1122" i="3"/>
  <c r="J1122" i="3" s="1"/>
  <c r="G1123" i="3"/>
  <c r="J1123" i="3" s="1"/>
  <c r="G1124" i="3"/>
  <c r="J1124" i="3" s="1"/>
  <c r="G1125" i="3"/>
  <c r="J1125" i="3" s="1"/>
  <c r="G1126" i="3"/>
  <c r="J1126" i="3" s="1"/>
  <c r="G1127" i="3"/>
  <c r="J1127" i="3" s="1"/>
  <c r="G1128" i="3"/>
  <c r="J1128" i="3" s="1"/>
  <c r="G1129" i="3"/>
  <c r="J1129" i="3" s="1"/>
  <c r="G1130" i="3"/>
  <c r="J1130" i="3" s="1"/>
  <c r="G1131" i="3"/>
  <c r="J1131" i="3" s="1"/>
  <c r="G1132" i="3"/>
  <c r="J1132" i="3" s="1"/>
  <c r="G1133" i="3"/>
  <c r="J1133" i="3" s="1"/>
  <c r="G1134" i="3"/>
  <c r="J1134" i="3" s="1"/>
  <c r="G1135" i="3"/>
  <c r="J1135" i="3" s="1"/>
  <c r="G1136" i="3"/>
  <c r="G1137" i="3"/>
  <c r="J1137" i="3" s="1"/>
  <c r="G1138" i="3"/>
  <c r="J1138" i="3" s="1"/>
  <c r="G1139" i="3"/>
  <c r="J1139" i="3" s="1"/>
  <c r="G1140" i="3"/>
  <c r="J1140" i="3" s="1"/>
  <c r="G1141" i="3"/>
  <c r="J1141" i="3" s="1"/>
  <c r="G1142" i="3"/>
  <c r="J1142" i="3" s="1"/>
  <c r="G1143" i="3"/>
  <c r="J1143" i="3" s="1"/>
  <c r="G1144" i="3"/>
  <c r="J1144" i="3" s="1"/>
  <c r="G1145" i="3"/>
  <c r="J1145" i="3" s="1"/>
  <c r="G1146" i="3"/>
  <c r="J1146" i="3" s="1"/>
  <c r="G1147" i="3"/>
  <c r="J1147" i="3" s="1"/>
  <c r="G1148" i="3"/>
  <c r="J1148" i="3" s="1"/>
  <c r="G1149" i="3"/>
  <c r="J1149" i="3" s="1"/>
  <c r="G1150" i="3"/>
  <c r="J1150" i="3" s="1"/>
  <c r="G1151" i="3"/>
  <c r="J1151" i="3" s="1"/>
  <c r="G1152" i="3"/>
  <c r="J1152" i="3" s="1"/>
  <c r="G1153" i="3"/>
  <c r="J1153" i="3" s="1"/>
  <c r="G1154" i="3"/>
  <c r="J1154" i="3" s="1"/>
  <c r="G1155" i="3"/>
  <c r="J1155" i="3" s="1"/>
  <c r="G1156" i="3"/>
  <c r="J1156" i="3" s="1"/>
  <c r="G1157" i="3"/>
  <c r="J1157" i="3" s="1"/>
  <c r="G1158" i="3"/>
  <c r="J1158" i="3" s="1"/>
  <c r="G1159" i="3"/>
  <c r="J1159" i="3" s="1"/>
  <c r="G1160" i="3"/>
  <c r="J1160" i="3" s="1"/>
  <c r="G1161" i="3"/>
  <c r="J1161" i="3" s="1"/>
  <c r="G1162" i="3"/>
  <c r="J1162" i="3" s="1"/>
  <c r="G1163" i="3"/>
  <c r="J1163" i="3" s="1"/>
  <c r="G1164" i="3"/>
  <c r="J1164" i="3" s="1"/>
  <c r="G1165" i="3"/>
  <c r="J1165" i="3" s="1"/>
  <c r="G1166" i="3"/>
  <c r="J1166" i="3" s="1"/>
  <c r="G1167" i="3"/>
  <c r="J1167" i="3" s="1"/>
  <c r="G1168" i="3"/>
  <c r="G1169" i="3"/>
  <c r="J1169" i="3" s="1"/>
  <c r="G1170" i="3"/>
  <c r="J1170" i="3" s="1"/>
  <c r="G1171" i="3"/>
  <c r="J1171" i="3" s="1"/>
  <c r="G1172" i="3"/>
  <c r="J1172" i="3" s="1"/>
  <c r="G1173" i="3"/>
  <c r="J1173" i="3" s="1"/>
  <c r="G1174" i="3"/>
  <c r="J1174" i="3" s="1"/>
  <c r="G1175" i="3"/>
  <c r="J1175" i="3" s="1"/>
  <c r="G1176" i="3"/>
  <c r="J1176" i="3" s="1"/>
  <c r="G1177" i="3"/>
  <c r="J1177" i="3" s="1"/>
  <c r="G1178" i="3"/>
  <c r="J1178" i="3" s="1"/>
  <c r="G1179" i="3"/>
  <c r="J1179" i="3" s="1"/>
  <c r="G1180" i="3"/>
  <c r="J1180" i="3" s="1"/>
  <c r="G1181" i="3"/>
  <c r="J1181" i="3" s="1"/>
  <c r="G1182" i="3"/>
  <c r="J1182" i="3" s="1"/>
  <c r="G1183" i="3"/>
  <c r="J1183" i="3" s="1"/>
  <c r="G1184" i="3"/>
  <c r="J1184" i="3" s="1"/>
  <c r="G1185" i="3"/>
  <c r="J1185" i="3" s="1"/>
  <c r="G1186" i="3"/>
  <c r="J1186" i="3" s="1"/>
  <c r="G1187" i="3"/>
  <c r="J1187" i="3" s="1"/>
  <c r="G1188" i="3"/>
  <c r="J1188" i="3" s="1"/>
  <c r="G1189" i="3"/>
  <c r="J1189" i="3" s="1"/>
  <c r="G1190" i="3"/>
  <c r="J1190" i="3" s="1"/>
  <c r="G1191" i="3"/>
  <c r="J1191" i="3" s="1"/>
  <c r="G1192" i="3"/>
  <c r="J1192" i="3" s="1"/>
  <c r="G1193" i="3"/>
  <c r="J1193" i="3" s="1"/>
  <c r="G1194" i="3"/>
  <c r="J1194" i="3" s="1"/>
  <c r="G1195" i="3"/>
  <c r="J1195" i="3" s="1"/>
  <c r="G1196" i="3"/>
  <c r="J1196" i="3" s="1"/>
  <c r="G1197" i="3"/>
  <c r="J1197" i="3" s="1"/>
  <c r="G1198" i="3"/>
  <c r="J1198" i="3" s="1"/>
  <c r="G1199" i="3"/>
  <c r="J1199" i="3" s="1"/>
  <c r="G1200" i="3"/>
  <c r="J1200" i="3" s="1"/>
  <c r="G1201" i="3"/>
  <c r="G1202" i="3"/>
  <c r="J1202" i="3" s="1"/>
  <c r="G1203" i="3"/>
  <c r="J1203" i="3" s="1"/>
  <c r="G1204" i="3"/>
  <c r="J1204" i="3" s="1"/>
  <c r="G1205" i="3"/>
  <c r="J1205" i="3" s="1"/>
  <c r="G1206" i="3"/>
  <c r="J1206" i="3" s="1"/>
  <c r="G1207" i="3"/>
  <c r="J1207" i="3" s="1"/>
  <c r="G1208" i="3"/>
  <c r="J1208" i="3" s="1"/>
  <c r="G1209" i="3"/>
  <c r="J1209" i="3" s="1"/>
  <c r="G1210" i="3"/>
  <c r="J1210" i="3" s="1"/>
  <c r="G1211" i="3"/>
  <c r="J1211" i="3" s="1"/>
  <c r="G1212" i="3"/>
  <c r="J1212" i="3" s="1"/>
  <c r="G1213" i="3"/>
  <c r="J1213" i="3" s="1"/>
  <c r="G1214" i="3"/>
  <c r="J1214" i="3" s="1"/>
  <c r="G1215" i="3"/>
  <c r="J1215" i="3" s="1"/>
  <c r="G1216" i="3"/>
  <c r="J1216" i="3" s="1"/>
  <c r="G1217" i="3"/>
  <c r="J1217" i="3" s="1"/>
  <c r="G1218" i="3"/>
  <c r="J1218" i="3" s="1"/>
  <c r="G1219" i="3"/>
  <c r="J1219" i="3" s="1"/>
  <c r="G1220" i="3"/>
  <c r="J1220" i="3" s="1"/>
  <c r="G1221" i="3"/>
  <c r="J1221" i="3" s="1"/>
  <c r="G1222" i="3"/>
  <c r="J1222" i="3" s="1"/>
  <c r="G1223" i="3"/>
  <c r="J1223" i="3" s="1"/>
  <c r="G1224" i="3"/>
  <c r="J1224" i="3" s="1"/>
  <c r="G1225" i="3"/>
  <c r="J1225" i="3" s="1"/>
  <c r="G1226" i="3"/>
  <c r="J1226" i="3" s="1"/>
  <c r="G1227" i="3"/>
  <c r="J1227" i="3" s="1"/>
  <c r="G1228" i="3"/>
  <c r="J1228" i="3" s="1"/>
  <c r="G1229" i="3"/>
  <c r="J1229" i="3" s="1"/>
  <c r="G1230" i="3"/>
  <c r="J1230" i="3" s="1"/>
  <c r="G1231" i="3"/>
  <c r="J1231" i="3" s="1"/>
  <c r="G1232" i="3"/>
  <c r="J1232" i="3" s="1"/>
  <c r="G1233" i="3"/>
  <c r="J1233" i="3" s="1"/>
  <c r="G1234" i="3"/>
  <c r="J1234" i="3" s="1"/>
  <c r="G1235" i="3"/>
  <c r="J1235" i="3" s="1"/>
  <c r="G1236" i="3"/>
  <c r="J1236" i="3" s="1"/>
  <c r="G1237" i="3"/>
  <c r="J1237" i="3" s="1"/>
  <c r="G1238" i="3"/>
  <c r="J1238" i="3" s="1"/>
  <c r="G1239" i="3"/>
  <c r="J1239" i="3" s="1"/>
  <c r="G1240" i="3"/>
  <c r="J1240" i="3" s="1"/>
  <c r="G1241" i="3"/>
  <c r="J1241" i="3" s="1"/>
  <c r="G1242" i="3"/>
  <c r="J1242" i="3" s="1"/>
  <c r="G1243" i="3"/>
  <c r="J1243" i="3" s="1"/>
  <c r="G1244" i="3"/>
  <c r="J1244" i="3" s="1"/>
  <c r="G1245" i="3"/>
  <c r="J1245" i="3" s="1"/>
  <c r="G1246" i="3"/>
  <c r="J1246" i="3" s="1"/>
  <c r="G1247" i="3"/>
  <c r="J1247" i="3" s="1"/>
  <c r="G1248" i="3"/>
  <c r="J1248" i="3" s="1"/>
  <c r="G1249" i="3"/>
  <c r="J1249" i="3" s="1"/>
  <c r="G1250" i="3"/>
  <c r="J1250" i="3" s="1"/>
  <c r="G1251" i="3"/>
  <c r="J1251" i="3" s="1"/>
  <c r="G1252" i="3"/>
  <c r="J1252" i="3" s="1"/>
  <c r="G1253" i="3"/>
  <c r="J1253" i="3" s="1"/>
  <c r="G1254" i="3"/>
  <c r="J1254" i="3" s="1"/>
  <c r="G1255" i="3"/>
  <c r="J1255" i="3" s="1"/>
  <c r="G1256" i="3"/>
  <c r="J1256" i="3" s="1"/>
  <c r="G1257" i="3"/>
  <c r="J1257" i="3" s="1"/>
  <c r="G1258" i="3"/>
  <c r="J1258" i="3" s="1"/>
  <c r="G1259" i="3"/>
  <c r="J1259" i="3" s="1"/>
  <c r="G1260" i="3"/>
  <c r="J1260" i="3" s="1"/>
  <c r="G1261" i="3"/>
  <c r="J1261" i="3" s="1"/>
  <c r="G1262" i="3"/>
  <c r="J1262" i="3" s="1"/>
  <c r="G1263" i="3"/>
  <c r="J1263" i="3" s="1"/>
  <c r="G1264" i="3"/>
  <c r="J1264" i="3" s="1"/>
  <c r="G1265" i="3"/>
  <c r="J1265" i="3" s="1"/>
  <c r="G1266" i="3"/>
  <c r="J1266" i="3" s="1"/>
  <c r="G1267" i="3"/>
  <c r="J1267" i="3" s="1"/>
  <c r="G1268" i="3"/>
  <c r="J1268" i="3" s="1"/>
  <c r="G1269" i="3"/>
  <c r="J1269" i="3" s="1"/>
  <c r="G1270" i="3"/>
  <c r="J1270" i="3" s="1"/>
  <c r="G1271" i="3"/>
  <c r="J1271" i="3" s="1"/>
  <c r="G1272" i="3"/>
  <c r="J1272" i="3" s="1"/>
  <c r="G1273" i="3"/>
  <c r="J1273" i="3" s="1"/>
  <c r="G1274" i="3"/>
  <c r="J1274" i="3" s="1"/>
  <c r="G1275" i="3"/>
  <c r="J1275" i="3" s="1"/>
  <c r="G1276" i="3"/>
  <c r="J1276" i="3" s="1"/>
  <c r="G1277" i="3"/>
  <c r="J1277" i="3" s="1"/>
  <c r="G1278" i="3"/>
  <c r="J1278" i="3" s="1"/>
  <c r="G1279" i="3"/>
  <c r="J1279" i="3" s="1"/>
  <c r="G1280" i="3"/>
  <c r="J1280" i="3" s="1"/>
  <c r="G1281" i="3"/>
  <c r="J1281" i="3" s="1"/>
  <c r="G1282" i="3"/>
  <c r="J1282" i="3" s="1"/>
  <c r="G1283" i="3"/>
  <c r="J1283" i="3" s="1"/>
  <c r="G1284" i="3"/>
  <c r="J1284" i="3" s="1"/>
  <c r="G1285" i="3"/>
  <c r="J1285" i="3" s="1"/>
  <c r="G1286" i="3"/>
  <c r="J1286" i="3" s="1"/>
  <c r="G1287" i="3"/>
  <c r="J1287" i="3" s="1"/>
  <c r="G1288" i="3"/>
  <c r="J1288" i="3" s="1"/>
  <c r="G1289" i="3"/>
  <c r="J1289" i="3" s="1"/>
  <c r="G1290" i="3"/>
  <c r="J1290" i="3" s="1"/>
  <c r="G1291" i="3"/>
  <c r="J1291" i="3" s="1"/>
  <c r="G1292" i="3"/>
  <c r="J1292" i="3" s="1"/>
  <c r="G1293" i="3"/>
  <c r="J1293" i="3" s="1"/>
  <c r="G1294" i="3"/>
  <c r="J1294" i="3" s="1"/>
  <c r="G1295" i="3"/>
  <c r="J1295" i="3" s="1"/>
  <c r="G1296" i="3"/>
  <c r="J1296" i="3" s="1"/>
  <c r="G1297" i="3"/>
  <c r="J1297" i="3" s="1"/>
  <c r="G1298" i="3"/>
  <c r="J1298" i="3" s="1"/>
  <c r="G1299" i="3"/>
  <c r="J1299" i="3" s="1"/>
  <c r="G1300" i="3"/>
  <c r="J1300" i="3" s="1"/>
  <c r="G1301" i="3"/>
  <c r="J1301" i="3" s="1"/>
  <c r="G1302" i="3"/>
  <c r="J1302" i="3" s="1"/>
  <c r="G1303" i="3"/>
  <c r="J1303" i="3" s="1"/>
  <c r="G1304" i="3"/>
  <c r="G1305" i="3"/>
  <c r="J1305" i="3" s="1"/>
  <c r="G1306" i="3"/>
  <c r="J1306" i="3" s="1"/>
  <c r="G1307" i="3"/>
  <c r="J1307" i="3" s="1"/>
  <c r="G1308" i="3"/>
  <c r="J1308" i="3" s="1"/>
  <c r="G1309" i="3"/>
  <c r="J1309" i="3" s="1"/>
  <c r="G1310" i="3"/>
  <c r="J1310" i="3" s="1"/>
  <c r="G1311" i="3"/>
  <c r="J1311" i="3" s="1"/>
  <c r="G1312" i="3"/>
  <c r="J1312" i="3" s="1"/>
  <c r="G1313" i="3"/>
  <c r="J1313" i="3" s="1"/>
  <c r="G1314" i="3"/>
  <c r="J1314" i="3" s="1"/>
  <c r="G1315" i="3"/>
  <c r="J1315" i="3" s="1"/>
  <c r="G1316" i="3"/>
  <c r="J1316" i="3" s="1"/>
  <c r="G1317" i="3"/>
  <c r="J1317" i="3" s="1"/>
  <c r="G1318" i="3"/>
  <c r="J1318" i="3" s="1"/>
  <c r="G1319" i="3"/>
  <c r="J1319" i="3" s="1"/>
  <c r="G1320" i="3"/>
  <c r="J1320" i="3" s="1"/>
  <c r="G1321" i="3"/>
  <c r="J1321" i="3" s="1"/>
  <c r="G1322" i="3"/>
  <c r="J1322" i="3" s="1"/>
  <c r="G1323" i="3"/>
  <c r="J1323" i="3" s="1"/>
  <c r="G1324" i="3"/>
  <c r="J1324" i="3" s="1"/>
  <c r="G1325" i="3"/>
  <c r="J1325" i="3" s="1"/>
  <c r="G1326" i="3"/>
  <c r="J1326" i="3" s="1"/>
  <c r="G1327" i="3"/>
  <c r="J1327" i="3" s="1"/>
  <c r="G1328" i="3"/>
  <c r="J1328" i="3" s="1"/>
  <c r="G1329" i="3"/>
  <c r="J1329" i="3" s="1"/>
  <c r="G1330" i="3"/>
  <c r="J1330" i="3" s="1"/>
  <c r="G1331" i="3"/>
  <c r="J1331" i="3" s="1"/>
  <c r="G1332" i="3"/>
  <c r="J1332" i="3" s="1"/>
  <c r="G1333" i="3"/>
  <c r="J1333" i="3" s="1"/>
  <c r="G1334" i="3"/>
  <c r="J1334" i="3" s="1"/>
  <c r="G1335" i="3"/>
  <c r="J1335" i="3" s="1"/>
  <c r="G1336" i="3"/>
  <c r="J1336" i="3" s="1"/>
  <c r="G1337" i="3"/>
  <c r="J1337" i="3" s="1"/>
  <c r="G1338" i="3"/>
  <c r="J1338" i="3" s="1"/>
  <c r="G1339" i="3"/>
  <c r="J1339" i="3" s="1"/>
  <c r="G1340" i="3"/>
  <c r="G1341" i="3"/>
  <c r="J1341" i="3" s="1"/>
  <c r="G1342" i="3"/>
  <c r="J1342" i="3" s="1"/>
  <c r="G1343" i="3"/>
  <c r="J1343" i="3" s="1"/>
  <c r="G1344" i="3"/>
  <c r="J1344" i="3" s="1"/>
  <c r="G1345" i="3"/>
  <c r="J1345" i="3" s="1"/>
  <c r="G1346" i="3"/>
  <c r="J1346" i="3" s="1"/>
  <c r="G1347" i="3"/>
  <c r="J1347" i="3" s="1"/>
  <c r="G1348" i="3"/>
  <c r="J1348" i="3" s="1"/>
  <c r="G1349" i="3"/>
  <c r="J1349" i="3" s="1"/>
  <c r="G1350" i="3"/>
  <c r="J1350" i="3" s="1"/>
  <c r="G1351" i="3"/>
  <c r="J1351" i="3" s="1"/>
  <c r="G1352" i="3"/>
  <c r="J1352" i="3" s="1"/>
  <c r="G1353" i="3"/>
  <c r="J1353" i="3" s="1"/>
  <c r="G1354" i="3"/>
  <c r="J1354" i="3" s="1"/>
  <c r="G1355" i="3"/>
  <c r="J1355" i="3" s="1"/>
  <c r="G1356" i="3"/>
  <c r="J1356" i="3" s="1"/>
  <c r="G1357" i="3"/>
  <c r="J1357" i="3" s="1"/>
  <c r="G1358" i="3"/>
  <c r="J1358" i="3" s="1"/>
  <c r="G1359" i="3"/>
  <c r="J1359" i="3" s="1"/>
  <c r="G1360" i="3"/>
  <c r="J1360" i="3" s="1"/>
  <c r="G1361" i="3"/>
  <c r="J1361" i="3" s="1"/>
  <c r="G1362" i="3"/>
  <c r="J1362" i="3" s="1"/>
  <c r="G1363" i="3"/>
  <c r="J1363" i="3" s="1"/>
  <c r="G1364" i="3"/>
  <c r="J1364" i="3" s="1"/>
  <c r="G1365" i="3"/>
  <c r="J1365" i="3" s="1"/>
  <c r="G1366" i="3"/>
  <c r="J1366" i="3" s="1"/>
  <c r="G1367" i="3"/>
  <c r="J1367" i="3" s="1"/>
  <c r="G1368" i="3"/>
  <c r="J1368" i="3" s="1"/>
  <c r="G1369" i="3"/>
  <c r="J1369" i="3" s="1"/>
  <c r="G1370" i="3"/>
  <c r="J1370" i="3" s="1"/>
  <c r="G1371" i="3"/>
  <c r="J1371" i="3" s="1"/>
  <c r="G1372" i="3"/>
  <c r="G1373" i="3"/>
  <c r="J1373" i="3" s="1"/>
  <c r="G1374" i="3"/>
  <c r="J1374" i="3" s="1"/>
  <c r="G1375" i="3"/>
  <c r="J1375" i="3" s="1"/>
  <c r="G1376" i="3"/>
  <c r="J1376" i="3" s="1"/>
  <c r="G1377" i="3"/>
  <c r="J1377" i="3" s="1"/>
  <c r="G1378" i="3"/>
  <c r="J1378" i="3" s="1"/>
  <c r="G1379" i="3"/>
  <c r="J1379" i="3" s="1"/>
  <c r="G1380" i="3"/>
  <c r="J1380" i="3" s="1"/>
  <c r="G1381" i="3"/>
  <c r="J1381" i="3" s="1"/>
  <c r="G1382" i="3"/>
  <c r="J1382" i="3" s="1"/>
  <c r="G1383" i="3"/>
  <c r="J1383" i="3" s="1"/>
  <c r="G1384" i="3"/>
  <c r="J1384" i="3" s="1"/>
  <c r="G1385" i="3"/>
  <c r="J1385" i="3" s="1"/>
  <c r="G1386" i="3"/>
  <c r="J1386" i="3" s="1"/>
  <c r="G1387" i="3"/>
  <c r="J1387" i="3" s="1"/>
  <c r="G1388" i="3"/>
  <c r="J1388" i="3" s="1"/>
  <c r="G1389" i="3"/>
  <c r="J1389" i="3" s="1"/>
  <c r="G1390" i="3"/>
  <c r="J1390" i="3" s="1"/>
  <c r="G1391" i="3"/>
  <c r="J1391" i="3" s="1"/>
  <c r="G1392" i="3"/>
  <c r="J1392" i="3" s="1"/>
  <c r="G1393" i="3"/>
  <c r="J1393" i="3" s="1"/>
  <c r="G1394" i="3"/>
  <c r="J1394" i="3" s="1"/>
  <c r="G1395" i="3"/>
  <c r="J1395" i="3" s="1"/>
  <c r="G1396" i="3"/>
  <c r="J1396" i="3" s="1"/>
  <c r="G1397" i="3"/>
  <c r="J1397" i="3" s="1"/>
  <c r="G1398" i="3"/>
  <c r="J1398" i="3" s="1"/>
  <c r="G1399" i="3"/>
  <c r="J1399" i="3" s="1"/>
  <c r="G1400" i="3"/>
  <c r="J1400" i="3" s="1"/>
  <c r="G1401" i="3"/>
  <c r="J1401" i="3" s="1"/>
  <c r="G1402" i="3"/>
  <c r="G1403" i="3"/>
  <c r="J1403" i="3" s="1"/>
  <c r="G1404" i="3"/>
  <c r="J1404" i="3" s="1"/>
  <c r="G1405" i="3"/>
  <c r="J1405" i="3" s="1"/>
  <c r="G1406" i="3"/>
  <c r="J1406" i="3" s="1"/>
  <c r="G1407" i="3"/>
  <c r="J1407" i="3" s="1"/>
  <c r="G1408" i="3"/>
  <c r="J1408" i="3" s="1"/>
  <c r="G1409" i="3"/>
  <c r="J1409" i="3" s="1"/>
  <c r="G1410" i="3"/>
  <c r="J1410" i="3" s="1"/>
  <c r="G1411" i="3"/>
  <c r="J1411" i="3" s="1"/>
  <c r="G1412" i="3"/>
  <c r="J1412" i="3" s="1"/>
  <c r="G1413" i="3"/>
  <c r="J1413" i="3" s="1"/>
  <c r="G1414" i="3"/>
  <c r="J1414" i="3" s="1"/>
  <c r="G1415" i="3"/>
  <c r="J1415" i="3" s="1"/>
  <c r="G1416" i="3"/>
  <c r="J1416" i="3" s="1"/>
  <c r="G1417" i="3"/>
  <c r="J1417" i="3" s="1"/>
  <c r="G1418" i="3"/>
  <c r="J1418" i="3" s="1"/>
  <c r="G1419" i="3"/>
  <c r="J1419" i="3" s="1"/>
  <c r="G1420" i="3"/>
  <c r="J1420" i="3" s="1"/>
  <c r="G1421" i="3"/>
  <c r="J1421" i="3" s="1"/>
  <c r="G1422" i="3"/>
  <c r="J1422" i="3" s="1"/>
  <c r="G1423" i="3"/>
  <c r="J1423" i="3" s="1"/>
  <c r="G1424" i="3"/>
  <c r="J1424" i="3" s="1"/>
  <c r="G1425" i="3"/>
  <c r="G1426" i="3"/>
  <c r="J1426" i="3" s="1"/>
  <c r="G1427" i="3"/>
  <c r="J1427" i="3" s="1"/>
  <c r="G1428" i="3"/>
  <c r="J1428" i="3" s="1"/>
  <c r="G1429" i="3"/>
  <c r="J1429" i="3" s="1"/>
  <c r="G1430" i="3"/>
  <c r="J1430" i="3" s="1"/>
  <c r="G1431" i="3"/>
  <c r="J1431" i="3" s="1"/>
  <c r="G1432" i="3"/>
  <c r="J1432" i="3" s="1"/>
  <c r="G1433" i="3"/>
  <c r="J1433" i="3" s="1"/>
  <c r="G1434" i="3"/>
  <c r="J1434" i="3" s="1"/>
  <c r="G1435" i="3"/>
  <c r="J1435" i="3" s="1"/>
  <c r="G1436" i="3"/>
  <c r="J1436" i="3" s="1"/>
  <c r="G1437" i="3"/>
  <c r="J1437" i="3" s="1"/>
  <c r="G1438" i="3"/>
  <c r="J1438" i="3" s="1"/>
  <c r="G1439" i="3"/>
  <c r="J1439" i="3" s="1"/>
  <c r="G1440" i="3"/>
  <c r="J1440" i="3" s="1"/>
  <c r="G1441" i="3"/>
  <c r="J1441" i="3" s="1"/>
  <c r="G1442" i="3"/>
  <c r="J1442" i="3" s="1"/>
  <c r="G1443" i="3"/>
  <c r="J1443" i="3" s="1"/>
  <c r="G1444" i="3"/>
  <c r="J1444" i="3" s="1"/>
  <c r="G1445" i="3"/>
  <c r="G1446" i="3"/>
  <c r="J1446" i="3" s="1"/>
  <c r="G1447" i="3"/>
  <c r="J1447" i="3" s="1"/>
  <c r="G1448" i="3"/>
  <c r="J1448" i="3" s="1"/>
  <c r="G1449" i="3"/>
  <c r="J1449" i="3" s="1"/>
  <c r="G1450" i="3"/>
  <c r="J1450" i="3" s="1"/>
  <c r="G1451" i="3"/>
  <c r="J1451" i="3" s="1"/>
  <c r="G1452" i="3"/>
  <c r="J1452" i="3" s="1"/>
  <c r="G1453" i="3"/>
  <c r="J1453" i="3" s="1"/>
  <c r="G1454" i="3"/>
  <c r="J1454" i="3" s="1"/>
  <c r="G1455" i="3"/>
  <c r="J1455" i="3" s="1"/>
  <c r="G1456" i="3"/>
  <c r="J1456" i="3" s="1"/>
  <c r="G1457" i="3"/>
  <c r="J1457" i="3" s="1"/>
  <c r="G1458" i="3"/>
  <c r="J1458" i="3" s="1"/>
  <c r="G1459" i="3"/>
  <c r="J1459" i="3" s="1"/>
  <c r="G1460" i="3"/>
  <c r="J1460" i="3" s="1"/>
  <c r="G1461" i="3"/>
  <c r="J1461" i="3" s="1"/>
  <c r="G1462" i="3"/>
  <c r="J1462" i="3" s="1"/>
  <c r="G1463" i="3"/>
  <c r="J1463" i="3" s="1"/>
  <c r="G1464" i="3"/>
  <c r="J1464" i="3" s="1"/>
  <c r="G1465" i="3"/>
  <c r="J1465" i="3" s="1"/>
  <c r="G1466" i="3"/>
  <c r="G1467" i="3"/>
  <c r="J1467" i="3" s="1"/>
  <c r="G1468" i="3"/>
  <c r="J1468" i="3" s="1"/>
  <c r="G1469" i="3"/>
  <c r="J1469" i="3" s="1"/>
  <c r="G1470" i="3"/>
  <c r="J1470" i="3" s="1"/>
  <c r="G1471" i="3"/>
  <c r="J1471" i="3" s="1"/>
  <c r="G1472" i="3"/>
  <c r="J1472" i="3" s="1"/>
  <c r="G1473" i="3"/>
  <c r="J1473" i="3" s="1"/>
  <c r="G1474" i="3"/>
  <c r="J1474" i="3" s="1"/>
  <c r="G1475" i="3"/>
  <c r="J1475" i="3" s="1"/>
  <c r="G1476" i="3"/>
  <c r="J1476" i="3" s="1"/>
  <c r="G1477" i="3"/>
  <c r="J1477" i="3" s="1"/>
  <c r="G1478" i="3"/>
  <c r="J1478" i="3" s="1"/>
  <c r="G1479" i="3"/>
  <c r="J1479" i="3" s="1"/>
  <c r="G1480" i="3"/>
  <c r="J1480" i="3" s="1"/>
  <c r="G1481" i="3"/>
  <c r="J1481" i="3" s="1"/>
  <c r="G1482" i="3"/>
  <c r="J1482" i="3" s="1"/>
  <c r="G1483" i="3"/>
  <c r="J1483" i="3" s="1"/>
  <c r="G1484" i="3"/>
  <c r="J1484" i="3" s="1"/>
  <c r="G1485" i="3"/>
  <c r="J1485" i="3" s="1"/>
  <c r="G1486" i="3"/>
  <c r="J1486" i="3" s="1"/>
  <c r="G1487" i="3"/>
  <c r="J1487" i="3" s="1"/>
  <c r="G1488" i="3"/>
  <c r="J1488" i="3" s="1"/>
  <c r="G1489" i="3"/>
  <c r="G1490" i="3"/>
  <c r="J1490" i="3" s="1"/>
  <c r="G1491" i="3"/>
  <c r="J1491" i="3" s="1"/>
  <c r="G1492" i="3"/>
  <c r="J1492" i="3" s="1"/>
  <c r="G1493" i="3"/>
  <c r="J1493" i="3" s="1"/>
  <c r="G1494" i="3"/>
  <c r="J1494" i="3" s="1"/>
  <c r="G1495" i="3"/>
  <c r="J1495" i="3" s="1"/>
  <c r="G1496" i="3"/>
  <c r="J1496" i="3" s="1"/>
  <c r="G1497" i="3"/>
  <c r="J1497" i="3" s="1"/>
  <c r="G1498" i="3"/>
  <c r="J1498" i="3" s="1"/>
  <c r="G1499" i="3"/>
  <c r="J1499" i="3" s="1"/>
  <c r="G1500" i="3"/>
  <c r="J1500" i="3" s="1"/>
  <c r="G1501" i="3"/>
  <c r="J1501" i="3" s="1"/>
  <c r="G1502" i="3"/>
  <c r="J1502" i="3" s="1"/>
  <c r="G1503" i="3"/>
  <c r="J1503" i="3" s="1"/>
  <c r="G1504" i="3"/>
  <c r="J1504" i="3" s="1"/>
  <c r="G1505" i="3"/>
  <c r="J1505" i="3" s="1"/>
  <c r="G1506" i="3"/>
  <c r="J1506" i="3" s="1"/>
  <c r="G1507" i="3"/>
  <c r="J1507" i="3" s="1"/>
  <c r="G1508" i="3"/>
  <c r="J1508" i="3" s="1"/>
  <c r="G1509" i="3"/>
  <c r="G1510" i="3"/>
  <c r="J1510" i="3" s="1"/>
  <c r="G1511" i="3"/>
  <c r="J1511" i="3" s="1"/>
  <c r="G1512" i="3"/>
  <c r="J1512" i="3" s="1"/>
  <c r="G1513" i="3"/>
  <c r="J1513" i="3" s="1"/>
  <c r="G1514" i="3"/>
  <c r="J1514" i="3" s="1"/>
  <c r="G1515" i="3"/>
  <c r="J1515" i="3" s="1"/>
  <c r="G1516" i="3"/>
  <c r="J1516" i="3" s="1"/>
  <c r="G1517" i="3"/>
  <c r="J1517" i="3" s="1"/>
  <c r="G1518" i="3"/>
  <c r="J1518" i="3" s="1"/>
  <c r="G1519" i="3"/>
  <c r="J1519" i="3" s="1"/>
  <c r="G1520" i="3"/>
  <c r="J1520" i="3" s="1"/>
  <c r="G1521" i="3"/>
  <c r="J1521" i="3" s="1"/>
  <c r="G1522" i="3"/>
  <c r="J1522" i="3" s="1"/>
  <c r="G1523" i="3"/>
  <c r="J1523" i="3" s="1"/>
  <c r="G1524" i="3"/>
  <c r="J1524" i="3" s="1"/>
  <c r="G1525" i="3"/>
  <c r="J1525" i="3" s="1"/>
  <c r="G1526" i="3"/>
  <c r="J1526" i="3" s="1"/>
  <c r="G1527" i="3"/>
  <c r="J1527" i="3" s="1"/>
  <c r="G1528" i="3"/>
  <c r="J1528" i="3" s="1"/>
  <c r="G1529" i="3"/>
  <c r="J1529" i="3" s="1"/>
  <c r="G1530" i="3"/>
  <c r="G1531" i="3"/>
  <c r="J1531" i="3" s="1"/>
  <c r="G1532" i="3"/>
  <c r="J1532" i="3" s="1"/>
  <c r="G1533" i="3"/>
  <c r="J1533" i="3" s="1"/>
  <c r="G1534" i="3"/>
  <c r="J1534" i="3" s="1"/>
  <c r="G1535" i="3"/>
  <c r="J1535" i="3" s="1"/>
  <c r="G1536" i="3"/>
  <c r="J1536" i="3" s="1"/>
  <c r="G1537" i="3"/>
  <c r="J1537" i="3" s="1"/>
  <c r="G1538" i="3"/>
  <c r="J1538" i="3" s="1"/>
  <c r="G1539" i="3"/>
  <c r="J1539" i="3" s="1"/>
  <c r="G1540" i="3"/>
  <c r="J1540" i="3" s="1"/>
  <c r="G1541" i="3"/>
  <c r="J1541" i="3" s="1"/>
  <c r="G1542" i="3"/>
  <c r="J1542" i="3" s="1"/>
  <c r="G1543" i="3"/>
  <c r="J1543" i="3" s="1"/>
  <c r="G1544" i="3"/>
  <c r="J1544" i="3" s="1"/>
  <c r="G1545" i="3"/>
  <c r="J1545" i="3" s="1"/>
  <c r="G1546" i="3"/>
  <c r="J1546" i="3" s="1"/>
  <c r="G1547" i="3"/>
  <c r="J1547" i="3" s="1"/>
  <c r="G1548" i="3"/>
  <c r="J1548" i="3" s="1"/>
  <c r="G1549" i="3"/>
  <c r="J1549" i="3" s="1"/>
  <c r="G1550" i="3"/>
  <c r="J1550" i="3" s="1"/>
  <c r="G1551" i="3"/>
  <c r="J1551" i="3" s="1"/>
  <c r="G1552" i="3"/>
  <c r="J1552" i="3" s="1"/>
  <c r="G1553" i="3"/>
  <c r="G1554" i="3"/>
  <c r="J1554" i="3" s="1"/>
  <c r="G1555" i="3"/>
  <c r="J1555" i="3" s="1"/>
  <c r="G1556" i="3"/>
  <c r="J1556" i="3" s="1"/>
  <c r="G1557" i="3"/>
  <c r="J1557" i="3" s="1"/>
  <c r="G1558" i="3"/>
  <c r="J1558" i="3" s="1"/>
  <c r="G1559" i="3"/>
  <c r="J1559" i="3" s="1"/>
  <c r="G1560" i="3"/>
  <c r="J1560" i="3" s="1"/>
  <c r="G1561" i="3"/>
  <c r="J1561" i="3" s="1"/>
  <c r="G1562" i="3"/>
  <c r="J1562" i="3" s="1"/>
  <c r="G1563" i="3"/>
  <c r="J1563" i="3" s="1"/>
  <c r="G1564" i="3"/>
  <c r="J1564" i="3" s="1"/>
  <c r="G1565" i="3"/>
  <c r="J1565" i="3" s="1"/>
  <c r="G1566" i="3"/>
  <c r="J1566" i="3" s="1"/>
  <c r="G1567" i="3"/>
  <c r="J1567" i="3" s="1"/>
  <c r="G1568" i="3"/>
  <c r="J1568" i="3" s="1"/>
  <c r="G1569" i="3"/>
  <c r="J1569" i="3" s="1"/>
  <c r="G1570" i="3"/>
  <c r="J1570" i="3" s="1"/>
  <c r="G1571" i="3"/>
  <c r="J1571" i="3" s="1"/>
  <c r="G1572" i="3"/>
  <c r="J1572" i="3" s="1"/>
  <c r="G1573" i="3"/>
  <c r="G1574" i="3"/>
  <c r="J1574" i="3" s="1"/>
  <c r="G1575" i="3"/>
  <c r="J1575" i="3" s="1"/>
  <c r="G1576" i="3"/>
  <c r="J1576" i="3" s="1"/>
  <c r="G1577" i="3"/>
  <c r="J1577" i="3" s="1"/>
  <c r="G1578" i="3"/>
  <c r="J1578" i="3" s="1"/>
  <c r="G1579" i="3"/>
  <c r="J1579" i="3" s="1"/>
  <c r="G1580" i="3"/>
  <c r="J1580" i="3" s="1"/>
  <c r="G1581" i="3"/>
  <c r="J1581" i="3" s="1"/>
  <c r="G1582" i="3"/>
  <c r="J1582" i="3" s="1"/>
  <c r="G1583" i="3"/>
  <c r="J1583" i="3" s="1"/>
  <c r="G1584" i="3"/>
  <c r="J1584" i="3" s="1"/>
  <c r="G1585" i="3"/>
  <c r="J1585" i="3" s="1"/>
  <c r="G1586" i="3"/>
  <c r="J1586" i="3" s="1"/>
  <c r="G1587" i="3"/>
  <c r="J1587" i="3" s="1"/>
  <c r="G1588" i="3"/>
  <c r="J1588" i="3" s="1"/>
  <c r="G1589" i="3"/>
  <c r="J1589" i="3" s="1"/>
  <c r="G1590" i="3"/>
  <c r="J1590" i="3" s="1"/>
  <c r="G1591" i="3"/>
  <c r="J1591" i="3" s="1"/>
  <c r="G1592" i="3"/>
  <c r="J1592" i="3" s="1"/>
  <c r="G1593" i="3"/>
  <c r="G1594" i="3"/>
  <c r="J1594" i="3" s="1"/>
  <c r="G1595" i="3"/>
  <c r="J1595" i="3" s="1"/>
  <c r="G1596" i="3"/>
  <c r="J1596" i="3" s="1"/>
  <c r="G1597" i="3"/>
  <c r="J1597" i="3" s="1"/>
  <c r="G1598" i="3"/>
  <c r="J1598" i="3" s="1"/>
  <c r="G1599" i="3"/>
  <c r="J1599" i="3" s="1"/>
  <c r="G1600" i="3"/>
  <c r="J1600" i="3" s="1"/>
  <c r="G1601" i="3"/>
  <c r="J1601" i="3" s="1"/>
  <c r="G1602" i="3"/>
  <c r="J1602" i="3" s="1"/>
  <c r="G1603" i="3"/>
  <c r="J1603" i="3" s="1"/>
  <c r="G1604" i="3"/>
  <c r="J1604" i="3" s="1"/>
  <c r="G1605" i="3"/>
  <c r="J1605" i="3" s="1"/>
  <c r="G1606" i="3"/>
  <c r="J1606" i="3" s="1"/>
  <c r="G1607" i="3"/>
  <c r="J1607" i="3" s="1"/>
  <c r="G1608" i="3"/>
  <c r="J1608" i="3" s="1"/>
  <c r="G1609" i="3"/>
  <c r="J1609" i="3" s="1"/>
  <c r="G1610" i="3"/>
  <c r="G1611" i="3"/>
  <c r="J1611" i="3" s="1"/>
  <c r="G1612" i="3"/>
  <c r="J1612" i="3" s="1"/>
  <c r="G1613" i="3"/>
  <c r="J1613" i="3" s="1"/>
  <c r="G1614" i="3"/>
  <c r="J1614" i="3" s="1"/>
  <c r="G1615" i="3"/>
  <c r="J1615" i="3" s="1"/>
  <c r="G1616" i="3"/>
  <c r="J1616" i="3" s="1"/>
  <c r="G1617" i="3"/>
  <c r="J1617" i="3" s="1"/>
  <c r="G1618" i="3"/>
  <c r="J1618" i="3" s="1"/>
  <c r="G1619" i="3"/>
  <c r="J1619" i="3" s="1"/>
  <c r="G1620" i="3"/>
  <c r="J1620" i="3" s="1"/>
  <c r="G1621" i="3"/>
  <c r="J1621" i="3" s="1"/>
  <c r="G1622" i="3"/>
  <c r="J1622" i="3" s="1"/>
  <c r="G1623" i="3"/>
  <c r="J1623" i="3" s="1"/>
  <c r="G1624" i="3"/>
  <c r="J1624" i="3" s="1"/>
  <c r="G1625" i="3"/>
  <c r="J1625" i="3" s="1"/>
  <c r="G1626" i="3"/>
  <c r="J1626" i="3" s="1"/>
  <c r="G1627" i="3"/>
  <c r="G1628" i="3"/>
  <c r="J1628" i="3" s="1"/>
  <c r="G1629" i="3"/>
  <c r="J1629" i="3" s="1"/>
  <c r="G1630" i="3"/>
  <c r="J1630" i="3" s="1"/>
  <c r="G1631" i="3"/>
  <c r="J1631" i="3" s="1"/>
  <c r="G1632" i="3"/>
  <c r="J1632" i="3" s="1"/>
  <c r="G1633" i="3"/>
  <c r="J1633" i="3" s="1"/>
  <c r="G1634" i="3"/>
  <c r="J1634" i="3" s="1"/>
  <c r="G1635" i="3"/>
  <c r="J1635" i="3" s="1"/>
  <c r="G1636" i="3"/>
  <c r="J1636" i="3" s="1"/>
  <c r="G1637" i="3"/>
  <c r="J1637" i="3" s="1"/>
  <c r="G1638" i="3"/>
  <c r="J1638" i="3" s="1"/>
  <c r="G1639" i="3"/>
  <c r="J1639" i="3" s="1"/>
  <c r="G1640" i="3"/>
  <c r="J1640" i="3" s="1"/>
  <c r="G1641" i="3"/>
  <c r="J1641" i="3" s="1"/>
  <c r="G1642" i="3"/>
  <c r="J1642" i="3" s="1"/>
  <c r="G1643" i="3"/>
  <c r="G1644" i="3"/>
  <c r="J1644" i="3" s="1"/>
  <c r="G1645" i="3"/>
  <c r="J1645" i="3" s="1"/>
  <c r="G1646" i="3"/>
  <c r="J1646" i="3" s="1"/>
  <c r="G1647" i="3"/>
  <c r="J1647" i="3" s="1"/>
  <c r="G1648" i="3"/>
  <c r="J1648" i="3" s="1"/>
  <c r="G1649" i="3"/>
  <c r="J1649" i="3" s="1"/>
  <c r="G1650" i="3"/>
  <c r="J1650" i="3" s="1"/>
  <c r="G1651" i="3"/>
  <c r="J1651" i="3" s="1"/>
  <c r="G1652" i="3"/>
  <c r="J1652" i="3" s="1"/>
  <c r="G1653" i="3"/>
  <c r="J1653" i="3" s="1"/>
  <c r="G1654" i="3"/>
  <c r="J1654" i="3" s="1"/>
  <c r="G1655" i="3"/>
  <c r="J1655" i="3" s="1"/>
  <c r="G1656" i="3"/>
  <c r="J1656" i="3" s="1"/>
  <c r="G1657" i="3"/>
  <c r="J1657" i="3" s="1"/>
  <c r="G1658" i="3"/>
  <c r="J1658" i="3" s="1"/>
  <c r="G1659" i="3"/>
  <c r="J1659" i="3" s="1"/>
  <c r="G1660" i="3"/>
  <c r="J1660" i="3" s="1"/>
  <c r="G1661" i="3"/>
  <c r="G1662" i="3"/>
  <c r="J1662" i="3" s="1"/>
  <c r="G1663" i="3"/>
  <c r="J1663" i="3" s="1"/>
  <c r="G1664" i="3"/>
  <c r="J1664" i="3" s="1"/>
  <c r="G1665" i="3"/>
  <c r="J1665" i="3" s="1"/>
  <c r="G1666" i="3"/>
  <c r="J1666" i="3" s="1"/>
  <c r="G1667" i="3"/>
  <c r="J1667" i="3" s="1"/>
  <c r="G1668" i="3"/>
  <c r="J1668" i="3" s="1"/>
  <c r="G1669" i="3"/>
  <c r="J1669" i="3" s="1"/>
  <c r="G1670" i="3"/>
  <c r="J1670" i="3" s="1"/>
  <c r="G1671" i="3"/>
  <c r="J1671" i="3" s="1"/>
  <c r="G1672" i="3"/>
  <c r="J1672" i="3" s="1"/>
  <c r="G1673" i="3"/>
  <c r="J1673" i="3" s="1"/>
  <c r="G1674" i="3"/>
  <c r="J1674" i="3" s="1"/>
  <c r="G1675" i="3"/>
  <c r="J1675" i="3" s="1"/>
  <c r="G1676" i="3"/>
  <c r="J1676" i="3" s="1"/>
  <c r="G1677" i="3"/>
  <c r="J1677" i="3" s="1"/>
  <c r="G1678" i="3"/>
  <c r="J1678" i="3" s="1"/>
  <c r="G1679" i="3"/>
  <c r="J1679" i="3" s="1"/>
  <c r="G1680" i="3"/>
  <c r="G1681" i="3"/>
  <c r="J1681" i="3" s="1"/>
  <c r="G1682" i="3"/>
  <c r="J1682" i="3" s="1"/>
  <c r="G1683" i="3"/>
  <c r="J1683" i="3" s="1"/>
  <c r="G1684" i="3"/>
  <c r="J1684" i="3" s="1"/>
  <c r="G1685" i="3"/>
  <c r="J1685" i="3" s="1"/>
  <c r="G1686" i="3"/>
  <c r="J1686" i="3" s="1"/>
  <c r="G1687" i="3"/>
  <c r="J1687" i="3" s="1"/>
  <c r="G1688" i="3"/>
  <c r="J1688" i="3" s="1"/>
  <c r="G1689" i="3"/>
  <c r="J1689" i="3" s="1"/>
  <c r="G1690" i="3"/>
  <c r="J1690" i="3" s="1"/>
  <c r="G1691" i="3"/>
  <c r="J1691" i="3" s="1"/>
  <c r="G1692" i="3"/>
  <c r="J1692" i="3" s="1"/>
  <c r="G1693" i="3"/>
  <c r="J1693" i="3" s="1"/>
  <c r="G1694" i="3"/>
  <c r="J1694" i="3" s="1"/>
  <c r="G1695" i="3"/>
  <c r="J1695" i="3" s="1"/>
  <c r="G1696" i="3"/>
  <c r="J1696" i="3" s="1"/>
  <c r="G1697" i="3"/>
  <c r="J1697" i="3" s="1"/>
  <c r="G1698" i="3"/>
  <c r="J1698" i="3" s="1"/>
  <c r="G1699" i="3"/>
  <c r="J1699" i="3" s="1"/>
  <c r="G1700" i="3"/>
  <c r="J1700" i="3" s="1"/>
  <c r="G1701" i="3"/>
  <c r="J1701" i="3" s="1"/>
  <c r="G1702" i="3"/>
  <c r="J1702" i="3" s="1"/>
  <c r="G1703" i="3"/>
  <c r="J1703" i="3" s="1"/>
  <c r="G1704" i="3"/>
  <c r="J1704" i="3" s="1"/>
  <c r="G1705" i="3"/>
  <c r="J1705" i="3" s="1"/>
  <c r="G1706" i="3"/>
  <c r="J1706" i="3" s="1"/>
  <c r="G1707" i="3"/>
  <c r="J1707" i="3" s="1"/>
  <c r="G1708" i="3"/>
  <c r="J1708" i="3" s="1"/>
  <c r="G1709" i="3"/>
  <c r="G1710" i="3"/>
  <c r="J1710" i="3" s="1"/>
  <c r="G1711" i="3"/>
  <c r="J1711" i="3" s="1"/>
  <c r="G1712" i="3"/>
  <c r="J1712" i="3" s="1"/>
  <c r="G1713" i="3"/>
  <c r="J1713" i="3" s="1"/>
  <c r="G1714" i="3"/>
  <c r="J1714" i="3" s="1"/>
  <c r="G1715" i="3"/>
  <c r="J1715" i="3" s="1"/>
  <c r="G1716" i="3"/>
  <c r="J1716" i="3" s="1"/>
  <c r="G1717" i="3"/>
  <c r="J1717" i="3" s="1"/>
  <c r="G1718" i="3"/>
  <c r="J1718" i="3" s="1"/>
  <c r="G1719" i="3"/>
  <c r="J1719" i="3" s="1"/>
  <c r="G1720" i="3"/>
  <c r="J1720" i="3" s="1"/>
  <c r="G1721" i="3"/>
  <c r="J1721" i="3" s="1"/>
  <c r="G1722" i="3"/>
  <c r="J1722" i="3" s="1"/>
  <c r="G1723" i="3"/>
  <c r="G1724" i="3"/>
  <c r="J1724" i="3" s="1"/>
  <c r="G1725" i="3"/>
  <c r="J1725" i="3" s="1"/>
  <c r="G1726" i="3"/>
  <c r="J1726" i="3" s="1"/>
  <c r="G1727" i="3"/>
  <c r="J1727" i="3" s="1"/>
  <c r="G1728" i="3"/>
  <c r="J1728" i="3" s="1"/>
  <c r="G1729" i="3"/>
  <c r="J1729" i="3" s="1"/>
  <c r="G1730" i="3"/>
  <c r="J1730" i="3" s="1"/>
  <c r="G1731" i="3"/>
  <c r="J1731" i="3" s="1"/>
  <c r="G1732" i="3"/>
  <c r="J1732" i="3" s="1"/>
  <c r="G1733" i="3"/>
  <c r="J1733" i="3" s="1"/>
  <c r="G1734" i="3"/>
  <c r="J1734" i="3" s="1"/>
  <c r="G1735" i="3"/>
  <c r="J1735" i="3" s="1"/>
  <c r="G1736" i="3"/>
  <c r="J1736" i="3" s="1"/>
  <c r="G1737" i="3"/>
  <c r="G1738" i="3"/>
  <c r="J1738" i="3" s="1"/>
  <c r="G1739" i="3"/>
  <c r="J1739" i="3" s="1"/>
  <c r="G1740" i="3"/>
  <c r="J1740" i="3" s="1"/>
  <c r="G1741" i="3"/>
  <c r="J1741" i="3" s="1"/>
  <c r="G1742" i="3"/>
  <c r="J1742" i="3" s="1"/>
  <c r="G1743" i="3"/>
  <c r="J1743" i="3" s="1"/>
  <c r="G1744" i="3"/>
  <c r="J1744" i="3" s="1"/>
  <c r="G1745" i="3"/>
  <c r="J1745" i="3" s="1"/>
  <c r="G1746" i="3"/>
  <c r="J1746" i="3" s="1"/>
  <c r="G1747" i="3"/>
  <c r="J1747" i="3" s="1"/>
  <c r="G1748" i="3"/>
  <c r="J1748" i="3" s="1"/>
  <c r="G1749" i="3"/>
  <c r="J1749" i="3" s="1"/>
  <c r="G1750" i="3"/>
  <c r="J1750" i="3" s="1"/>
  <c r="G1751" i="3"/>
  <c r="J1751" i="3" s="1"/>
  <c r="G1752" i="3"/>
  <c r="G1753" i="3"/>
  <c r="J1753" i="3" s="1"/>
  <c r="G1754" i="3"/>
  <c r="J1754" i="3" s="1"/>
  <c r="G1755" i="3"/>
  <c r="J1755" i="3" s="1"/>
  <c r="G1756" i="3"/>
  <c r="J1756" i="3" s="1"/>
  <c r="G1757" i="3"/>
  <c r="J1757" i="3" s="1"/>
  <c r="G1758" i="3"/>
  <c r="J1758" i="3" s="1"/>
  <c r="G1759" i="3"/>
  <c r="J1759" i="3" s="1"/>
  <c r="G1760" i="3"/>
  <c r="J1760" i="3" s="1"/>
  <c r="G1761" i="3"/>
  <c r="J1761" i="3" s="1"/>
  <c r="G1762" i="3"/>
  <c r="J1762" i="3" s="1"/>
  <c r="G1763" i="3"/>
  <c r="J1763" i="3" s="1"/>
  <c r="G1764" i="3"/>
  <c r="J1764" i="3" s="1"/>
  <c r="G1765" i="3"/>
  <c r="J1765" i="3" s="1"/>
  <c r="G1766" i="3"/>
  <c r="J1766" i="3" s="1"/>
  <c r="G1767" i="3"/>
  <c r="J1767" i="3" s="1"/>
  <c r="G1768" i="3"/>
  <c r="J1768" i="3" s="1"/>
  <c r="G1769" i="3"/>
  <c r="J1769" i="3" s="1"/>
  <c r="G1770" i="3"/>
  <c r="J1770" i="3" s="1"/>
  <c r="G1771" i="3"/>
  <c r="J1771" i="3" s="1"/>
  <c r="G1772" i="3"/>
  <c r="J1772" i="3" s="1"/>
  <c r="G1773" i="3"/>
  <c r="J1773" i="3" s="1"/>
  <c r="G1774" i="3"/>
  <c r="J1774" i="3" s="1"/>
  <c r="G1775" i="3"/>
  <c r="J1775" i="3" s="1"/>
  <c r="G1776" i="3"/>
  <c r="J1776" i="3" s="1"/>
  <c r="G1777" i="3"/>
  <c r="J1777" i="3" s="1"/>
  <c r="G1778" i="3"/>
  <c r="J1778" i="3" s="1"/>
  <c r="G1779" i="3"/>
  <c r="G1780" i="3"/>
  <c r="J1780" i="3" s="1"/>
  <c r="G1781" i="3"/>
  <c r="J1781" i="3" s="1"/>
  <c r="G1782" i="3"/>
  <c r="J1782" i="3" s="1"/>
  <c r="G1783" i="3"/>
  <c r="J1783" i="3" s="1"/>
  <c r="G1784" i="3"/>
  <c r="J1784" i="3" s="1"/>
  <c r="G1785" i="3"/>
  <c r="J1785" i="3" s="1"/>
  <c r="G1786" i="3"/>
  <c r="J1786" i="3" s="1"/>
  <c r="G1787" i="3"/>
  <c r="J1787" i="3" s="1"/>
  <c r="G1788" i="3"/>
  <c r="J1788" i="3" s="1"/>
  <c r="G1789" i="3"/>
  <c r="J1789" i="3" s="1"/>
  <c r="G1790" i="3"/>
  <c r="J1790" i="3" s="1"/>
  <c r="G1791" i="3"/>
  <c r="J1791" i="3" s="1"/>
  <c r="G1792" i="3"/>
  <c r="J1792" i="3" s="1"/>
  <c r="G1793" i="3"/>
  <c r="J1793" i="3" s="1"/>
  <c r="G1794" i="3"/>
  <c r="G1795" i="3"/>
  <c r="J1795" i="3" s="1"/>
  <c r="G1796" i="3"/>
  <c r="J1796" i="3" s="1"/>
  <c r="G1797" i="3"/>
  <c r="J1797" i="3" s="1"/>
  <c r="G1798" i="3"/>
  <c r="J1798" i="3" s="1"/>
  <c r="G1799" i="3"/>
  <c r="J1799" i="3" s="1"/>
  <c r="G1800" i="3"/>
  <c r="J1800" i="3" s="1"/>
  <c r="G1801" i="3"/>
  <c r="J1801" i="3" s="1"/>
  <c r="G1802" i="3"/>
  <c r="J1802" i="3" s="1"/>
  <c r="G1803" i="3"/>
  <c r="J1803" i="3" s="1"/>
  <c r="G1804" i="3"/>
  <c r="J1804" i="3" s="1"/>
  <c r="G1805" i="3"/>
  <c r="J1805" i="3" s="1"/>
  <c r="G1806" i="3"/>
  <c r="J1806" i="3" s="1"/>
  <c r="G1807" i="3"/>
  <c r="J1807" i="3" s="1"/>
  <c r="G1808" i="3"/>
  <c r="J1808" i="3" s="1"/>
  <c r="G1809" i="3"/>
  <c r="G1810" i="3"/>
  <c r="J1810" i="3" s="1"/>
  <c r="G1811" i="3"/>
  <c r="J1811" i="3" s="1"/>
  <c r="G1812" i="3"/>
  <c r="J1812" i="3" s="1"/>
  <c r="G1813" i="3"/>
  <c r="J1813" i="3" s="1"/>
  <c r="G1814" i="3"/>
  <c r="J1814" i="3" s="1"/>
  <c r="G1815" i="3"/>
  <c r="J1815" i="3" s="1"/>
  <c r="G1816" i="3"/>
  <c r="J1816" i="3" s="1"/>
  <c r="G1817" i="3"/>
  <c r="J1817" i="3" s="1"/>
  <c r="G1818" i="3"/>
  <c r="J1818" i="3" s="1"/>
  <c r="G1819" i="3"/>
  <c r="J1819" i="3" s="1"/>
  <c r="G1820" i="3"/>
  <c r="J1820" i="3" s="1"/>
  <c r="G1821" i="3"/>
  <c r="J1821" i="3" s="1"/>
  <c r="G1822" i="3"/>
  <c r="J1822" i="3" s="1"/>
  <c r="G1823" i="3"/>
  <c r="J1823" i="3" s="1"/>
  <c r="G1824" i="3"/>
  <c r="J1824" i="3" s="1"/>
  <c r="G1825" i="3"/>
  <c r="J1825" i="3" s="1"/>
  <c r="G1826" i="3"/>
  <c r="J1826" i="3" s="1"/>
  <c r="G1827" i="3"/>
  <c r="J1827" i="3" s="1"/>
  <c r="G1828" i="3"/>
  <c r="J1828" i="3" s="1"/>
  <c r="G1829" i="3"/>
  <c r="J1829" i="3" s="1"/>
  <c r="G1830" i="3"/>
  <c r="J1830" i="3" s="1"/>
  <c r="G1831" i="3"/>
  <c r="J1831" i="3" s="1"/>
  <c r="G1832" i="3"/>
  <c r="J1832" i="3" s="1"/>
  <c r="G1833" i="3"/>
  <c r="J1833" i="3" s="1"/>
  <c r="G1834" i="3"/>
  <c r="J1834" i="3" s="1"/>
  <c r="G1835" i="3"/>
  <c r="J1835" i="3" s="1"/>
  <c r="G1836" i="3"/>
  <c r="J1836" i="3" s="1"/>
  <c r="G1837" i="3"/>
  <c r="G1838" i="3"/>
  <c r="J1838" i="3" s="1"/>
  <c r="G1839" i="3"/>
  <c r="J1839" i="3" s="1"/>
  <c r="G1840" i="3"/>
  <c r="J1840" i="3" s="1"/>
  <c r="G1841" i="3"/>
  <c r="J1841" i="3" s="1"/>
  <c r="G1842" i="3"/>
  <c r="J1842" i="3" s="1"/>
  <c r="G1843" i="3"/>
  <c r="J1843" i="3" s="1"/>
  <c r="G1844" i="3"/>
  <c r="J1844" i="3" s="1"/>
  <c r="G1845" i="3"/>
  <c r="J1845" i="3" s="1"/>
  <c r="G1846" i="3"/>
  <c r="J1846" i="3" s="1"/>
  <c r="G1847" i="3"/>
  <c r="J1847" i="3" s="1"/>
  <c r="G1848" i="3"/>
  <c r="J1848" i="3" s="1"/>
  <c r="G1849" i="3"/>
  <c r="J1849" i="3" s="1"/>
  <c r="G1850" i="3"/>
  <c r="J1850" i="3" s="1"/>
  <c r="G1851" i="3"/>
  <c r="G1852" i="3"/>
  <c r="J1852" i="3" s="1"/>
  <c r="G1853" i="3"/>
  <c r="J1853" i="3" s="1"/>
  <c r="G1854" i="3"/>
  <c r="J1854" i="3" s="1"/>
  <c r="G1855" i="3"/>
  <c r="J1855" i="3" s="1"/>
  <c r="G1856" i="3"/>
  <c r="J1856" i="3" s="1"/>
  <c r="G1857" i="3"/>
  <c r="J1857" i="3" s="1"/>
  <c r="G1858" i="3"/>
  <c r="J1858" i="3" s="1"/>
  <c r="G1859" i="3"/>
  <c r="J1859" i="3" s="1"/>
  <c r="G1860" i="3"/>
  <c r="J1860" i="3" s="1"/>
  <c r="G1861" i="3"/>
  <c r="J1861" i="3" s="1"/>
  <c r="G1862" i="3"/>
  <c r="J1862" i="3" s="1"/>
  <c r="G1863" i="3"/>
  <c r="J1863" i="3" s="1"/>
  <c r="G1864" i="3"/>
  <c r="J1864" i="3" s="1"/>
  <c r="G1865" i="3"/>
  <c r="G1866" i="3"/>
  <c r="J1866" i="3" s="1"/>
  <c r="G1867" i="3"/>
  <c r="J1867" i="3" s="1"/>
  <c r="G1868" i="3"/>
  <c r="J1868" i="3" s="1"/>
  <c r="G1869" i="3"/>
  <c r="J1869" i="3" s="1"/>
  <c r="G1870" i="3"/>
  <c r="J1870" i="3" s="1"/>
  <c r="G1871" i="3"/>
  <c r="J1871" i="3" s="1"/>
  <c r="G1872" i="3"/>
  <c r="J1872" i="3" s="1"/>
  <c r="G1873" i="3"/>
  <c r="J1873" i="3" s="1"/>
  <c r="G1874" i="3"/>
  <c r="J1874" i="3" s="1"/>
  <c r="G1875" i="3"/>
  <c r="J1875" i="3" s="1"/>
  <c r="G1876" i="3"/>
  <c r="J1876" i="3" s="1"/>
  <c r="G1877" i="3"/>
  <c r="J1877" i="3" s="1"/>
  <c r="G1878" i="3"/>
  <c r="J1878" i="3" s="1"/>
  <c r="G1879" i="3"/>
  <c r="J1879" i="3" s="1"/>
  <c r="G1880" i="3"/>
  <c r="G1881" i="3"/>
  <c r="J1881" i="3" s="1"/>
  <c r="G1882" i="3"/>
  <c r="J1882" i="3" s="1"/>
  <c r="G1883" i="3"/>
  <c r="J1883" i="3" s="1"/>
  <c r="G1884" i="3"/>
  <c r="J1884" i="3" s="1"/>
  <c r="G1885" i="3"/>
  <c r="J1885" i="3" s="1"/>
  <c r="G1886" i="3"/>
  <c r="J1886" i="3" s="1"/>
  <c r="G1887" i="3"/>
  <c r="J1887" i="3" s="1"/>
  <c r="G1888" i="3"/>
  <c r="J1888" i="3" s="1"/>
  <c r="G1889" i="3"/>
  <c r="J1889" i="3" s="1"/>
  <c r="G1890" i="3"/>
  <c r="J1890" i="3" s="1"/>
  <c r="G1891" i="3"/>
  <c r="G1892" i="3"/>
  <c r="J1892" i="3" s="1"/>
  <c r="G1893" i="3"/>
  <c r="J1893" i="3" s="1"/>
  <c r="G1894" i="3"/>
  <c r="J1894" i="3" s="1"/>
  <c r="G1895" i="3"/>
  <c r="J1895" i="3" s="1"/>
  <c r="G1896" i="3"/>
  <c r="J1896" i="3" s="1"/>
  <c r="G1897" i="3"/>
  <c r="J1897" i="3" s="1"/>
  <c r="G1898" i="3"/>
  <c r="J1898" i="3" s="1"/>
  <c r="G1899" i="3"/>
  <c r="J1899" i="3" s="1"/>
  <c r="G1900" i="3"/>
  <c r="J1900" i="3" s="1"/>
  <c r="G1901" i="3"/>
  <c r="G1902" i="3"/>
  <c r="J1902" i="3" s="1"/>
  <c r="G1903" i="3"/>
  <c r="J1903" i="3" s="1"/>
  <c r="G1904" i="3"/>
  <c r="J1904" i="3" s="1"/>
  <c r="G1905" i="3"/>
  <c r="J1905" i="3" s="1"/>
  <c r="G1906" i="3"/>
  <c r="J1906" i="3" s="1"/>
  <c r="G1907" i="3"/>
  <c r="J1907" i="3" s="1"/>
  <c r="G1908" i="3"/>
  <c r="J1908" i="3" s="1"/>
  <c r="G1909" i="3"/>
  <c r="J1909" i="3" s="1"/>
  <c r="G1910" i="3"/>
  <c r="J1910" i="3" s="1"/>
  <c r="G1911" i="3"/>
  <c r="J1911" i="3" s="1"/>
  <c r="G1912" i="3"/>
  <c r="G1913" i="3"/>
  <c r="J1913" i="3" s="1"/>
  <c r="G1914" i="3"/>
  <c r="J1914" i="3" s="1"/>
  <c r="G1915" i="3"/>
  <c r="J1915" i="3" s="1"/>
  <c r="G1916" i="3"/>
  <c r="J1916" i="3" s="1"/>
  <c r="G1917" i="3"/>
  <c r="J1917" i="3" s="1"/>
  <c r="G1918" i="3"/>
  <c r="J1918" i="3" s="1"/>
  <c r="G1919" i="3"/>
  <c r="J1919" i="3" s="1"/>
  <c r="G1920" i="3"/>
  <c r="J1920" i="3" s="1"/>
  <c r="G1921" i="3"/>
  <c r="J1921" i="3" s="1"/>
  <c r="G1922" i="3"/>
  <c r="J1922" i="3" s="1"/>
  <c r="G1923" i="3"/>
  <c r="G1924" i="3"/>
  <c r="J1924" i="3" s="1"/>
  <c r="G1925" i="3"/>
  <c r="J1925" i="3" s="1"/>
  <c r="G1926" i="3"/>
  <c r="J1926" i="3" s="1"/>
  <c r="G1927" i="3"/>
  <c r="J1927" i="3" s="1"/>
  <c r="G1928" i="3"/>
  <c r="J1928" i="3" s="1"/>
  <c r="G1929" i="3"/>
  <c r="J1929" i="3" s="1"/>
  <c r="G1930" i="3"/>
  <c r="J1930" i="3" s="1"/>
  <c r="G1931" i="3"/>
  <c r="J1931" i="3" s="1"/>
  <c r="G1932" i="3"/>
  <c r="J1932" i="3" s="1"/>
  <c r="G1933" i="3"/>
  <c r="G1934" i="3"/>
  <c r="J1934" i="3" s="1"/>
  <c r="G1935" i="3"/>
  <c r="J1935" i="3" s="1"/>
  <c r="G1936" i="3"/>
  <c r="J1936" i="3" s="1"/>
  <c r="G1937" i="3"/>
  <c r="J1937" i="3" s="1"/>
  <c r="G1938" i="3"/>
  <c r="J1938" i="3" s="1"/>
  <c r="G1939" i="3"/>
  <c r="J1939" i="3" s="1"/>
  <c r="G1940" i="3"/>
  <c r="J1940" i="3" s="1"/>
  <c r="G1941" i="3"/>
  <c r="J1941" i="3" s="1"/>
  <c r="G1942" i="3"/>
  <c r="J1942" i="3" s="1"/>
  <c r="G1943" i="3"/>
  <c r="J1943" i="3" s="1"/>
  <c r="G1944" i="3"/>
  <c r="G1945" i="3"/>
  <c r="J1945" i="3" s="1"/>
  <c r="G1946" i="3"/>
  <c r="J1946" i="3" s="1"/>
  <c r="G1947" i="3"/>
  <c r="J1947" i="3" s="1"/>
  <c r="G1948" i="3"/>
  <c r="J1948" i="3" s="1"/>
  <c r="G1949" i="3"/>
  <c r="J1949" i="3" s="1"/>
  <c r="G1950" i="3"/>
  <c r="J1950" i="3" s="1"/>
  <c r="G1951" i="3"/>
  <c r="J1951" i="3" s="1"/>
  <c r="G1952" i="3"/>
  <c r="J1952" i="3" s="1"/>
  <c r="G1953" i="3"/>
  <c r="J1953" i="3" s="1"/>
  <c r="G1954" i="3"/>
  <c r="J1954" i="3" s="1"/>
  <c r="G1955" i="3"/>
  <c r="G1956" i="3"/>
  <c r="J1956" i="3" s="1"/>
  <c r="G1957" i="3"/>
  <c r="J1957" i="3" s="1"/>
  <c r="G1958" i="3"/>
  <c r="J1958" i="3" s="1"/>
  <c r="G1959" i="3"/>
  <c r="J1959" i="3" s="1"/>
  <c r="G1960" i="3"/>
  <c r="J1960" i="3" s="1"/>
  <c r="G1961" i="3"/>
  <c r="J1961" i="3" s="1"/>
  <c r="G1962" i="3"/>
  <c r="J1962" i="3" s="1"/>
  <c r="G1963" i="3"/>
  <c r="J1963" i="3" s="1"/>
  <c r="G1964" i="3"/>
  <c r="J1964" i="3" s="1"/>
  <c r="G1965" i="3"/>
  <c r="G1966" i="3"/>
  <c r="J1966" i="3" s="1"/>
  <c r="G1967" i="3"/>
  <c r="J1967" i="3" s="1"/>
  <c r="G1968" i="3"/>
  <c r="J1968" i="3" s="1"/>
  <c r="G1969" i="3"/>
  <c r="J1969" i="3" s="1"/>
  <c r="G1970" i="3"/>
  <c r="J1970" i="3" s="1"/>
  <c r="G1971" i="3"/>
  <c r="J1971" i="3" s="1"/>
  <c r="G1972" i="3"/>
  <c r="J1972" i="3" s="1"/>
  <c r="G1973" i="3"/>
  <c r="J1973" i="3" s="1"/>
  <c r="G1974" i="3"/>
  <c r="J1974" i="3" s="1"/>
  <c r="G1975" i="3"/>
  <c r="J1975" i="3" s="1"/>
  <c r="G1976" i="3"/>
  <c r="G1977" i="3"/>
  <c r="J1977" i="3" s="1"/>
  <c r="G1978" i="3"/>
  <c r="J1978" i="3" s="1"/>
  <c r="G1979" i="3"/>
  <c r="J1979" i="3" s="1"/>
  <c r="G1980" i="3"/>
  <c r="J1980" i="3" s="1"/>
  <c r="G1981" i="3"/>
  <c r="J1981" i="3" s="1"/>
  <c r="G1982" i="3"/>
  <c r="J1982" i="3" s="1"/>
  <c r="G1983" i="3"/>
  <c r="J1983" i="3" s="1"/>
  <c r="G1984" i="3"/>
  <c r="J1984" i="3" s="1"/>
  <c r="G1985" i="3"/>
  <c r="J1985" i="3" s="1"/>
  <c r="G1986" i="3"/>
  <c r="J1986" i="3" s="1"/>
  <c r="G1987" i="3"/>
  <c r="G1988" i="3"/>
  <c r="J1988" i="3" s="1"/>
  <c r="G1989" i="3"/>
  <c r="J1989" i="3" s="1"/>
  <c r="G1990" i="3"/>
  <c r="J1990" i="3" s="1"/>
  <c r="G1991" i="3"/>
  <c r="J1991" i="3" s="1"/>
  <c r="G1992" i="3"/>
  <c r="J1992" i="3" s="1"/>
  <c r="G1993" i="3"/>
  <c r="J1993" i="3" s="1"/>
  <c r="G1994" i="3"/>
  <c r="J1994" i="3" s="1"/>
  <c r="G1995" i="3"/>
  <c r="J1995" i="3" s="1"/>
  <c r="G1996" i="3"/>
  <c r="J1996" i="3" s="1"/>
  <c r="G1997" i="3"/>
  <c r="G1998" i="3"/>
  <c r="J1998" i="3" s="1"/>
  <c r="G1999" i="3"/>
  <c r="J1999" i="3" s="1"/>
  <c r="G2000" i="3"/>
  <c r="J2000" i="3" s="1"/>
  <c r="G2001" i="3"/>
  <c r="J2001" i="3" s="1"/>
  <c r="G2002" i="3"/>
  <c r="J2002" i="3" s="1"/>
  <c r="G2003" i="3"/>
  <c r="J2003" i="3" s="1"/>
  <c r="G2004" i="3"/>
  <c r="J2004" i="3" s="1"/>
  <c r="G2005" i="3"/>
  <c r="J2005" i="3" s="1"/>
  <c r="G2006" i="3"/>
  <c r="J2006" i="3" s="1"/>
  <c r="G2007" i="3"/>
  <c r="J2007" i="3" s="1"/>
  <c r="G2008" i="3"/>
  <c r="G2009" i="3"/>
  <c r="J2009" i="3" s="1"/>
  <c r="G2010" i="3"/>
  <c r="J2010" i="3" s="1"/>
  <c r="G2011" i="3"/>
  <c r="J2011" i="3" s="1"/>
  <c r="G2012" i="3"/>
  <c r="J2012" i="3" s="1"/>
  <c r="G2013" i="3"/>
  <c r="J2013" i="3" s="1"/>
  <c r="G2014" i="3"/>
  <c r="J2014" i="3" s="1"/>
  <c r="G2015" i="3"/>
  <c r="J2015" i="3" s="1"/>
  <c r="G2016" i="3"/>
  <c r="J2016" i="3" s="1"/>
  <c r="G2017" i="3"/>
  <c r="J2017" i="3" s="1"/>
  <c r="G2018" i="3"/>
  <c r="J2018" i="3" s="1"/>
  <c r="G2019" i="3"/>
  <c r="G2020" i="3"/>
  <c r="J2020" i="3" s="1"/>
  <c r="G2021" i="3"/>
  <c r="J2021" i="3" s="1"/>
  <c r="G2022" i="3"/>
  <c r="J2022" i="3" s="1"/>
  <c r="G2023" i="3"/>
  <c r="J2023" i="3" s="1"/>
  <c r="G2024" i="3"/>
  <c r="J2024" i="3" s="1"/>
  <c r="G2025" i="3"/>
  <c r="J2025" i="3" s="1"/>
  <c r="G2026" i="3"/>
  <c r="J2026" i="3" s="1"/>
  <c r="G2027" i="3"/>
  <c r="J2027" i="3" s="1"/>
  <c r="G2028" i="3"/>
  <c r="J2028" i="3" s="1"/>
  <c r="G2029" i="3"/>
  <c r="G2030" i="3"/>
  <c r="J2030" i="3" s="1"/>
  <c r="G2031" i="3"/>
  <c r="J2031" i="3" s="1"/>
  <c r="G2032" i="3"/>
  <c r="J2032" i="3" s="1"/>
  <c r="G2033" i="3"/>
  <c r="J2033" i="3" s="1"/>
  <c r="G2034" i="3"/>
  <c r="J2034" i="3" s="1"/>
  <c r="G2035" i="3"/>
  <c r="J2035" i="3" s="1"/>
  <c r="G2036" i="3"/>
  <c r="J2036" i="3" s="1"/>
  <c r="G2037" i="3"/>
  <c r="J2037" i="3" s="1"/>
  <c r="G2038" i="3"/>
  <c r="J2038" i="3" s="1"/>
  <c r="G2039" i="3"/>
  <c r="J2039" i="3" s="1"/>
  <c r="G2040" i="3"/>
  <c r="G2041" i="3"/>
  <c r="J2041" i="3" s="1"/>
  <c r="G2042" i="3"/>
  <c r="J2042" i="3" s="1"/>
  <c r="G2043" i="3"/>
  <c r="J2043" i="3" s="1"/>
  <c r="G2044" i="3"/>
  <c r="J2044" i="3" s="1"/>
  <c r="G2045" i="3"/>
  <c r="J2045" i="3" s="1"/>
  <c r="G2046" i="3"/>
  <c r="J2046" i="3" s="1"/>
  <c r="G2047" i="3"/>
  <c r="J2047" i="3" s="1"/>
  <c r="G2048" i="3"/>
  <c r="J2048" i="3" s="1"/>
  <c r="G2049" i="3"/>
  <c r="J2049" i="3" s="1"/>
  <c r="G2050" i="3"/>
  <c r="J2050" i="3" s="1"/>
  <c r="G2051" i="3"/>
  <c r="G2052" i="3"/>
  <c r="J2052" i="3" s="1"/>
  <c r="G2053" i="3"/>
  <c r="J2053" i="3" s="1"/>
  <c r="G2054" i="3"/>
  <c r="J2054" i="3" s="1"/>
  <c r="G2055" i="3"/>
  <c r="J2055" i="3" s="1"/>
  <c r="G2056" i="3"/>
  <c r="J2056" i="3" s="1"/>
  <c r="G2057" i="3"/>
  <c r="J2057" i="3" s="1"/>
  <c r="G2058" i="3"/>
  <c r="J2058" i="3" s="1"/>
  <c r="G2059" i="3"/>
  <c r="J2059" i="3" s="1"/>
  <c r="G2060" i="3"/>
  <c r="J2060" i="3" s="1"/>
  <c r="G2061" i="3"/>
  <c r="G2062" i="3"/>
  <c r="J2062" i="3" s="1"/>
  <c r="G2063" i="3"/>
  <c r="J2063" i="3" s="1"/>
  <c r="G2064" i="3"/>
  <c r="J2064" i="3" s="1"/>
  <c r="G2065" i="3"/>
  <c r="J2065" i="3" s="1"/>
  <c r="G2066" i="3"/>
  <c r="J2066" i="3" s="1"/>
  <c r="G2067" i="3"/>
  <c r="J2067" i="3" s="1"/>
  <c r="G2068" i="3"/>
  <c r="J2068" i="3" s="1"/>
  <c r="G2069" i="3"/>
  <c r="J2069" i="3" s="1"/>
  <c r="G2070" i="3"/>
  <c r="J2070" i="3" s="1"/>
  <c r="G2071" i="3"/>
  <c r="J2071" i="3" s="1"/>
  <c r="G2072" i="3"/>
  <c r="J2072" i="3" s="1"/>
  <c r="G2073" i="3"/>
  <c r="J2073" i="3" s="1"/>
  <c r="G2074" i="3"/>
  <c r="J2074" i="3" s="1"/>
  <c r="G2075" i="3"/>
  <c r="J2075" i="3" s="1"/>
  <c r="G2076" i="3"/>
  <c r="J2076" i="3" s="1"/>
  <c r="G2077" i="3"/>
  <c r="J2077" i="3" s="1"/>
  <c r="G2078" i="3"/>
  <c r="J2078" i="3" s="1"/>
  <c r="G2079" i="3"/>
  <c r="J2079" i="3" s="1"/>
  <c r="G2080" i="3"/>
  <c r="J2080" i="3" s="1"/>
  <c r="G2081" i="3"/>
  <c r="J2081" i="3" s="1"/>
  <c r="G2082" i="3"/>
  <c r="J2082" i="3" s="1"/>
  <c r="G2083" i="3"/>
  <c r="J2083" i="3" s="1"/>
  <c r="G2084" i="3"/>
  <c r="J2084" i="3" s="1"/>
  <c r="G2085" i="3"/>
  <c r="J2085" i="3" s="1"/>
  <c r="G2086" i="3"/>
  <c r="J2086" i="3" s="1"/>
  <c r="G2087" i="3"/>
  <c r="J2087" i="3" s="1"/>
  <c r="G2088" i="3"/>
  <c r="J2088" i="3" s="1"/>
  <c r="G2089" i="3"/>
  <c r="J2089" i="3" s="1"/>
  <c r="G2090" i="3"/>
  <c r="J2090" i="3" s="1"/>
  <c r="G2091" i="3"/>
  <c r="J2091" i="3" s="1"/>
  <c r="G2092" i="3"/>
  <c r="J2092" i="3" s="1"/>
  <c r="G2093" i="3"/>
  <c r="J2093" i="3" s="1"/>
  <c r="G2094" i="3"/>
  <c r="J2094" i="3" s="1"/>
  <c r="G2095" i="3"/>
  <c r="J2095" i="3" s="1"/>
  <c r="G2096" i="3"/>
  <c r="J2096" i="3" s="1"/>
  <c r="G2097" i="3"/>
  <c r="J2097" i="3" s="1"/>
  <c r="G2098" i="3"/>
  <c r="J2098" i="3" s="1"/>
  <c r="G2099" i="3"/>
  <c r="J2099" i="3" s="1"/>
  <c r="G2100" i="3"/>
  <c r="J2100" i="3" s="1"/>
  <c r="G2101" i="3"/>
  <c r="J2101" i="3" s="1"/>
  <c r="G2102" i="3"/>
  <c r="J2102" i="3" s="1"/>
  <c r="G2103" i="3"/>
  <c r="J2103" i="3" s="1"/>
  <c r="G2104" i="3"/>
  <c r="J2104" i="3" s="1"/>
  <c r="G2105" i="3"/>
  <c r="J2105" i="3" s="1"/>
  <c r="G2106" i="3"/>
  <c r="J2106" i="3" s="1"/>
  <c r="G2107" i="3"/>
  <c r="J2107" i="3" s="1"/>
  <c r="G2108" i="3"/>
  <c r="J2108" i="3" s="1"/>
  <c r="G2109" i="3"/>
  <c r="J2109" i="3" s="1"/>
  <c r="G2110" i="3"/>
  <c r="J2110" i="3" s="1"/>
  <c r="G2111" i="3"/>
  <c r="J2111" i="3" s="1"/>
  <c r="G2112" i="3"/>
  <c r="J2112" i="3" s="1"/>
  <c r="G2113" i="3"/>
  <c r="J2113" i="3" s="1"/>
  <c r="G2114" i="3"/>
  <c r="J2114" i="3" s="1"/>
  <c r="G2115" i="3"/>
  <c r="J2115" i="3" s="1"/>
  <c r="G2116" i="3"/>
  <c r="J2116" i="3" s="1"/>
  <c r="G2117" i="3"/>
  <c r="J2117" i="3" s="1"/>
  <c r="G2118" i="3"/>
  <c r="J2118" i="3" s="1"/>
  <c r="G2119" i="3"/>
  <c r="J2119" i="3" s="1"/>
  <c r="G2120" i="3"/>
  <c r="J2120" i="3" s="1"/>
  <c r="G2121" i="3"/>
  <c r="J2121" i="3" s="1"/>
  <c r="G2122" i="3"/>
  <c r="J2122" i="3" s="1"/>
  <c r="G2123" i="3"/>
  <c r="J2123" i="3" s="1"/>
  <c r="G2124" i="3"/>
  <c r="J2124" i="3" s="1"/>
  <c r="G2125" i="3"/>
  <c r="J2125" i="3" s="1"/>
  <c r="G2126" i="3"/>
  <c r="J2126" i="3" s="1"/>
  <c r="G2127" i="3"/>
  <c r="J2127" i="3" s="1"/>
  <c r="G2128" i="3"/>
  <c r="J2128" i="3" s="1"/>
  <c r="G2129" i="3"/>
  <c r="J2129" i="3" s="1"/>
  <c r="G2130" i="3"/>
  <c r="J2130" i="3" s="1"/>
  <c r="G2131" i="3"/>
  <c r="J2131" i="3" s="1"/>
  <c r="G2132" i="3"/>
  <c r="J2132" i="3" s="1"/>
  <c r="G2133" i="3"/>
  <c r="J2133" i="3" s="1"/>
  <c r="G2134" i="3"/>
  <c r="J2134" i="3" s="1"/>
  <c r="G2135" i="3"/>
  <c r="J2135" i="3" s="1"/>
  <c r="G2136" i="3"/>
  <c r="J2136" i="3" s="1"/>
  <c r="G2137" i="3"/>
  <c r="J2137" i="3" s="1"/>
  <c r="G2138" i="3"/>
  <c r="J2138" i="3" s="1"/>
  <c r="G2139" i="3"/>
  <c r="J2139" i="3" s="1"/>
  <c r="G2140" i="3"/>
  <c r="J2140" i="3" s="1"/>
  <c r="G2141" i="3"/>
  <c r="J2141" i="3" s="1"/>
  <c r="G2142" i="3"/>
  <c r="J2142" i="3" s="1"/>
  <c r="G2143" i="3"/>
  <c r="J2143" i="3" s="1"/>
  <c r="G2144" i="3"/>
  <c r="J2144" i="3" s="1"/>
  <c r="G2145" i="3"/>
  <c r="J2145" i="3" s="1"/>
  <c r="G2146" i="3"/>
  <c r="J2146" i="3" s="1"/>
  <c r="G2147" i="3"/>
  <c r="J2147" i="3" s="1"/>
  <c r="G2148" i="3"/>
  <c r="J2148" i="3" s="1"/>
  <c r="G2149" i="3"/>
  <c r="J2149" i="3" s="1"/>
  <c r="G2150" i="3"/>
  <c r="J2150" i="3" s="1"/>
  <c r="G2151" i="3"/>
  <c r="J2151" i="3" s="1"/>
  <c r="G2152" i="3"/>
  <c r="J2152" i="3" s="1"/>
  <c r="G2153" i="3"/>
  <c r="J2153" i="3" s="1"/>
  <c r="G2154" i="3"/>
  <c r="J2154" i="3" s="1"/>
  <c r="G2155" i="3"/>
  <c r="J2155" i="3" s="1"/>
  <c r="G2156" i="3"/>
  <c r="J2156" i="3" s="1"/>
  <c r="I426" i="3" l="1"/>
  <c r="I627" i="3"/>
  <c r="I604" i="3"/>
  <c r="I149" i="3"/>
  <c r="I269" i="3"/>
  <c r="I581" i="3"/>
  <c r="I54" i="3"/>
  <c r="I70" i="3"/>
  <c r="I102" i="3"/>
  <c r="I534" i="3"/>
  <c r="I662" i="3"/>
  <c r="I623" i="3"/>
  <c r="I144" i="3"/>
  <c r="I488" i="3"/>
  <c r="I728" i="3"/>
  <c r="I952" i="3"/>
  <c r="I761" i="3"/>
  <c r="I1305" i="3"/>
  <c r="I738" i="3"/>
  <c r="I874" i="3"/>
  <c r="I1082" i="3"/>
  <c r="I1146" i="3"/>
  <c r="I764" i="3"/>
  <c r="I868" i="3"/>
  <c r="I1092" i="3"/>
  <c r="I1269" i="3"/>
  <c r="I1038" i="3"/>
  <c r="I1335" i="3"/>
  <c r="I1886" i="3"/>
  <c r="I1543" i="3"/>
  <c r="I1655" i="3"/>
  <c r="I1696" i="3"/>
  <c r="I1319" i="3"/>
  <c r="I1465" i="3"/>
  <c r="I1489" i="3"/>
  <c r="I1086" i="3"/>
  <c r="I1474" i="3"/>
  <c r="I1746" i="3"/>
  <c r="I2068" i="3"/>
  <c r="I1972" i="3"/>
  <c r="I330" i="3"/>
  <c r="I458" i="3"/>
  <c r="I635" i="3"/>
  <c r="I21" i="3"/>
  <c r="I509" i="3"/>
  <c r="I358" i="3"/>
  <c r="I48" i="3"/>
  <c r="I353" i="3"/>
  <c r="I1334" i="3"/>
  <c r="I1464" i="3"/>
  <c r="I1402" i="3"/>
  <c r="I1570" i="3"/>
  <c r="I339" i="3"/>
  <c r="I180" i="3"/>
  <c r="I214" i="3"/>
  <c r="I336" i="3"/>
  <c r="I1183" i="3"/>
  <c r="I920" i="3"/>
  <c r="I1090" i="3"/>
  <c r="I1234" i="3"/>
  <c r="I1027" i="3"/>
  <c r="I773" i="3"/>
  <c r="I1125" i="3"/>
  <c r="I1732" i="3"/>
  <c r="I1549" i="3"/>
  <c r="I1566" i="3"/>
  <c r="I1775" i="3"/>
  <c r="I1712" i="3"/>
  <c r="I226" i="3"/>
  <c r="I3" i="3"/>
  <c r="I419" i="3"/>
  <c r="I172" i="3"/>
  <c r="I574" i="3"/>
  <c r="I167" i="3"/>
  <c r="I264" i="3"/>
  <c r="I1000" i="3"/>
  <c r="I1120" i="3"/>
  <c r="I865" i="3"/>
  <c r="I1065" i="3"/>
  <c r="I663" i="3"/>
  <c r="I1138" i="3"/>
  <c r="I649" i="3"/>
  <c r="I907" i="3"/>
  <c r="I1093" i="3"/>
  <c r="I1311" i="3"/>
  <c r="I1370" i="3"/>
  <c r="I1565" i="3"/>
  <c r="I1662" i="3"/>
  <c r="I1391" i="3"/>
  <c r="I1599" i="3"/>
  <c r="I1752" i="3"/>
  <c r="I1394" i="3"/>
  <c r="I418" i="3"/>
  <c r="I466" i="3"/>
  <c r="I490" i="3"/>
  <c r="I292" i="3"/>
  <c r="I389" i="3"/>
  <c r="I469" i="3"/>
  <c r="I533" i="3"/>
  <c r="I222" i="3"/>
  <c r="I558" i="3"/>
  <c r="I239" i="3"/>
  <c r="I521" i="3"/>
  <c r="I637" i="3"/>
  <c r="I783" i="3"/>
  <c r="I903" i="3"/>
  <c r="I1017" i="3"/>
  <c r="I1129" i="3"/>
  <c r="I1153" i="3"/>
  <c r="I1257" i="3"/>
  <c r="I915" i="3"/>
  <c r="I1227" i="3"/>
  <c r="I1580" i="3"/>
  <c r="I1628" i="3"/>
  <c r="I1327" i="3"/>
  <c r="I1487" i="3"/>
  <c r="I1348" i="3"/>
  <c r="I1601" i="3"/>
  <c r="I1873" i="3"/>
  <c r="I1506" i="3"/>
  <c r="I83" i="3"/>
  <c r="I464" i="3"/>
  <c r="I640" i="3"/>
  <c r="I759" i="3"/>
  <c r="I775" i="3"/>
  <c r="I1112" i="3"/>
  <c r="I1202" i="3"/>
  <c r="I1172" i="3"/>
  <c r="I837" i="3"/>
  <c r="I1661" i="3"/>
  <c r="I934" i="3"/>
  <c r="I1006" i="3"/>
  <c r="I1330" i="3"/>
  <c r="I531" i="3"/>
  <c r="I12" i="3"/>
  <c r="I316" i="3"/>
  <c r="I348" i="3"/>
  <c r="I412" i="3"/>
  <c r="I150" i="3"/>
  <c r="I542" i="3"/>
  <c r="I279" i="3"/>
  <c r="I216" i="3"/>
  <c r="I320" i="3"/>
  <c r="I9" i="3"/>
  <c r="I1032" i="3"/>
  <c r="I929" i="3"/>
  <c r="I1097" i="3"/>
  <c r="I1289" i="3"/>
  <c r="I673" i="3"/>
  <c r="I650" i="3"/>
  <c r="I788" i="3"/>
  <c r="I1116" i="3"/>
  <c r="I1188" i="3"/>
  <c r="I701" i="3"/>
  <c r="I893" i="3"/>
  <c r="I1277" i="3"/>
  <c r="I1102" i="3"/>
  <c r="I1668" i="3"/>
  <c r="I1597" i="3"/>
  <c r="I1710" i="3"/>
  <c r="I1463" i="3"/>
  <c r="I1656" i="3"/>
  <c r="I1366" i="3"/>
  <c r="I450" i="3"/>
  <c r="I11" i="3"/>
  <c r="I92" i="3"/>
  <c r="I324" i="3"/>
  <c r="I37" i="3"/>
  <c r="I287" i="3"/>
  <c r="I209" i="3"/>
  <c r="I505" i="3"/>
  <c r="I895" i="3"/>
  <c r="I888" i="3"/>
  <c r="I928" i="3"/>
  <c r="I1212" i="3"/>
  <c r="I765" i="3"/>
  <c r="I1501" i="3"/>
  <c r="I1509" i="3"/>
  <c r="I1338" i="3"/>
  <c r="I1777" i="3"/>
  <c r="I1586" i="3"/>
  <c r="I18" i="3"/>
  <c r="I115" i="3"/>
  <c r="I420" i="3"/>
  <c r="I556" i="3"/>
  <c r="I303" i="3"/>
  <c r="I152" i="3"/>
  <c r="I409" i="3"/>
  <c r="I621" i="3"/>
  <c r="I665" i="3"/>
  <c r="I939" i="3"/>
  <c r="I964" i="3"/>
  <c r="I781" i="3"/>
  <c r="I1630" i="3"/>
  <c r="I1663" i="3"/>
  <c r="I1864" i="3"/>
  <c r="I1649" i="3"/>
  <c r="I50" i="3"/>
  <c r="I346" i="3"/>
  <c r="I187" i="3"/>
  <c r="I523" i="3"/>
  <c r="I36" i="3"/>
  <c r="I277" i="3"/>
  <c r="I437" i="3"/>
  <c r="I7" i="3"/>
  <c r="I655" i="3"/>
  <c r="I184" i="3"/>
  <c r="I249" i="3"/>
  <c r="I1071" i="3"/>
  <c r="I723" i="3"/>
  <c r="I803" i="3"/>
  <c r="I1315" i="3"/>
  <c r="I732" i="3"/>
  <c r="I892" i="3"/>
  <c r="I1076" i="3"/>
  <c r="I1260" i="3"/>
  <c r="I1292" i="3"/>
  <c r="I709" i="3"/>
  <c r="I1133" i="3"/>
  <c r="I1492" i="3"/>
  <c r="I1429" i="3"/>
  <c r="I1847" i="3"/>
  <c r="I1480" i="3"/>
  <c r="I1504" i="3"/>
  <c r="I1375" i="3"/>
  <c r="I1425" i="3"/>
  <c r="I1705" i="3"/>
  <c r="I1721" i="3"/>
  <c r="I1825" i="3"/>
  <c r="I1150" i="3"/>
  <c r="I1874" i="3"/>
  <c r="I59" i="3"/>
  <c r="I251" i="3"/>
  <c r="I435" i="3"/>
  <c r="I69" i="3"/>
  <c r="I357" i="3"/>
  <c r="I445" i="3"/>
  <c r="I549" i="3"/>
  <c r="I14" i="3"/>
  <c r="I63" i="3"/>
  <c r="I447" i="3"/>
  <c r="I600" i="3"/>
  <c r="I951" i="3"/>
  <c r="I745" i="3"/>
  <c r="I769" i="3"/>
  <c r="I873" i="3"/>
  <c r="I706" i="3"/>
  <c r="I1130" i="3"/>
  <c r="I780" i="3"/>
  <c r="I844" i="3"/>
  <c r="I1132" i="3"/>
  <c r="I1484" i="3"/>
  <c r="I1582" i="3"/>
  <c r="I1614" i="3"/>
  <c r="I1735" i="3"/>
  <c r="I1824" i="3"/>
  <c r="I1872" i="3"/>
  <c r="I1014" i="3"/>
  <c r="I1142" i="3"/>
  <c r="I267" i="3"/>
  <c r="I307" i="3"/>
  <c r="I587" i="3"/>
  <c r="I196" i="3"/>
  <c r="I388" i="3"/>
  <c r="I648" i="3"/>
  <c r="I679" i="3"/>
  <c r="I1355" i="3"/>
  <c r="I1676" i="3"/>
  <c r="I1352" i="3"/>
  <c r="I1581" i="3"/>
  <c r="I1470" i="3"/>
  <c r="I1455" i="3"/>
  <c r="I1527" i="3"/>
  <c r="I1551" i="3"/>
  <c r="I1585" i="3"/>
  <c r="I1745" i="3"/>
  <c r="I146" i="3"/>
  <c r="I51" i="3"/>
  <c r="I243" i="3"/>
  <c r="I483" i="3"/>
  <c r="I84" i="3"/>
  <c r="I189" i="3"/>
  <c r="I126" i="3"/>
  <c r="I246" i="3"/>
  <c r="I446" i="3"/>
  <c r="I487" i="3"/>
  <c r="I520" i="3"/>
  <c r="I265" i="3"/>
  <c r="I807" i="3"/>
  <c r="I1231" i="3"/>
  <c r="I848" i="3"/>
  <c r="I1152" i="3"/>
  <c r="I729" i="3"/>
  <c r="I1265" i="3"/>
  <c r="I1186" i="3"/>
  <c r="I1179" i="3"/>
  <c r="I1589" i="3"/>
  <c r="I1821" i="3"/>
  <c r="I1726" i="3"/>
  <c r="I1734" i="3"/>
  <c r="I1750" i="3"/>
  <c r="I870" i="3"/>
  <c r="I1639" i="3"/>
  <c r="I1871" i="3"/>
  <c r="I750" i="3"/>
  <c r="I1383" i="3"/>
  <c r="I1448" i="3"/>
  <c r="I950" i="3"/>
  <c r="I1681" i="3"/>
  <c r="I1434" i="3"/>
  <c r="I461" i="3"/>
  <c r="I703" i="3"/>
  <c r="I1169" i="3"/>
  <c r="I1154" i="3"/>
  <c r="I1578" i="3"/>
  <c r="I186" i="3"/>
  <c r="I611" i="3"/>
  <c r="I284" i="3"/>
  <c r="I101" i="3"/>
  <c r="I125" i="3"/>
  <c r="I422" i="3"/>
  <c r="I271" i="3"/>
  <c r="I328" i="3"/>
  <c r="I441" i="3"/>
  <c r="I959" i="3"/>
  <c r="I1007" i="3"/>
  <c r="I1191" i="3"/>
  <c r="I1160" i="3"/>
  <c r="I881" i="3"/>
  <c r="I1049" i="3"/>
  <c r="I739" i="3"/>
  <c r="I955" i="3"/>
  <c r="I1163" i="3"/>
  <c r="I1331" i="3"/>
  <c r="I725" i="3"/>
  <c r="I909" i="3"/>
  <c r="I1725" i="3"/>
  <c r="I1742" i="3"/>
  <c r="I1631" i="3"/>
  <c r="I1785" i="3"/>
  <c r="I1546" i="3"/>
  <c r="I1618" i="3"/>
  <c r="I1714" i="3"/>
  <c r="I2149" i="3"/>
  <c r="I2133" i="3"/>
  <c r="I2125" i="3"/>
  <c r="I2117" i="3"/>
  <c r="I2109" i="3"/>
  <c r="I2085" i="3"/>
  <c r="I2077" i="3"/>
  <c r="I2061" i="3"/>
  <c r="I2053" i="3"/>
  <c r="I2045" i="3"/>
  <c r="I2037" i="3"/>
  <c r="I2021" i="3"/>
  <c r="I2005" i="3"/>
  <c r="I1997" i="3"/>
  <c r="I1989" i="3"/>
  <c r="I1973" i="3"/>
  <c r="I1965" i="3"/>
  <c r="I1957" i="3"/>
  <c r="I1949" i="3"/>
  <c r="I1941" i="3"/>
  <c r="I1933" i="3"/>
  <c r="I1924" i="3"/>
  <c r="I1869" i="3"/>
  <c r="I1747" i="3"/>
  <c r="I1683" i="3"/>
  <c r="I1619" i="3"/>
  <c r="I1555" i="3"/>
  <c r="I1491" i="3"/>
  <c r="I1359" i="3"/>
  <c r="I1094" i="3"/>
  <c r="I546" i="3"/>
  <c r="I417" i="3"/>
  <c r="I682" i="3"/>
  <c r="I940" i="3"/>
  <c r="I1205" i="3"/>
  <c r="I1482" i="3"/>
  <c r="I74" i="3"/>
  <c r="I122" i="3"/>
  <c r="I586" i="3"/>
  <c r="I19" i="3"/>
  <c r="I579" i="3"/>
  <c r="I85" i="3"/>
  <c r="I46" i="3"/>
  <c r="I286" i="3"/>
  <c r="I294" i="3"/>
  <c r="I598" i="3"/>
  <c r="I367" i="3"/>
  <c r="I527" i="3"/>
  <c r="I280" i="3"/>
  <c r="I89" i="3"/>
  <c r="I369" i="3"/>
  <c r="I927" i="3"/>
  <c r="I983" i="3"/>
  <c r="I720" i="3"/>
  <c r="I1056" i="3"/>
  <c r="I661" i="3"/>
  <c r="I714" i="3"/>
  <c r="I786" i="3"/>
  <c r="I994" i="3"/>
  <c r="I1178" i="3"/>
  <c r="I691" i="3"/>
  <c r="I827" i="3"/>
  <c r="I851" i="3"/>
  <c r="I1363" i="3"/>
  <c r="I1204" i="3"/>
  <c r="I1813" i="3"/>
  <c r="I1606" i="3"/>
  <c r="I1670" i="3"/>
  <c r="I1694" i="3"/>
  <c r="I1846" i="3"/>
  <c r="I1687" i="3"/>
  <c r="I1751" i="3"/>
  <c r="I1625" i="3"/>
  <c r="I1665" i="3"/>
  <c r="I1866" i="3"/>
  <c r="I1890" i="3"/>
  <c r="I82" i="3"/>
  <c r="I202" i="3"/>
  <c r="I482" i="3"/>
  <c r="I123" i="3"/>
  <c r="I347" i="3"/>
  <c r="I415" i="3"/>
  <c r="I1168" i="3"/>
  <c r="I925" i="3"/>
  <c r="I1420" i="3"/>
  <c r="I1876" i="3"/>
  <c r="I1749" i="3"/>
  <c r="I1316" i="3"/>
  <c r="I878" i="3"/>
  <c r="I234" i="3"/>
  <c r="I298" i="3"/>
  <c r="I338" i="3"/>
  <c r="I68" i="3"/>
  <c r="I380" i="3"/>
  <c r="I206" i="3"/>
  <c r="I254" i="3"/>
  <c r="I310" i="3"/>
  <c r="I342" i="3"/>
  <c r="I390" i="3"/>
  <c r="I470" i="3"/>
  <c r="I606" i="3"/>
  <c r="I16" i="3"/>
  <c r="I288" i="3"/>
  <c r="I528" i="3"/>
  <c r="I65" i="3"/>
  <c r="I768" i="3"/>
  <c r="I856" i="3"/>
  <c r="I849" i="3"/>
  <c r="I1105" i="3"/>
  <c r="I1137" i="3"/>
  <c r="I882" i="3"/>
  <c r="I1314" i="3"/>
  <c r="I771" i="3"/>
  <c r="I819" i="3"/>
  <c r="I804" i="3"/>
  <c r="I860" i="3"/>
  <c r="I900" i="3"/>
  <c r="I1276" i="3"/>
  <c r="I1085" i="3"/>
  <c r="I1404" i="3"/>
  <c r="I1508" i="3"/>
  <c r="I1892" i="3"/>
  <c r="I657" i="3"/>
  <c r="I1372" i="3"/>
  <c r="I1390" i="3"/>
  <c r="I1830" i="3"/>
  <c r="I1254" i="3"/>
  <c r="I1799" i="3"/>
  <c r="I1832" i="3"/>
  <c r="I1206" i="3"/>
  <c r="I1384" i="3"/>
  <c r="I1674" i="3"/>
  <c r="I2107" i="3"/>
  <c r="I2099" i="3"/>
  <c r="I2091" i="3"/>
  <c r="I2067" i="3"/>
  <c r="I2059" i="3"/>
  <c r="I2051" i="3"/>
  <c r="I2043" i="3"/>
  <c r="I2035" i="3"/>
  <c r="I2019" i="3"/>
  <c r="I2011" i="3"/>
  <c r="I2003" i="3"/>
  <c r="I1995" i="3"/>
  <c r="I1987" i="3"/>
  <c r="I1979" i="3"/>
  <c r="I1971" i="3"/>
  <c r="I1955" i="3"/>
  <c r="I1939" i="3"/>
  <c r="I1931" i="3"/>
  <c r="I1922" i="3"/>
  <c r="I1887" i="3"/>
  <c r="I1859" i="3"/>
  <c r="I1795" i="3"/>
  <c r="I1731" i="3"/>
  <c r="I1667" i="3"/>
  <c r="I1539" i="3"/>
  <c r="I1475" i="3"/>
  <c r="I1411" i="3"/>
  <c r="I1341" i="3"/>
  <c r="I2124" i="3"/>
  <c r="I1932" i="3"/>
  <c r="I1867" i="3"/>
  <c r="I154" i="3"/>
  <c r="I314" i="3"/>
  <c r="I554" i="3"/>
  <c r="I562" i="3"/>
  <c r="I372" i="3"/>
  <c r="I404" i="3"/>
  <c r="I532" i="3"/>
  <c r="I397" i="3"/>
  <c r="I413" i="3"/>
  <c r="I429" i="3"/>
  <c r="I230" i="3"/>
  <c r="I72" i="3"/>
  <c r="I192" i="3"/>
  <c r="I169" i="3"/>
  <c r="I337" i="3"/>
  <c r="I345" i="3"/>
  <c r="I601" i="3"/>
  <c r="I976" i="3"/>
  <c r="I1104" i="3"/>
  <c r="I945" i="3"/>
  <c r="I1194" i="3"/>
  <c r="I931" i="3"/>
  <c r="I1051" i="3"/>
  <c r="I1251" i="3"/>
  <c r="I988" i="3"/>
  <c r="I1004" i="3"/>
  <c r="I1196" i="3"/>
  <c r="I1236" i="3"/>
  <c r="I789" i="3"/>
  <c r="I1380" i="3"/>
  <c r="I1733" i="3"/>
  <c r="I1118" i="3"/>
  <c r="I1374" i="3"/>
  <c r="I1576" i="3"/>
  <c r="I1706" i="3"/>
  <c r="I1794" i="3"/>
  <c r="I402" i="3"/>
  <c r="I570" i="3"/>
  <c r="I475" i="3"/>
  <c r="I20" i="3"/>
  <c r="I540" i="3"/>
  <c r="I86" i="3"/>
  <c r="I631" i="3"/>
  <c r="I256" i="3"/>
  <c r="I289" i="3"/>
  <c r="I377" i="3"/>
  <c r="I609" i="3"/>
  <c r="I839" i="3"/>
  <c r="I850" i="3"/>
  <c r="I1010" i="3"/>
  <c r="I1106" i="3"/>
  <c r="I747" i="3"/>
  <c r="I947" i="3"/>
  <c r="I1211" i="3"/>
  <c r="I972" i="3"/>
  <c r="I1452" i="3"/>
  <c r="I1774" i="3"/>
  <c r="I1262" i="3"/>
  <c r="I1640" i="3"/>
  <c r="I1270" i="3"/>
  <c r="I1818" i="3"/>
  <c r="I227" i="3"/>
  <c r="I619" i="3"/>
  <c r="I456" i="3"/>
  <c r="I489" i="3"/>
  <c r="I1151" i="3"/>
  <c r="I1232" i="3"/>
  <c r="I833" i="3"/>
  <c r="I1074" i="3"/>
  <c r="I1147" i="3"/>
  <c r="I1220" i="3"/>
  <c r="I693" i="3"/>
  <c r="I901" i="3"/>
  <c r="I1837" i="3"/>
  <c r="I1190" i="3"/>
  <c r="I1336" i="3"/>
  <c r="I1767" i="3"/>
  <c r="I1544" i="3"/>
  <c r="I1648" i="3"/>
  <c r="I1078" i="3"/>
  <c r="I1881" i="3"/>
  <c r="I1358" i="3"/>
  <c r="I268" i="3"/>
  <c r="I524" i="3"/>
  <c r="I29" i="3"/>
  <c r="I157" i="3"/>
  <c r="I197" i="3"/>
  <c r="I134" i="3"/>
  <c r="I551" i="3"/>
  <c r="I344" i="3"/>
  <c r="I17" i="3"/>
  <c r="I305" i="3"/>
  <c r="I613" i="3"/>
  <c r="I1089" i="3"/>
  <c r="I1042" i="3"/>
  <c r="I971" i="3"/>
  <c r="I684" i="3"/>
  <c r="I884" i="3"/>
  <c r="I1069" i="3"/>
  <c r="I1054" i="3"/>
  <c r="I1407" i="3"/>
  <c r="I1511" i="3"/>
  <c r="I1519" i="3"/>
  <c r="I1623" i="3"/>
  <c r="I1695" i="3"/>
  <c r="I1703" i="3"/>
  <c r="I1365" i="3"/>
  <c r="I1552" i="3"/>
  <c r="I1880" i="3"/>
  <c r="I1357" i="3"/>
  <c r="I594" i="3"/>
  <c r="I396" i="3"/>
  <c r="I572" i="3"/>
  <c r="I238" i="3"/>
  <c r="I414" i="3"/>
  <c r="I654" i="3"/>
  <c r="I272" i="3"/>
  <c r="I793" i="3"/>
  <c r="I986" i="3"/>
  <c r="I1122" i="3"/>
  <c r="I1109" i="3"/>
  <c r="I1318" i="3"/>
  <c r="I822" i="3"/>
  <c r="I1473" i="3"/>
  <c r="I1633" i="3"/>
  <c r="I1658" i="3"/>
  <c r="I43" i="3"/>
  <c r="I563" i="3"/>
  <c r="I364" i="3"/>
  <c r="I596" i="3"/>
  <c r="I912" i="3"/>
  <c r="I689" i="3"/>
  <c r="I1019" i="3"/>
  <c r="I797" i="3"/>
  <c r="I949" i="3"/>
  <c r="I1173" i="3"/>
  <c r="I1717" i="3"/>
  <c r="I1797" i="3"/>
  <c r="I1422" i="3"/>
  <c r="I1910" i="3"/>
  <c r="I1719" i="3"/>
  <c r="I1888" i="3"/>
  <c r="I1896" i="3"/>
  <c r="I1913" i="3"/>
  <c r="I1530" i="3"/>
  <c r="I1850" i="3"/>
  <c r="I2115" i="3"/>
  <c r="I379" i="3"/>
  <c r="I547" i="3"/>
  <c r="I52" i="3"/>
  <c r="I164" i="3"/>
  <c r="I141" i="3"/>
  <c r="I39" i="3"/>
  <c r="I183" i="3"/>
  <c r="I463" i="3"/>
  <c r="I352" i="3"/>
  <c r="I632" i="3"/>
  <c r="I610" i="3"/>
  <c r="I975" i="3"/>
  <c r="I1087" i="3"/>
  <c r="I1175" i="3"/>
  <c r="I680" i="3"/>
  <c r="I776" i="3"/>
  <c r="I1184" i="3"/>
  <c r="I713" i="3"/>
  <c r="I987" i="3"/>
  <c r="I1036" i="3"/>
  <c r="I1189" i="3"/>
  <c r="I1213" i="3"/>
  <c r="I1660" i="3"/>
  <c r="I1605" i="3"/>
  <c r="I1398" i="3"/>
  <c r="I1471" i="3"/>
  <c r="I1583" i="3"/>
  <c r="I1671" i="3"/>
  <c r="I1560" i="3"/>
  <c r="I1704" i="3"/>
  <c r="I1505" i="3"/>
  <c r="I1569" i="3"/>
  <c r="I378" i="3"/>
  <c r="I442" i="3"/>
  <c r="I139" i="3"/>
  <c r="I171" i="3"/>
  <c r="I181" i="3"/>
  <c r="I38" i="3"/>
  <c r="I678" i="3"/>
  <c r="I79" i="3"/>
  <c r="I247" i="3"/>
  <c r="I392" i="3"/>
  <c r="I432" i="3"/>
  <c r="I105" i="3"/>
  <c r="I161" i="3"/>
  <c r="I185" i="3"/>
  <c r="I537" i="3"/>
  <c r="I799" i="3"/>
  <c r="I823" i="3"/>
  <c r="I1167" i="3"/>
  <c r="I841" i="3"/>
  <c r="I1018" i="3"/>
  <c r="I875" i="3"/>
  <c r="I1115" i="3"/>
  <c r="I932" i="3"/>
  <c r="I948" i="3"/>
  <c r="I845" i="3"/>
  <c r="I1005" i="3"/>
  <c r="I1378" i="3"/>
  <c r="I1708" i="3"/>
  <c r="I1397" i="3"/>
  <c r="I1453" i="3"/>
  <c r="I1246" i="3"/>
  <c r="I1312" i="3"/>
  <c r="I1486" i="3"/>
  <c r="I1590" i="3"/>
  <c r="I1822" i="3"/>
  <c r="I1862" i="3"/>
  <c r="I1615" i="3"/>
  <c r="I1346" i="3"/>
  <c r="I1440" i="3"/>
  <c r="I1800" i="3"/>
  <c r="I1641" i="3"/>
  <c r="I1713" i="3"/>
  <c r="I1490" i="3"/>
  <c r="I1498" i="3"/>
  <c r="I1914" i="3"/>
  <c r="I491" i="3"/>
  <c r="I539" i="3"/>
  <c r="I516" i="3"/>
  <c r="I109" i="3"/>
  <c r="I309" i="3"/>
  <c r="I341" i="3"/>
  <c r="I525" i="3"/>
  <c r="I638" i="3"/>
  <c r="I319" i="3"/>
  <c r="I431" i="3"/>
  <c r="I160" i="3"/>
  <c r="I224" i="3"/>
  <c r="I304" i="3"/>
  <c r="I273" i="3"/>
  <c r="I281" i="3"/>
  <c r="I791" i="3"/>
  <c r="I736" i="3"/>
  <c r="I913" i="3"/>
  <c r="I1241" i="3"/>
  <c r="I1249" i="3"/>
  <c r="I762" i="3"/>
  <c r="I1170" i="3"/>
  <c r="I933" i="3"/>
  <c r="I1061" i="3"/>
  <c r="I668" i="3"/>
  <c r="I1447" i="3"/>
  <c r="I1607" i="3"/>
  <c r="I1070" i="3"/>
  <c r="I1134" i="3"/>
  <c r="I1400" i="3"/>
  <c r="I1432" i="3"/>
  <c r="I1664" i="3"/>
  <c r="I1736" i="3"/>
  <c r="I498" i="3"/>
  <c r="I108" i="3"/>
  <c r="I452" i="3"/>
  <c r="I564" i="3"/>
  <c r="I382" i="3"/>
  <c r="I550" i="3"/>
  <c r="I200" i="3"/>
  <c r="I480" i="3"/>
  <c r="I393" i="3"/>
  <c r="I585" i="3"/>
  <c r="I1043" i="3"/>
  <c r="I692" i="3"/>
  <c r="I1180" i="3"/>
  <c r="I1077" i="3"/>
  <c r="I1229" i="3"/>
  <c r="I1868" i="3"/>
  <c r="I1046" i="3"/>
  <c r="I1110" i="3"/>
  <c r="I1806" i="3"/>
  <c r="I1479" i="3"/>
  <c r="I1650" i="3"/>
  <c r="I283" i="3"/>
  <c r="I451" i="3"/>
  <c r="I220" i="3"/>
  <c r="I276" i="3"/>
  <c r="I333" i="3"/>
  <c r="I302" i="3"/>
  <c r="I615" i="3"/>
  <c r="I473" i="3"/>
  <c r="I784" i="3"/>
  <c r="I715" i="3"/>
  <c r="I787" i="3"/>
  <c r="I973" i="3"/>
  <c r="I1117" i="3"/>
  <c r="I1524" i="3"/>
  <c r="I1405" i="3"/>
  <c r="I1461" i="3"/>
  <c r="I1485" i="3"/>
  <c r="I1622" i="3"/>
  <c r="I1488" i="3"/>
  <c r="I1680" i="3"/>
  <c r="I1513" i="3"/>
  <c r="I1857" i="3"/>
  <c r="I410" i="3"/>
  <c r="I91" i="3"/>
  <c r="I219" i="3"/>
  <c r="I244" i="3"/>
  <c r="I588" i="3"/>
  <c r="I213" i="3"/>
  <c r="I349" i="3"/>
  <c r="I158" i="3"/>
  <c r="I47" i="3"/>
  <c r="I569" i="3"/>
  <c r="I727" i="3"/>
  <c r="I760" i="3"/>
  <c r="I840" i="3"/>
  <c r="I1064" i="3"/>
  <c r="I1248" i="3"/>
  <c r="I755" i="3"/>
  <c r="I1059" i="3"/>
  <c r="I1268" i="3"/>
  <c r="I1285" i="3"/>
  <c r="I1412" i="3"/>
  <c r="I1684" i="3"/>
  <c r="I1740" i="3"/>
  <c r="I1701" i="3"/>
  <c r="I734" i="3"/>
  <c r="I1534" i="3"/>
  <c r="I1839" i="3"/>
  <c r="I1328" i="3"/>
  <c r="I1689" i="3"/>
  <c r="I1450" i="3"/>
  <c r="I1626" i="3"/>
  <c r="I10" i="3"/>
  <c r="I496" i="3"/>
  <c r="I1055" i="3"/>
  <c r="I1063" i="3"/>
  <c r="I1025" i="3"/>
  <c r="I818" i="3"/>
  <c r="I938" i="3"/>
  <c r="I1371" i="3"/>
  <c r="I982" i="3"/>
  <c r="I1805" i="3"/>
  <c r="I1362" i="3"/>
  <c r="I1537" i="3"/>
  <c r="I1562" i="3"/>
  <c r="I602" i="3"/>
  <c r="I387" i="3"/>
  <c r="I228" i="3"/>
  <c r="I340" i="3"/>
  <c r="I5" i="3"/>
  <c r="I205" i="3"/>
  <c r="I479" i="3"/>
  <c r="I440" i="3"/>
  <c r="I433" i="3"/>
  <c r="I991" i="3"/>
  <c r="I999" i="3"/>
  <c r="I864" i="3"/>
  <c r="I1072" i="3"/>
  <c r="I672" i="3"/>
  <c r="I825" i="3"/>
  <c r="I1281" i="3"/>
  <c r="I891" i="3"/>
  <c r="I1123" i="3"/>
  <c r="I1324" i="3"/>
  <c r="I1431" i="3"/>
  <c r="I203" i="3"/>
  <c r="I166" i="3"/>
  <c r="I978" i="3"/>
  <c r="I1284" i="3"/>
  <c r="I1637" i="3"/>
  <c r="I1518" i="3"/>
  <c r="I1784" i="3"/>
  <c r="I2154" i="3"/>
  <c r="I2146" i="3"/>
  <c r="I2130" i="3"/>
  <c r="I2122" i="3"/>
  <c r="I2114" i="3"/>
  <c r="I2106" i="3"/>
  <c r="I2098" i="3"/>
  <c r="I2090" i="3"/>
  <c r="I2082" i="3"/>
  <c r="I2074" i="3"/>
  <c r="I2058" i="3"/>
  <c r="I2050" i="3"/>
  <c r="I2042" i="3"/>
  <c r="I2026" i="3"/>
  <c r="I2018" i="3"/>
  <c r="I2010" i="3"/>
  <c r="I2002" i="3"/>
  <c r="I1994" i="3"/>
  <c r="I1986" i="3"/>
  <c r="I1978" i="3"/>
  <c r="I1970" i="3"/>
  <c r="I1954" i="3"/>
  <c r="I1946" i="3"/>
  <c r="I1938" i="3"/>
  <c r="I1930" i="3"/>
  <c r="I1921" i="3"/>
  <c r="I1787" i="3"/>
  <c r="I1723" i="3"/>
  <c r="I1595" i="3"/>
  <c r="I1531" i="3"/>
  <c r="I1467" i="3"/>
  <c r="I1403" i="3"/>
  <c r="I130" i="3"/>
  <c r="I266" i="3"/>
  <c r="I411" i="3"/>
  <c r="I499" i="3"/>
  <c r="I44" i="3"/>
  <c r="I492" i="3"/>
  <c r="I221" i="3"/>
  <c r="I477" i="3"/>
  <c r="I485" i="3"/>
  <c r="I597" i="3"/>
  <c r="I327" i="3"/>
  <c r="I145" i="3"/>
  <c r="I361" i="3"/>
  <c r="I561" i="3"/>
  <c r="I577" i="3"/>
  <c r="I658" i="3"/>
  <c r="I863" i="3"/>
  <c r="I1079" i="3"/>
  <c r="I1096" i="3"/>
  <c r="I1161" i="3"/>
  <c r="I1225" i="3"/>
  <c r="I1233" i="3"/>
  <c r="I1321" i="3"/>
  <c r="I954" i="3"/>
  <c r="I1266" i="3"/>
  <c r="I979" i="3"/>
  <c r="I1299" i="3"/>
  <c r="I700" i="3"/>
  <c r="I924" i="3"/>
  <c r="I653" i="3"/>
  <c r="I741" i="3"/>
  <c r="I829" i="3"/>
  <c r="I718" i="3"/>
  <c r="I974" i="3"/>
  <c r="I1360" i="3"/>
  <c r="I1596" i="3"/>
  <c r="I1861" i="3"/>
  <c r="I1423" i="3"/>
  <c r="I1495" i="3"/>
  <c r="I1337" i="3"/>
  <c r="I1401" i="3"/>
  <c r="I1809" i="3"/>
  <c r="I1320" i="3"/>
  <c r="I1466" i="3"/>
  <c r="I1554" i="3"/>
  <c r="I261" i="3"/>
  <c r="I262" i="3"/>
  <c r="I1176" i="3"/>
  <c r="I1216" i="3"/>
  <c r="I690" i="3"/>
  <c r="I1884" i="3"/>
  <c r="I726" i="3"/>
  <c r="I1686" i="3"/>
  <c r="I195" i="3"/>
  <c r="I93" i="3"/>
  <c r="I889" i="3"/>
  <c r="I914" i="3"/>
  <c r="I1075" i="3"/>
  <c r="I666" i="3"/>
  <c r="I27" i="3"/>
  <c r="I116" i="3"/>
  <c r="I468" i="3"/>
  <c r="I317" i="3"/>
  <c r="I30" i="3"/>
  <c r="I406" i="3"/>
  <c r="I454" i="3"/>
  <c r="I543" i="3"/>
  <c r="I647" i="3"/>
  <c r="I656" i="3"/>
  <c r="I321" i="3"/>
  <c r="I625" i="3"/>
  <c r="I660" i="3"/>
  <c r="I824" i="3"/>
  <c r="I905" i="3"/>
  <c r="I937" i="3"/>
  <c r="I1162" i="3"/>
  <c r="I1052" i="3"/>
  <c r="I1084" i="3"/>
  <c r="I910" i="3"/>
  <c r="I1556" i="3"/>
  <c r="I1477" i="3"/>
  <c r="I1814" i="3"/>
  <c r="I1288" i="3"/>
  <c r="I1399" i="3"/>
  <c r="I1503" i="3"/>
  <c r="I1536" i="3"/>
  <c r="I1672" i="3"/>
  <c r="I886" i="3"/>
  <c r="I290" i="3"/>
  <c r="I163" i="3"/>
  <c r="I275" i="3"/>
  <c r="I395" i="3"/>
  <c r="I428" i="3"/>
  <c r="I460" i="3"/>
  <c r="I652" i="3"/>
  <c r="I133" i="3"/>
  <c r="I173" i="3"/>
  <c r="I313" i="3"/>
  <c r="I385" i="3"/>
  <c r="I1103" i="3"/>
  <c r="I1313" i="3"/>
  <c r="I1242" i="3"/>
  <c r="I899" i="3"/>
  <c r="I923" i="3"/>
  <c r="I1035" i="3"/>
  <c r="I1171" i="3"/>
  <c r="I1339" i="3"/>
  <c r="I749" i="3"/>
  <c r="I917" i="3"/>
  <c r="I1317" i="3"/>
  <c r="I1692" i="3"/>
  <c r="I1343" i="3"/>
  <c r="I1853" i="3"/>
  <c r="I1438" i="3"/>
  <c r="I814" i="3"/>
  <c r="I1858" i="3"/>
  <c r="I457" i="3"/>
  <c r="I513" i="3"/>
  <c r="I553" i="3"/>
  <c r="I1239" i="3"/>
  <c r="I1287" i="3"/>
  <c r="I752" i="3"/>
  <c r="I1040" i="3"/>
  <c r="I697" i="3"/>
  <c r="I810" i="3"/>
  <c r="I922" i="3"/>
  <c r="I1259" i="3"/>
  <c r="I1724" i="3"/>
  <c r="I677" i="3"/>
  <c r="I1783" i="3"/>
  <c r="I26" i="3"/>
  <c r="I394" i="3"/>
  <c r="I467" i="3"/>
  <c r="I350" i="3"/>
  <c r="I502" i="3"/>
  <c r="I670" i="3"/>
  <c r="I103" i="3"/>
  <c r="I159" i="3"/>
  <c r="I375" i="3"/>
  <c r="I176" i="3"/>
  <c r="I552" i="3"/>
  <c r="I616" i="3"/>
  <c r="I449" i="3"/>
  <c r="I1223" i="3"/>
  <c r="I872" i="3"/>
  <c r="I1224" i="3"/>
  <c r="I721" i="3"/>
  <c r="I1002" i="3"/>
  <c r="I836" i="3"/>
  <c r="I1060" i="3"/>
  <c r="I1124" i="3"/>
  <c r="I676" i="3"/>
  <c r="I1532" i="3"/>
  <c r="I1852" i="3"/>
  <c r="I1782" i="3"/>
  <c r="I373" i="3"/>
  <c r="I582" i="3"/>
  <c r="I669" i="3"/>
  <c r="I1031" i="3"/>
  <c r="I1298" i="3"/>
  <c r="I1228" i="3"/>
  <c r="I805" i="3"/>
  <c r="I1333" i="3"/>
  <c r="I1325" i="3"/>
  <c r="I1574" i="3"/>
  <c r="I1392" i="3"/>
  <c r="I1833" i="3"/>
  <c r="I1698" i="3"/>
  <c r="I35" i="3"/>
  <c r="I430" i="3"/>
  <c r="I241" i="3"/>
  <c r="I731" i="3"/>
  <c r="I1860" i="3"/>
  <c r="I1573" i="3"/>
  <c r="I114" i="3"/>
  <c r="I156" i="3"/>
  <c r="I356" i="3"/>
  <c r="I580" i="3"/>
  <c r="I285" i="3"/>
  <c r="I301" i="3"/>
  <c r="I326" i="3"/>
  <c r="I407" i="3"/>
  <c r="I512" i="3"/>
  <c r="I57" i="3"/>
  <c r="I1008" i="3"/>
  <c r="I897" i="3"/>
  <c r="I1155" i="3"/>
  <c r="I1187" i="3"/>
  <c r="I1164" i="3"/>
  <c r="I997" i="3"/>
  <c r="I1101" i="3"/>
  <c r="I1700" i="3"/>
  <c r="I1533" i="3"/>
  <c r="I1381" i="3"/>
  <c r="I1870" i="3"/>
  <c r="I1926" i="3"/>
  <c r="I1415" i="3"/>
  <c r="I686" i="3"/>
  <c r="I1424" i="3"/>
  <c r="I1688" i="3"/>
  <c r="I1449" i="3"/>
  <c r="I1729" i="3"/>
  <c r="I1602" i="3"/>
  <c r="I34" i="3"/>
  <c r="I322" i="3"/>
  <c r="I434" i="3"/>
  <c r="I555" i="3"/>
  <c r="I484" i="3"/>
  <c r="I612" i="3"/>
  <c r="I229" i="3"/>
  <c r="I399" i="3"/>
  <c r="I423" i="3"/>
  <c r="I40" i="3"/>
  <c r="I568" i="3"/>
  <c r="I695" i="3"/>
  <c r="I1039" i="3"/>
  <c r="I1240" i="3"/>
  <c r="I809" i="3"/>
  <c r="I993" i="3"/>
  <c r="I1081" i="3"/>
  <c r="I1273" i="3"/>
  <c r="I970" i="3"/>
  <c r="I626" i="3"/>
  <c r="I779" i="3"/>
  <c r="I675" i="3"/>
  <c r="I1140" i="3"/>
  <c r="I957" i="3"/>
  <c r="I981" i="3"/>
  <c r="I1237" i="3"/>
  <c r="I1278" i="3"/>
  <c r="I1644" i="3"/>
  <c r="I1772" i="3"/>
  <c r="I1836" i="3"/>
  <c r="I1361" i="3"/>
  <c r="I1613" i="3"/>
  <c r="I1918" i="3"/>
  <c r="I1769" i="3"/>
  <c r="I1666" i="3"/>
  <c r="I571" i="3"/>
  <c r="I204" i="3"/>
  <c r="I77" i="3"/>
  <c r="I117" i="3"/>
  <c r="I462" i="3"/>
  <c r="I359" i="3"/>
  <c r="I391" i="3"/>
  <c r="I384" i="3"/>
  <c r="I935" i="3"/>
  <c r="I967" i="3"/>
  <c r="I1016" i="3"/>
  <c r="I778" i="3"/>
  <c r="I683" i="3"/>
  <c r="I1291" i="3"/>
  <c r="I740" i="3"/>
  <c r="I1310" i="3"/>
  <c r="I1516" i="3"/>
  <c r="I1804" i="3"/>
  <c r="I1469" i="3"/>
  <c r="I1709" i="3"/>
  <c r="I1526" i="3"/>
  <c r="I1542" i="3"/>
  <c r="I1702" i="3"/>
  <c r="I1798" i="3"/>
  <c r="I1791" i="3"/>
  <c r="I1776" i="3"/>
  <c r="I1593" i="3"/>
  <c r="I1761" i="3"/>
  <c r="I1442" i="3"/>
  <c r="I1810" i="3"/>
  <c r="I1898" i="3"/>
  <c r="I42" i="3"/>
  <c r="I354" i="3"/>
  <c r="I32" i="3"/>
  <c r="I113" i="3"/>
  <c r="I1024" i="3"/>
  <c r="I1577" i="3"/>
  <c r="I1214" i="3"/>
  <c r="I1842" i="3"/>
  <c r="I2145" i="3"/>
  <c r="I2137" i="3"/>
  <c r="I2105" i="3"/>
  <c r="I2097" i="3"/>
  <c r="I2081" i="3"/>
  <c r="I2073" i="3"/>
  <c r="I2065" i="3"/>
  <c r="I2057" i="3"/>
  <c r="I2049" i="3"/>
  <c r="I2041" i="3"/>
  <c r="I2033" i="3"/>
  <c r="I2025" i="3"/>
  <c r="I2017" i="3"/>
  <c r="I2009" i="3"/>
  <c r="I1993" i="3"/>
  <c r="I1985" i="3"/>
  <c r="I1977" i="3"/>
  <c r="I1961" i="3"/>
  <c r="I1953" i="3"/>
  <c r="I1945" i="3"/>
  <c r="I1937" i="3"/>
  <c r="I1929" i="3"/>
  <c r="I1920" i="3"/>
  <c r="I1883" i="3"/>
  <c r="I1843" i="3"/>
  <c r="I1779" i="3"/>
  <c r="I1715" i="3"/>
  <c r="I1587" i="3"/>
  <c r="I1459" i="3"/>
  <c r="I1395" i="3"/>
  <c r="I1322" i="3"/>
  <c r="I595" i="3"/>
  <c r="I500" i="3"/>
  <c r="I508" i="3"/>
  <c r="I325" i="3"/>
  <c r="I541" i="3"/>
  <c r="I478" i="3"/>
  <c r="I112" i="3"/>
  <c r="I257" i="3"/>
  <c r="I329" i="3"/>
  <c r="I831" i="3"/>
  <c r="I618" i="3"/>
  <c r="I1009" i="3"/>
  <c r="I1107" i="3"/>
  <c r="I1347" i="3"/>
  <c r="I852" i="3"/>
  <c r="I876" i="3"/>
  <c r="I1141" i="3"/>
  <c r="I1437" i="3"/>
  <c r="I1541" i="3"/>
  <c r="I1567" i="3"/>
  <c r="I1608" i="3"/>
  <c r="I1529" i="3"/>
  <c r="I1841" i="3"/>
  <c r="I1642" i="3"/>
  <c r="I106" i="3"/>
  <c r="I170" i="3"/>
  <c r="I507" i="3"/>
  <c r="I132" i="3"/>
  <c r="I548" i="3"/>
  <c r="I45" i="3"/>
  <c r="I198" i="3"/>
  <c r="I23" i="3"/>
  <c r="I511" i="3"/>
  <c r="I591" i="3"/>
  <c r="I416" i="3"/>
  <c r="I297" i="3"/>
  <c r="I1119" i="3"/>
  <c r="I704" i="3"/>
  <c r="I1136" i="3"/>
  <c r="I1208" i="3"/>
  <c r="I642" i="3"/>
  <c r="I817" i="3"/>
  <c r="I866" i="3"/>
  <c r="I1066" i="3"/>
  <c r="I1114" i="3"/>
  <c r="I811" i="3"/>
  <c r="I1275" i="3"/>
  <c r="I1244" i="3"/>
  <c r="I821" i="3"/>
  <c r="I1293" i="3"/>
  <c r="I1396" i="3"/>
  <c r="I1652" i="3"/>
  <c r="I1900" i="3"/>
  <c r="I1638" i="3"/>
  <c r="I1831" i="3"/>
  <c r="I942" i="3"/>
  <c r="I1720" i="3"/>
  <c r="I1744" i="3"/>
  <c r="I1433" i="3"/>
  <c r="I1737" i="3"/>
  <c r="I1594" i="3"/>
  <c r="I1778" i="3"/>
  <c r="I259" i="3"/>
  <c r="I443" i="3"/>
  <c r="I188" i="3"/>
  <c r="I476" i="3"/>
  <c r="I405" i="3"/>
  <c r="I494" i="3"/>
  <c r="I71" i="3"/>
  <c r="I191" i="3"/>
  <c r="I56" i="3"/>
  <c r="I312" i="3"/>
  <c r="I608" i="3"/>
  <c r="I855" i="3"/>
  <c r="I1199" i="3"/>
  <c r="I880" i="3"/>
  <c r="I896" i="3"/>
  <c r="I753" i="3"/>
  <c r="I1011" i="3"/>
  <c r="I1323" i="3"/>
  <c r="I1100" i="3"/>
  <c r="I861" i="3"/>
  <c r="I941" i="3"/>
  <c r="I1197" i="3"/>
  <c r="I1908" i="3"/>
  <c r="I918" i="3"/>
  <c r="I1280" i="3"/>
  <c r="I1286" i="3"/>
  <c r="I1766" i="3"/>
  <c r="I1854" i="3"/>
  <c r="I1768" i="3"/>
  <c r="I1545" i="3"/>
  <c r="I1657" i="3"/>
  <c r="I1849" i="3"/>
  <c r="I1610" i="3"/>
  <c r="I162" i="3"/>
  <c r="I258" i="3"/>
  <c r="I474" i="3"/>
  <c r="I403" i="3"/>
  <c r="I644" i="3"/>
  <c r="I453" i="3"/>
  <c r="I110" i="3"/>
  <c r="I366" i="3"/>
  <c r="I566" i="3"/>
  <c r="I143" i="3"/>
  <c r="I151" i="3"/>
  <c r="I232" i="3"/>
  <c r="I217" i="3"/>
  <c r="I1255" i="3"/>
  <c r="I785" i="3"/>
  <c r="I1193" i="3"/>
  <c r="I1091" i="3"/>
  <c r="I724" i="3"/>
  <c r="I748" i="3"/>
  <c r="I980" i="3"/>
  <c r="I1342" i="3"/>
  <c r="I1369" i="3"/>
  <c r="I1428" i="3"/>
  <c r="I1421" i="3"/>
  <c r="I990" i="3"/>
  <c r="I1678" i="3"/>
  <c r="I1559" i="3"/>
  <c r="I1711" i="3"/>
  <c r="I1521" i="3"/>
  <c r="I1801" i="3"/>
  <c r="I1634" i="3"/>
  <c r="I306" i="3"/>
  <c r="I578" i="3"/>
  <c r="I99" i="3"/>
  <c r="I299" i="3"/>
  <c r="I363" i="3"/>
  <c r="I459" i="3"/>
  <c r="I293" i="3"/>
  <c r="I365" i="3"/>
  <c r="I334" i="3"/>
  <c r="I622" i="3"/>
  <c r="I15" i="3"/>
  <c r="I95" i="3"/>
  <c r="I351" i="3"/>
  <c r="I128" i="3"/>
  <c r="I719" i="3"/>
  <c r="I1271" i="3"/>
  <c r="I944" i="3"/>
  <c r="I1080" i="3"/>
  <c r="I961" i="3"/>
  <c r="I1001" i="3"/>
  <c r="I770" i="3"/>
  <c r="I898" i="3"/>
  <c r="I1218" i="3"/>
  <c r="I707" i="3"/>
  <c r="I1003" i="3"/>
  <c r="I1067" i="3"/>
  <c r="I1083" i="3"/>
  <c r="I1148" i="3"/>
  <c r="I965" i="3"/>
  <c r="I1540" i="3"/>
  <c r="I1517" i="3"/>
  <c r="I1741" i="3"/>
  <c r="I1373" i="3"/>
  <c r="I1575" i="3"/>
  <c r="I1743" i="3"/>
  <c r="I1855" i="3"/>
  <c r="I1520" i="3"/>
  <c r="I694" i="3"/>
  <c r="I1697" i="3"/>
  <c r="I1793" i="3"/>
  <c r="I1302" i="3"/>
  <c r="I1834" i="3"/>
  <c r="I194" i="3"/>
  <c r="I374" i="3"/>
  <c r="I231" i="3"/>
  <c r="I536" i="3"/>
  <c r="I529" i="3"/>
  <c r="I711" i="3"/>
  <c r="I847" i="3"/>
  <c r="I919" i="3"/>
  <c r="I1295" i="3"/>
  <c r="I984" i="3"/>
  <c r="I1145" i="3"/>
  <c r="I835" i="3"/>
  <c r="I1283" i="3"/>
  <c r="I1261" i="3"/>
  <c r="I1468" i="3"/>
  <c r="I1765" i="3"/>
  <c r="I1430" i="3"/>
  <c r="I1718" i="3"/>
  <c r="I1759" i="3"/>
  <c r="I1848" i="3"/>
  <c r="I1617" i="3"/>
  <c r="I1349" i="3"/>
  <c r="I1376" i="3"/>
  <c r="I98" i="3"/>
  <c r="I118" i="3"/>
  <c r="I278" i="3"/>
  <c r="I438" i="3"/>
  <c r="I646" i="3"/>
  <c r="I80" i="3"/>
  <c r="I592" i="3"/>
  <c r="I545" i="3"/>
  <c r="I1128" i="3"/>
  <c r="I1073" i="3"/>
  <c r="I842" i="3"/>
  <c r="I883" i="3"/>
  <c r="I1307" i="3"/>
  <c r="I716" i="3"/>
  <c r="I1252" i="3"/>
  <c r="I813" i="3"/>
  <c r="I1166" i="3"/>
  <c r="I1436" i="3"/>
  <c r="I998" i="3"/>
  <c r="I1528" i="3"/>
  <c r="I1808" i="3"/>
  <c r="I178" i="3"/>
  <c r="I331" i="3"/>
  <c r="I61" i="3"/>
  <c r="I255" i="3"/>
  <c r="I24" i="3"/>
  <c r="I240" i="3"/>
  <c r="I296" i="3"/>
  <c r="I137" i="3"/>
  <c r="I425" i="3"/>
  <c r="I743" i="3"/>
  <c r="I1215" i="3"/>
  <c r="I1048" i="3"/>
  <c r="I737" i="3"/>
  <c r="I801" i="3"/>
  <c r="I963" i="3"/>
  <c r="I1108" i="3"/>
  <c r="I1156" i="3"/>
  <c r="I1245" i="3"/>
  <c r="I846" i="3"/>
  <c r="I1548" i="3"/>
  <c r="I1788" i="3"/>
  <c r="I1406" i="3"/>
  <c r="I1758" i="3"/>
  <c r="I1902" i="3"/>
  <c r="I1294" i="3"/>
  <c r="I958" i="3"/>
  <c r="I1690" i="3"/>
  <c r="I370" i="3"/>
  <c r="I147" i="3"/>
  <c r="I323" i="3"/>
  <c r="I603" i="3"/>
  <c r="I300" i="3"/>
  <c r="I78" i="3"/>
  <c r="I174" i="3"/>
  <c r="I190" i="3"/>
  <c r="I343" i="3"/>
  <c r="I519" i="3"/>
  <c r="I559" i="3"/>
  <c r="I424" i="3"/>
  <c r="I544" i="3"/>
  <c r="I664" i="3"/>
  <c r="I1041" i="3"/>
  <c r="I1057" i="3"/>
  <c r="I794" i="3"/>
  <c r="I1282" i="3"/>
  <c r="I699" i="3"/>
  <c r="I996" i="3"/>
  <c r="I667" i="3"/>
  <c r="I685" i="3"/>
  <c r="I1756" i="3"/>
  <c r="I1828" i="3"/>
  <c r="I1645" i="3"/>
  <c r="I1789" i="3"/>
  <c r="I1296" i="3"/>
  <c r="I1458" i="3"/>
  <c r="I362" i="3"/>
  <c r="I332" i="3"/>
  <c r="I13" i="3"/>
  <c r="I64" i="3"/>
  <c r="I120" i="3"/>
  <c r="I1088" i="3"/>
  <c r="I698" i="3"/>
  <c r="I730" i="3"/>
  <c r="I916" i="3"/>
  <c r="I1764" i="3"/>
  <c r="I1829" i="3"/>
  <c r="I1654" i="3"/>
  <c r="I1512" i="3"/>
  <c r="I506" i="3"/>
  <c r="I53" i="3"/>
  <c r="I767" i="3"/>
  <c r="I1015" i="3"/>
  <c r="I792" i="3"/>
  <c r="I1177" i="3"/>
  <c r="I1131" i="3"/>
  <c r="I1243" i="3"/>
  <c r="I1865" i="3"/>
  <c r="I1889" i="3"/>
  <c r="I260" i="3"/>
  <c r="I165" i="3"/>
  <c r="I237" i="3"/>
  <c r="I245" i="3"/>
  <c r="I575" i="3"/>
  <c r="I208" i="3"/>
  <c r="I1023" i="3"/>
  <c r="I1263" i="3"/>
  <c r="I688" i="3"/>
  <c r="I946" i="3"/>
  <c r="I1026" i="3"/>
  <c r="I1203" i="3"/>
  <c r="I1068" i="3"/>
  <c r="I757" i="3"/>
  <c r="I742" i="3"/>
  <c r="I1823" i="3"/>
  <c r="I1568" i="3"/>
  <c r="I1730" i="3"/>
  <c r="I2152" i="3"/>
  <c r="I2144" i="3"/>
  <c r="I2136" i="3"/>
  <c r="I2128" i="3"/>
  <c r="I2120" i="3"/>
  <c r="I2112" i="3"/>
  <c r="I2104" i="3"/>
  <c r="I2096" i="3"/>
  <c r="I2088" i="3"/>
  <c r="I2080" i="3"/>
  <c r="I2064" i="3"/>
  <c r="I2056" i="3"/>
  <c r="I2048" i="3"/>
  <c r="I2040" i="3"/>
  <c r="I2032" i="3"/>
  <c r="I2024" i="3"/>
  <c r="I2016" i="3"/>
  <c r="I2008" i="3"/>
  <c r="I1992" i="3"/>
  <c r="I1984" i="3"/>
  <c r="I1976" i="3"/>
  <c r="I1968" i="3"/>
  <c r="I1960" i="3"/>
  <c r="I1952" i="3"/>
  <c r="I1944" i="3"/>
  <c r="I1936" i="3"/>
  <c r="I1919" i="3"/>
  <c r="I1901" i="3"/>
  <c r="I1879" i="3"/>
  <c r="I1771" i="3"/>
  <c r="I1707" i="3"/>
  <c r="I1643" i="3"/>
  <c r="I1515" i="3"/>
  <c r="I1386" i="3"/>
  <c r="I1304" i="3"/>
  <c r="I838" i="3"/>
  <c r="I58" i="3"/>
  <c r="I66" i="3"/>
  <c r="I242" i="3"/>
  <c r="I659" i="3"/>
  <c r="I4" i="3"/>
  <c r="I60" i="3"/>
  <c r="I565" i="3"/>
  <c r="I398" i="3"/>
  <c r="I135" i="3"/>
  <c r="I207" i="3"/>
  <c r="I223" i="3"/>
  <c r="I335" i="3"/>
  <c r="I383" i="3"/>
  <c r="I96" i="3"/>
  <c r="I73" i="3"/>
  <c r="I497" i="3"/>
  <c r="I879" i="3"/>
  <c r="I1303" i="3"/>
  <c r="I777" i="3"/>
  <c r="I953" i="3"/>
  <c r="I1033" i="3"/>
  <c r="I746" i="3"/>
  <c r="I1058" i="3"/>
  <c r="I1309" i="3"/>
  <c r="I1476" i="3"/>
  <c r="I1780" i="3"/>
  <c r="I1844" i="3"/>
  <c r="I1550" i="3"/>
  <c r="I1408" i="3"/>
  <c r="I1912" i="3"/>
  <c r="I758" i="3"/>
  <c r="I1441" i="3"/>
  <c r="I830" i="3"/>
  <c r="I1802" i="3"/>
  <c r="I179" i="3"/>
  <c r="I235" i="3"/>
  <c r="I33" i="3"/>
  <c r="I1207" i="3"/>
  <c r="I696" i="3"/>
  <c r="I800" i="3"/>
  <c r="I867" i="3"/>
  <c r="I1351" i="3"/>
  <c r="I1905" i="3"/>
  <c r="I1738" i="3"/>
  <c r="I2060" i="3"/>
  <c r="I210" i="3"/>
  <c r="I124" i="3"/>
  <c r="I501" i="3"/>
  <c r="I605" i="3"/>
  <c r="I270" i="3"/>
  <c r="I87" i="3"/>
  <c r="I311" i="3"/>
  <c r="I567" i="3"/>
  <c r="I129" i="3"/>
  <c r="I177" i="3"/>
  <c r="I687" i="3"/>
  <c r="I815" i="3"/>
  <c r="I832" i="3"/>
  <c r="I968" i="3"/>
  <c r="I1144" i="3"/>
  <c r="I1256" i="3"/>
  <c r="I1113" i="3"/>
  <c r="I645" i="3"/>
  <c r="I890" i="3"/>
  <c r="I1290" i="3"/>
  <c r="I1012" i="3"/>
  <c r="I869" i="3"/>
  <c r="I885" i="3"/>
  <c r="I1716" i="3"/>
  <c r="I1413" i="3"/>
  <c r="I1693" i="3"/>
  <c r="I1757" i="3"/>
  <c r="I1781" i="3"/>
  <c r="I1845" i="3"/>
  <c r="I926" i="3"/>
  <c r="I1494" i="3"/>
  <c r="I1878" i="3"/>
  <c r="I1894" i="3"/>
  <c r="I1356" i="3"/>
  <c r="I1417" i="3"/>
  <c r="I702" i="3"/>
  <c r="I894" i="3"/>
  <c r="I1022" i="3"/>
  <c r="I1385" i="3"/>
  <c r="I1410" i="3"/>
  <c r="I1770" i="3"/>
  <c r="I1826" i="3"/>
  <c r="I100" i="3"/>
  <c r="I1111" i="3"/>
  <c r="I671" i="3"/>
  <c r="I795" i="3"/>
  <c r="I1796" i="3"/>
  <c r="I1389" i="3"/>
  <c r="I1621" i="3"/>
  <c r="I1727" i="3"/>
  <c r="I1754" i="3"/>
  <c r="I138" i="3"/>
  <c r="I75" i="3"/>
  <c r="I371" i="3"/>
  <c r="I643" i="3"/>
  <c r="I252" i="3"/>
  <c r="I436" i="3"/>
  <c r="I620" i="3"/>
  <c r="I557" i="3"/>
  <c r="I486" i="3"/>
  <c r="I55" i="3"/>
  <c r="I215" i="3"/>
  <c r="I439" i="3"/>
  <c r="I471" i="3"/>
  <c r="I639" i="3"/>
  <c r="I25" i="3"/>
  <c r="I81" i="3"/>
  <c r="I153" i="3"/>
  <c r="I201" i="3"/>
  <c r="I617" i="3"/>
  <c r="I943" i="3"/>
  <c r="I1135" i="3"/>
  <c r="I712" i="3"/>
  <c r="I936" i="3"/>
  <c r="I977" i="3"/>
  <c r="I1201" i="3"/>
  <c r="I754" i="3"/>
  <c r="I858" i="3"/>
  <c r="I1210" i="3"/>
  <c r="I1099" i="3"/>
  <c r="I1195" i="3"/>
  <c r="I1267" i="3"/>
  <c r="I1308" i="3"/>
  <c r="I877" i="3"/>
  <c r="I1444" i="3"/>
  <c r="I1174" i="3"/>
  <c r="I1685" i="3"/>
  <c r="I1326" i="3"/>
  <c r="I1502" i="3"/>
  <c r="I1345" i="3"/>
  <c r="I1382" i="3"/>
  <c r="I1535" i="3"/>
  <c r="I1815" i="3"/>
  <c r="I1456" i="3"/>
  <c r="I766" i="3"/>
  <c r="I236" i="3"/>
  <c r="I308" i="3"/>
  <c r="I628" i="3"/>
  <c r="I6" i="3"/>
  <c r="I119" i="3"/>
  <c r="I599" i="3"/>
  <c r="I8" i="3"/>
  <c r="I400" i="3"/>
  <c r="I1279" i="3"/>
  <c r="I857" i="3"/>
  <c r="I1217" i="3"/>
  <c r="I834" i="3"/>
  <c r="I1098" i="3"/>
  <c r="I843" i="3"/>
  <c r="I772" i="3"/>
  <c r="I828" i="3"/>
  <c r="I1021" i="3"/>
  <c r="I634" i="3"/>
  <c r="I1636" i="3"/>
  <c r="I1238" i="3"/>
  <c r="I1446" i="3"/>
  <c r="I1838" i="3"/>
  <c r="I806" i="3"/>
  <c r="I1393" i="3"/>
  <c r="I1497" i="3"/>
  <c r="I1561" i="3"/>
  <c r="I1609" i="3"/>
  <c r="I1817" i="3"/>
  <c r="I1882" i="3"/>
  <c r="I250" i="3"/>
  <c r="I148" i="3"/>
  <c r="I589" i="3"/>
  <c r="I62" i="3"/>
  <c r="I127" i="3"/>
  <c r="I175" i="3"/>
  <c r="I168" i="3"/>
  <c r="I560" i="3"/>
  <c r="I576" i="3"/>
  <c r="I735" i="3"/>
  <c r="I751" i="3"/>
  <c r="I681" i="3"/>
  <c r="I1121" i="3"/>
  <c r="I1209" i="3"/>
  <c r="I1045" i="3"/>
  <c r="I1165" i="3"/>
  <c r="I1493" i="3"/>
  <c r="I1525" i="3"/>
  <c r="I1558" i="3"/>
  <c r="I1354" i="3"/>
  <c r="I1792" i="3"/>
  <c r="I1481" i="3"/>
  <c r="I1753" i="3"/>
  <c r="I1897" i="3"/>
  <c r="I90" i="3"/>
  <c r="I522" i="3"/>
  <c r="I381" i="3"/>
  <c r="I199" i="3"/>
  <c r="I104" i="3"/>
  <c r="I408" i="3"/>
  <c r="I472" i="3"/>
  <c r="I41" i="3"/>
  <c r="I193" i="3"/>
  <c r="I401" i="3"/>
  <c r="I887" i="3"/>
  <c r="I904" i="3"/>
  <c r="I921" i="3"/>
  <c r="I1297" i="3"/>
  <c r="I722" i="3"/>
  <c r="I1250" i="3"/>
  <c r="I995" i="3"/>
  <c r="I812" i="3"/>
  <c r="I820" i="3"/>
  <c r="I908" i="3"/>
  <c r="I1564" i="3"/>
  <c r="I1620" i="3"/>
  <c r="I1748" i="3"/>
  <c r="I1629" i="3"/>
  <c r="I798" i="3"/>
  <c r="I1182" i="3"/>
  <c r="I1496" i="3"/>
  <c r="I1840" i="3"/>
  <c r="I1538" i="3"/>
  <c r="I514" i="3"/>
  <c r="I28" i="3"/>
  <c r="I97" i="3"/>
  <c r="I705" i="3"/>
  <c r="I930" i="3"/>
  <c r="I1604" i="3"/>
  <c r="I1773" i="3"/>
  <c r="I1353" i="3"/>
  <c r="I218" i="3"/>
  <c r="I530" i="3"/>
  <c r="I140" i="3"/>
  <c r="I444" i="3"/>
  <c r="I636" i="3"/>
  <c r="I573" i="3"/>
  <c r="I94" i="3"/>
  <c r="I526" i="3"/>
  <c r="I263" i="3"/>
  <c r="I503" i="3"/>
  <c r="I88" i="3"/>
  <c r="I448" i="3"/>
  <c r="I465" i="3"/>
  <c r="I1127" i="3"/>
  <c r="I808" i="3"/>
  <c r="I992" i="3"/>
  <c r="I985" i="3"/>
  <c r="I826" i="3"/>
  <c r="I1139" i="3"/>
  <c r="I1219" i="3"/>
  <c r="I1053" i="3"/>
  <c r="I1181" i="3"/>
  <c r="I1221" i="3"/>
  <c r="I1572" i="3"/>
  <c r="I1454" i="3"/>
  <c r="I1062" i="3"/>
  <c r="I1647" i="3"/>
  <c r="I1863" i="3"/>
  <c r="I1416" i="3"/>
  <c r="I1472" i="3"/>
  <c r="I1522" i="3"/>
  <c r="I1722" i="3"/>
  <c r="I1762" i="3"/>
  <c r="I2" i="3"/>
  <c r="I282" i="3"/>
  <c r="I131" i="3"/>
  <c r="I315" i="3"/>
  <c r="I427" i="3"/>
  <c r="I515" i="3"/>
  <c r="I212" i="3"/>
  <c r="I493" i="3"/>
  <c r="I518" i="3"/>
  <c r="I584" i="3"/>
  <c r="I641" i="3"/>
  <c r="I744" i="3"/>
  <c r="I816" i="3"/>
  <c r="I969" i="3"/>
  <c r="I1185" i="3"/>
  <c r="I763" i="3"/>
  <c r="I1379" i="3"/>
  <c r="I796" i="3"/>
  <c r="I1028" i="3"/>
  <c r="I633" i="3"/>
  <c r="I853" i="3"/>
  <c r="I1500" i="3"/>
  <c r="I790" i="3"/>
  <c r="I1445" i="3"/>
  <c r="I1557" i="3"/>
  <c r="I862" i="3"/>
  <c r="I1439" i="3"/>
  <c r="I1679" i="3"/>
  <c r="I1807" i="3"/>
  <c r="I1616" i="3"/>
  <c r="I1632" i="3"/>
  <c r="I1728" i="3"/>
  <c r="I1760" i="3"/>
  <c r="I1264" i="3"/>
  <c r="I1906" i="3"/>
  <c r="I421" i="3"/>
  <c r="I630" i="3"/>
  <c r="I111" i="3"/>
  <c r="I911" i="3"/>
  <c r="I1301" i="3"/>
  <c r="I782" i="3"/>
  <c r="I1364" i="3"/>
  <c r="I1198" i="3"/>
  <c r="I1600" i="3"/>
  <c r="I2151" i="3"/>
  <c r="I2143" i="3"/>
  <c r="I2135" i="3"/>
  <c r="I2127" i="3"/>
  <c r="I2111" i="3"/>
  <c r="I2103" i="3"/>
  <c r="I2087" i="3"/>
  <c r="I2079" i="3"/>
  <c r="I2071" i="3"/>
  <c r="I2063" i="3"/>
  <c r="I2055" i="3"/>
  <c r="I2047" i="3"/>
  <c r="I2039" i="3"/>
  <c r="I2031" i="3"/>
  <c r="I2023" i="3"/>
  <c r="I2015" i="3"/>
  <c r="I2007" i="3"/>
  <c r="I1999" i="3"/>
  <c r="I1983" i="3"/>
  <c r="I1975" i="3"/>
  <c r="I1967" i="3"/>
  <c r="I1959" i="3"/>
  <c r="I1951" i="3"/>
  <c r="I1943" i="3"/>
  <c r="I1935" i="3"/>
  <c r="I1927" i="3"/>
  <c r="I1917" i="3"/>
  <c r="I1899" i="3"/>
  <c r="I1877" i="3"/>
  <c r="I1827" i="3"/>
  <c r="I1763" i="3"/>
  <c r="I1699" i="3"/>
  <c r="I1635" i="3"/>
  <c r="I1571" i="3"/>
  <c r="I1507" i="3"/>
  <c r="I1443" i="3"/>
  <c r="I1377" i="3"/>
  <c r="I1272" i="3"/>
  <c r="I774" i="3"/>
  <c r="I2076" i="3"/>
  <c r="I651" i="3"/>
  <c r="I517" i="3"/>
  <c r="I142" i="3"/>
  <c r="I607" i="3"/>
  <c r="I1143" i="3"/>
  <c r="I1387" i="3"/>
  <c r="I756" i="3"/>
  <c r="I274" i="3"/>
  <c r="I583" i="3"/>
  <c r="I360" i="3"/>
  <c r="I481" i="3"/>
  <c r="I1274" i="3"/>
  <c r="I1029" i="3"/>
  <c r="I1816" i="3"/>
  <c r="I1329" i="3"/>
  <c r="I107" i="3"/>
  <c r="I182" i="3"/>
  <c r="I318" i="3"/>
  <c r="I295" i="3"/>
  <c r="I368" i="3"/>
  <c r="I504" i="3"/>
  <c r="I624" i="3"/>
  <c r="I871" i="3"/>
  <c r="I1159" i="3"/>
  <c r="I1192" i="3"/>
  <c r="I802" i="3"/>
  <c r="I1460" i="3"/>
  <c r="I1344" i="3"/>
  <c r="I1790" i="3"/>
  <c r="I1682" i="3"/>
  <c r="I155" i="3"/>
  <c r="I355" i="3"/>
  <c r="I248" i="3"/>
  <c r="I121" i="3"/>
  <c r="I225" i="3"/>
  <c r="I593" i="3"/>
  <c r="I1047" i="3"/>
  <c r="I1247" i="3"/>
  <c r="I906" i="3"/>
  <c r="I1034" i="3"/>
  <c r="I1306" i="3"/>
  <c r="I708" i="3"/>
  <c r="I1020" i="3"/>
  <c r="I1044" i="3"/>
  <c r="I1612" i="3"/>
  <c r="I854" i="3"/>
  <c r="I1653" i="3"/>
  <c r="I1591" i="3"/>
  <c r="I1856" i="3"/>
  <c r="I1904" i="3"/>
  <c r="I1340" i="3"/>
  <c r="I1418" i="3"/>
  <c r="I1786" i="3"/>
  <c r="I538" i="3"/>
  <c r="I67" i="3"/>
  <c r="I291" i="3"/>
  <c r="I76" i="3"/>
  <c r="I614" i="3"/>
  <c r="I535" i="3"/>
  <c r="I376" i="3"/>
  <c r="I1095" i="3"/>
  <c r="I962" i="3"/>
  <c r="I1050" i="3"/>
  <c r="I1226" i="3"/>
  <c r="I1258" i="3"/>
  <c r="I859" i="3"/>
  <c r="I1235" i="3"/>
  <c r="I956" i="3"/>
  <c r="I717" i="3"/>
  <c r="I733" i="3"/>
  <c r="I1149" i="3"/>
  <c r="I1157" i="3"/>
  <c r="I1388" i="3"/>
  <c r="I1812" i="3"/>
  <c r="I1820" i="3"/>
  <c r="I1510" i="3"/>
  <c r="I1646" i="3"/>
  <c r="I1126" i="3"/>
  <c r="I1592" i="3"/>
  <c r="I1409" i="3"/>
  <c r="I1457" i="3"/>
  <c r="I1553" i="3"/>
  <c r="I1673" i="3"/>
  <c r="I386" i="3"/>
  <c r="I211" i="3"/>
  <c r="I253" i="3"/>
  <c r="I22" i="3"/>
  <c r="I510" i="3"/>
  <c r="I590" i="3"/>
  <c r="I31" i="3"/>
  <c r="I455" i="3"/>
  <c r="I495" i="3"/>
  <c r="I136" i="3"/>
  <c r="I49" i="3"/>
  <c r="I233" i="3"/>
  <c r="I960" i="3"/>
  <c r="I1200" i="3"/>
  <c r="I674" i="3"/>
  <c r="I629" i="3"/>
  <c r="I1300" i="3"/>
  <c r="I989" i="3"/>
  <c r="I1013" i="3"/>
  <c r="I1037" i="3"/>
  <c r="I1253" i="3"/>
  <c r="I1230" i="3"/>
  <c r="I1588" i="3"/>
  <c r="I1669" i="3"/>
  <c r="I1677" i="3"/>
  <c r="I1414" i="3"/>
  <c r="I1462" i="3"/>
  <c r="I1478" i="3"/>
  <c r="I1598" i="3"/>
  <c r="I1584" i="3"/>
  <c r="I1624" i="3"/>
  <c r="I1367" i="3"/>
  <c r="I1426" i="3"/>
  <c r="I1514" i="3"/>
  <c r="I2150" i="3"/>
  <c r="I2142" i="3"/>
  <c r="I2126" i="3"/>
  <c r="I2054" i="3"/>
  <c r="I2046" i="3"/>
  <c r="I2038" i="3"/>
  <c r="I2030" i="3"/>
  <c r="I2022" i="3"/>
  <c r="I2014" i="3"/>
  <c r="I2006" i="3"/>
  <c r="I1998" i="3"/>
  <c r="I1990" i="3"/>
  <c r="I1982" i="3"/>
  <c r="I1974" i="3"/>
  <c r="I1966" i="3"/>
  <c r="I1958" i="3"/>
  <c r="I1950" i="3"/>
  <c r="I1942" i="3"/>
  <c r="I1934" i="3"/>
  <c r="I1925" i="3"/>
  <c r="I1916" i="3"/>
  <c r="I1895" i="3"/>
  <c r="I1875" i="3"/>
  <c r="I1819" i="3"/>
  <c r="I1755" i="3"/>
  <c r="I1691" i="3"/>
  <c r="I1627" i="3"/>
  <c r="I1563" i="3"/>
  <c r="I1499" i="3"/>
  <c r="I1435" i="3"/>
  <c r="I1368" i="3"/>
  <c r="I1222" i="3"/>
  <c r="I710" i="3"/>
</calcChain>
</file>

<file path=xl/sharedStrings.xml><?xml version="1.0" encoding="utf-8"?>
<sst xmlns="http://schemas.openxmlformats.org/spreadsheetml/2006/main" count="2743" uniqueCount="385">
  <si>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</si>
  <si>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</si>
  <si>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</si>
  <si>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</si>
  <si>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</si>
  <si>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</si>
  <si>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</si>
  <si>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</si>
  <si>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</si>
  <si>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</si>
  <si>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</si>
  <si>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</si>
  <si>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</si>
  <si>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</si>
  <si>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</si>
  <si>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</si>
  <si>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</si>
  <si>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</si>
  <si>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</si>
  <si>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ID</t>
  </si>
  <si>
    <t>ProductID</t>
  </si>
  <si>
    <t>ProductName</t>
  </si>
  <si>
    <t>SupplierID</t>
  </si>
  <si>
    <t>QuantityPerUnit</t>
  </si>
  <si>
    <t>UnitPrice</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</si>
  <si>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</si>
  <si>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</si>
  <si>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</si>
  <si>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</si>
  <si>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</si>
  <si>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</si>
  <si>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</si>
  <si>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</si>
  <si>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</si>
  <si>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</si>
  <si>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</si>
  <si>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</si>
  <si>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</si>
  <si>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</si>
  <si>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</si>
  <si>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</si>
  <si>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</si>
  <si>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</si>
  <si>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</si>
  <si>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</si>
  <si>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</si>
  <si>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</si>
  <si>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</si>
  <si>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</si>
  <si>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</si>
  <si>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</si>
  <si>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</si>
  <si>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</si>
  <si>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</si>
  <si>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</si>
  <si>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</si>
  <si>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</si>
  <si>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</si>
  <si>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</si>
  <si>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</si>
  <si>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</si>
  <si>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</si>
  <si>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</si>
  <si>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</si>
  <si>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</si>
  <si>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</si>
  <si>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</si>
  <si>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</si>
  <si>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</si>
  <si>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</si>
  <si>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</si>
  <si>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</si>
  <si>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</si>
  <si>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</si>
  <si>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</si>
  <si>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</si>
  <si>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</si>
  <si>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</si>
  <si>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</si>
  <si>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</si>
  <si>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</si>
  <si>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</si>
  <si>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</si>
  <si>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</si>
  <si>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</si>
  <si>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</si>
  <si>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</si>
  <si>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</si>
  <si>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</si>
  <si>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</si>
  <si>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</si>
  <si>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</si>
  <si>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</si>
  <si>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</si>
  <si>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</si>
  <si>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</si>
  <si>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</si>
  <si>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</si>
  <si>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</si>
  <si>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</si>
  <si>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</si>
  <si>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</si>
  <si>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</si>
  <si>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</si>
  <si>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</si>
  <si>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</si>
  <si>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</si>
  <si>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</si>
  <si>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</si>
  <si>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</si>
  <si>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</si>
  <si>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</si>
  <si>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</si>
  <si>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</si>
  <si>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</si>
  <si>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</si>
  <si>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</si>
  <si>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</si>
  <si>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</si>
  <si>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</si>
  <si>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</si>
  <si>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</si>
  <si>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</si>
  <si>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</si>
  <si>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</si>
  <si>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</si>
  <si>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</si>
  <si>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</si>
  <si>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</si>
  <si>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</si>
  <si>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</si>
  <si>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</si>
  <si>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</si>
  <si>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</si>
  <si>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</si>
  <si>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</si>
  <si>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</si>
  <si>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</si>
  <si>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</si>
  <si>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</si>
  <si>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</si>
  <si>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</si>
  <si>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</si>
  <si>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</si>
  <si>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</si>
  <si>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</si>
  <si>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</si>
  <si>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</si>
  <si>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</si>
  <si>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</si>
  <si>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</si>
  <si>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</si>
  <si>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</si>
  <si>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</si>
  <si>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</si>
  <si>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</si>
  <si>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</si>
  <si>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</si>
  <si>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</si>
  <si>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</si>
  <si>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</si>
  <si>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</si>
  <si>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</si>
  <si>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</si>
  <si>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</si>
  <si>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</si>
  <si>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</si>
  <si>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</si>
  <si>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</si>
  <si>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</si>
  <si>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</si>
  <si>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</si>
  <si>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</si>
  <si>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Quantity</t>
  </si>
  <si>
    <t>Discount</t>
  </si>
  <si>
    <t>CustomerID</t>
  </si>
  <si>
    <t>OrderDate</t>
  </si>
  <si>
    <t>VINET</t>
  </si>
  <si>
    <t>TOMSP</t>
  </si>
  <si>
    <t>HANAR</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</si>
  <si>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</si>
  <si>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</si>
  <si>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</si>
  <si>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</si>
  <si>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</si>
  <si>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</si>
  <si>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</si>
  <si>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</si>
  <si>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</si>
  <si>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</si>
  <si>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</si>
  <si>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</si>
  <si>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</si>
  <si>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</si>
  <si>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</si>
  <si>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</si>
  <si>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</si>
  <si>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</si>
  <si>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</si>
  <si>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</si>
  <si>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</si>
  <si>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</si>
  <si>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</si>
  <si>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</si>
  <si>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</si>
  <si>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</si>
  <si>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</si>
  <si>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</si>
  <si>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</si>
  <si>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</si>
  <si>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</si>
  <si>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</si>
  <si>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</si>
  <si>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</si>
  <si>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</si>
  <si>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</si>
  <si>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</si>
  <si>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</si>
  <si>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</si>
  <si>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</si>
  <si>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</si>
  <si>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</si>
  <si>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</si>
  <si>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</si>
  <si>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</si>
  <si>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</si>
  <si>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</si>
  <si>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</si>
  <si>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</si>
  <si>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</si>
  <si>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</si>
  <si>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</si>
  <si>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</si>
  <si>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</si>
  <si>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</si>
  <si>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</si>
  <si>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</si>
  <si>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</si>
  <si>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</si>
  <si>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</si>
  <si>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</si>
  <si>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</si>
  <si>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</si>
  <si>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</si>
  <si>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</si>
  <si>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</si>
  <si>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</si>
  <si>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</si>
  <si>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</si>
  <si>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</si>
  <si>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</si>
  <si>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</si>
  <si>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</si>
  <si>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</si>
  <si>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</si>
  <si>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</si>
  <si>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</si>
  <si>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</si>
  <si>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</si>
  <si>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</si>
  <si>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</si>
  <si>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</si>
  <si>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</si>
  <si>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</si>
  <si>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</si>
  <si>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</si>
  <si>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Sales Amount</t>
  </si>
  <si>
    <t>Row Labels</t>
  </si>
  <si>
    <t>Grand Total</t>
  </si>
  <si>
    <t>1996</t>
  </si>
  <si>
    <t>Jul</t>
  </si>
  <si>
    <t>Aug</t>
  </si>
  <si>
    <t>Sep</t>
  </si>
  <si>
    <t>Oct</t>
  </si>
  <si>
    <t>Nov</t>
  </si>
  <si>
    <t>Dec</t>
  </si>
  <si>
    <t>1997</t>
  </si>
  <si>
    <t>Jan</t>
  </si>
  <si>
    <t>Feb</t>
  </si>
  <si>
    <t>Mar</t>
  </si>
  <si>
    <t>Apr</t>
  </si>
  <si>
    <t>May</t>
  </si>
  <si>
    <t>Jun</t>
  </si>
  <si>
    <t>1998</t>
  </si>
  <si>
    <t>Sum of Sales Amount</t>
  </si>
  <si>
    <t>Season</t>
  </si>
  <si>
    <t>Autumn</t>
  </si>
  <si>
    <t>Summer</t>
  </si>
  <si>
    <t>Spring</t>
  </si>
  <si>
    <t>Winter</t>
  </si>
  <si>
    <t>Sum of Sales Amount2</t>
  </si>
  <si>
    <t>Count of OrderID</t>
  </si>
  <si>
    <t>Beverages Total</t>
  </si>
  <si>
    <t>Condiments Total</t>
  </si>
  <si>
    <t>Confections Total</t>
  </si>
  <si>
    <t>Dairy Products Total</t>
  </si>
  <si>
    <t>Grains/Cereals Total</t>
  </si>
  <si>
    <t>Meat/Poultry Total</t>
  </si>
  <si>
    <t>Produce Total</t>
  </si>
  <si>
    <t>Seafood Total</t>
  </si>
  <si>
    <t>Chai Total</t>
  </si>
  <si>
    <t>Chang Total</t>
  </si>
  <si>
    <t>Chartreuse verte Total</t>
  </si>
  <si>
    <t>Côte de Blaye Total</t>
  </si>
  <si>
    <t>Guaraná Fantástica Total</t>
  </si>
  <si>
    <t>Ipoh Coffee Total</t>
  </si>
  <si>
    <t>Lakkalikööri Total</t>
  </si>
  <si>
    <t>Laughing Lumberjack Lager Total</t>
  </si>
  <si>
    <t>Outback Lager Total</t>
  </si>
  <si>
    <t>Rhönbräu Klosterbier Total</t>
  </si>
  <si>
    <t>Sasquatch Ale Total</t>
  </si>
  <si>
    <t>Steeleye Stout Total</t>
  </si>
  <si>
    <t>Aniseed Syrup Total</t>
  </si>
  <si>
    <t>Chef Anton's Cajun Seasoning Total</t>
  </si>
  <si>
    <t>Chef Anton's Gumbo Mix Total</t>
  </si>
  <si>
    <t>Genen Shouyu Total</t>
  </si>
  <si>
    <t>Grandma's Boysenberry Spread Total</t>
  </si>
  <si>
    <t>Gula Malacca Total</t>
  </si>
  <si>
    <t>Louisiana Fiery Hot Pepper Sauce Total</t>
  </si>
  <si>
    <t>Louisiana Hot Spiced Okra Total</t>
  </si>
  <si>
    <t>Northwoods Cranberry Sauce Total</t>
  </si>
  <si>
    <t>Original Frankfurter grüne Soße Total</t>
  </si>
  <si>
    <t>Sirop d'érable Total</t>
  </si>
  <si>
    <t>Vegie-spread Total</t>
  </si>
  <si>
    <t>Chocolade Total</t>
  </si>
  <si>
    <t>Gumbär Gummibärchen Total</t>
  </si>
  <si>
    <t>Maxilaku Total</t>
  </si>
  <si>
    <t>NuNuCa Nuß-Nougat-Creme Total</t>
  </si>
  <si>
    <t>Pavlova Total</t>
  </si>
  <si>
    <t>Schoggi Schokolade Total</t>
  </si>
  <si>
    <t>Scottish Longbreads Total</t>
  </si>
  <si>
    <t>Sir Rodney's Marmalade Total</t>
  </si>
  <si>
    <t>Sir Rodney's Scones Total</t>
  </si>
  <si>
    <t>Tarte au sucre Total</t>
  </si>
  <si>
    <t>Teatime Chocolate Biscuits Total</t>
  </si>
  <si>
    <t>Valkoinen suklaa Total</t>
  </si>
  <si>
    <t>Zaanse koeken Total</t>
  </si>
  <si>
    <t>Camembert Pierrot Total</t>
  </si>
  <si>
    <t>Flotemysost Total</t>
  </si>
  <si>
    <t>Geitost Total</t>
  </si>
  <si>
    <t>Gorgonzola Telino Total</t>
  </si>
  <si>
    <t>Gudbrandsdalsost Total</t>
  </si>
  <si>
    <t>Mascarpone Fabioli Total</t>
  </si>
  <si>
    <t>Mozzarella di Giovanni Total</t>
  </si>
  <si>
    <t>Queso Cabrales Total</t>
  </si>
  <si>
    <t>Queso Manchego La Pastora Total</t>
  </si>
  <si>
    <t>Raclette Courdavault Total</t>
  </si>
  <si>
    <t>Filo Mix Total</t>
  </si>
  <si>
    <t>Gnocchi di nonna Alice Total</t>
  </si>
  <si>
    <t>Gustaf's Knäckebröd Total</t>
  </si>
  <si>
    <t>Ravioli Angelo Total</t>
  </si>
  <si>
    <t>Singaporean Hokkien Fried Mee Total</t>
  </si>
  <si>
    <t>Tunnbröd Total</t>
  </si>
  <si>
    <t>Wimmers gute Semmelknödel Total</t>
  </si>
  <si>
    <t>Alice Mutton Total</t>
  </si>
  <si>
    <t>Mishi Kobe Niku Total</t>
  </si>
  <si>
    <t>Pâté chinois Total</t>
  </si>
  <si>
    <t>Perth Pasties Total</t>
  </si>
  <si>
    <t>Thüringer Rostbratwurst Total</t>
  </si>
  <si>
    <t>Tourtière Total</t>
  </si>
  <si>
    <t>Longlife Tofu Total</t>
  </si>
  <si>
    <t>Manjimup Dried Apples Total</t>
  </si>
  <si>
    <t>Rössle Sauerkraut Total</t>
  </si>
  <si>
    <t>Tofu Total</t>
  </si>
  <si>
    <t>Uncle Bob's Organic Dried Pears Total</t>
  </si>
  <si>
    <t>Boston Crab Meat Total</t>
  </si>
  <si>
    <t>Carnarvon Tigers Total</t>
  </si>
  <si>
    <t>Escargots de Bourgogne Total</t>
  </si>
  <si>
    <t>Gravad lax Total</t>
  </si>
  <si>
    <t>Ikura Total</t>
  </si>
  <si>
    <t>Inlagd Sill Total</t>
  </si>
  <si>
    <t>Jack's New England Clam Chowder Total</t>
  </si>
  <si>
    <t>Konbu Total</t>
  </si>
  <si>
    <t>Nord-Ost Matjeshering Total</t>
  </si>
  <si>
    <t>Röd Kaviar Total</t>
  </si>
  <si>
    <t>Rogede sild Total</t>
  </si>
  <si>
    <t>Spegesild Total</t>
  </si>
  <si>
    <t>Years and Season</t>
  </si>
  <si>
    <t>Years and Month</t>
  </si>
  <si>
    <t>Total Sales %</t>
  </si>
  <si>
    <t>Total Sales</t>
  </si>
  <si>
    <t>Season / ProductName</t>
  </si>
  <si>
    <t>ProductName / Month</t>
  </si>
  <si>
    <t>سوال: چرا قیمت محصول در جدول OrderDetails با قیمت محصول در جدول Product یکسان نیست؟
پاسخ:
اختلاف بین قیمت محصول در جدول OrderDetails و جدول Product به این دلیل است که این دو جدول دو نوع متفاوت از اطلاعات قیمت‌گذاری را نمایش می‌دهند. جدول Product شامل قیمت پایه یا کاتالوگی هر محصول است که به‌عنوان یک مقدار مرجع و نسبتاً ثابت تعریف می‌شود، در حالی که جدول OrderDetails قیمت واقعی ثبت‌شده در زمان انجام هر سفارش را ذخیره می‌کند. این قیمت ممکن است در زمان خرید به دلایل مختلفی مانند تغییرات دوره‌ای قیمت، شرایط بازار، قراردادهای خاص با مشتریان یا سیاست‌های فروش متفاوت از قیمت پایه باشد. بنابراین، UnitPrice در OrderDetails یک مقدار پویا و وابسته به زمان و شرایط واقعی تراکنش است، در حالی که UnitPrice در Product یک مقدار استاندارد و مرجع محسوب می‌شود.</t>
  </si>
  <si>
    <t>Question: Why is the product price in the OrderDetails table not the same as the product price in the Product table?
Answer:
The difference between the product price in the OrderDetails table and the Product table exists because these two tables represent different types of pricing information. The Product table contains the base or catalog price of each product, which is defined as a reference and relatively stable value. In contrast, the OrderDetails table stores the actual transaction price recorded at the time each order is placed. This price may differ from the base price due to various factors such as periodic price changes, market conditions, specific agreements with customers, or sales policies. Therefore, the UnitPrice in the OrderDetails table is a dynamic value that reflects real transaction conditions, while the UnitPrice in the Product table is considered a standard reference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</si>
</sst>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Aptos Narrow"/>
      <family val="2"/>
      <scheme val="minor"/>
    </font>
    <font>
      <b/>
      <sz val="11"/>
      <color theme="0"/>
      <name val="Aptos Narrow"/>
      <family val="2"/>
      <scheme val="minor"/>
    </font>
    <font>
      <sz val="8"/>
      <name val="Aptos Narrow"/>
      <family val="2"/>
      <scheme val="minor"/>
    </font>
    <font>
      <sz val="12"/>
      <color theme="1"/>
      <name val="B Nazanin"/>
      <charset val="178"/>
    </font>
    <font>
      <b/>
      <sz val="12"/>
      <color theme="1"/>
      <name val="B Nazanin"/>
      <charset val="178"/>
    </font>
    <font>
      <sz val="13"/>
      <color theme="1"/>
      <name val="Times New Roman"/>
      <family val="1"/>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29">
    <xf numFmtId="0" fontId="0" fillId="0" borderId="0" xfId="0"/>
    <xf numFmtId="0" fontId="0" fillId="3" borderId="1" xfId="0" applyFill="1" applyBorder="1"/>
    <xf numFmtId="0" fontId="0" fillId="0" borderId="1" xfId="0" applyBorder="1"/>
    <xf numFmtId="2" fontId="0" fillId="3" borderId="1" xfId="0" applyNumberFormat="1" applyFill="1" applyBorder="1"/>
    <xf numFmtId="2" fontId="0" fillId="0" borderId="1" xfId="0" applyNumberFormat="1" applyBorder="1"/>
    <xf numFmtId="0" fontId="1" fillId="2" borderId="2" xfId="0" applyFont="1" applyFill="1" applyBorder="1"/>
    <xf numFmtId="2" fontId="1" fillId="2" borderId="2" xfId="0" applyNumberFormat="1" applyFont="1" applyFill="1" applyBorder="1"/>
    <xf numFmtId="0" fontId="0" fillId="3" borderId="3" xfId="0" applyFill="1" applyBorder="1"/>
    <xf numFmtId="2" fontId="0" fillId="3" borderId="3" xfId="0" applyNumberFormat="1" applyFill="1" applyBorder="1"/>
    <xf numFmtId="14" fontId="0" fillId="0" borderId="0" xfId="0" applyNumberFormat="1"/>
    <xf numFmtId="0" fontId="0" fillId="3" borderId="2" xfId="0" applyFill="1" applyBorder="1"/>
    <xf numFmtId="14" fontId="1" fillId="2" borderId="2" xfId="0" applyNumberFormat="1" applyFont="1" applyFill="1" applyBorder="1"/>
    <xf numFmtId="14" fontId="0" fillId="3" borderId="2" xfId="0" applyNumberFormat="1" applyFill="1" applyBorder="1"/>
    <xf numFmtId="14" fontId="0" fillId="3" borderId="1" xfId="0" applyNumberFormat="1" applyFill="1" applyBorder="1"/>
    <xf numFmtId="14" fontId="0" fillId="3" borderId="3" xfId="0" applyNumberFormat="1" applyFill="1" applyBorder="1"/>
    <xf numFmtId="0" fontId="0" fillId="3" borderId="0" xfId="0" applyFill="1"/>
    <xf numFmtId="2" fontId="0" fillId="3" borderId="0" xfId="0" applyNumberFormat="1" applyFill="1"/>
    <xf numFmtId="2" fontId="0" fillId="0" borderId="0" xfId="0" applyNumberFormat="1"/>
    <xf numFmtId="10" fontId="0" fillId="0" borderId="0" xfId="0" applyNumberFormat="1"/>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14" fontId="0" fillId="0" borderId="0" xfId="0" applyNumberFormat="1" applyAlignment="1">
      <alignment horizontal="center" vertical="center"/>
    </xf>
    <xf numFmtId="1" fontId="0" fillId="0" borderId="0" xfId="0" applyNumberFormat="1" applyAlignment="1">
      <alignment horizontal="center" vertical="center"/>
    </xf>
    <xf numFmtId="0" fontId="3" fillId="0" borderId="0" xfId="0" applyFont="1" applyAlignment="1">
      <alignment vertical="center"/>
    </xf>
    <xf numFmtId="0" fontId="4" fillId="0" borderId="0" xfId="0" applyFont="1"/>
    <xf numFmtId="0" fontId="5" fillId="0" borderId="0" xfId="0" applyFont="1"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wrapText="1"/>
    </xf>
  </cellXfs>
  <cellStyles count="1">
    <cellStyle name="Normal" xfId="0" builtinId="0"/>
  </cellStyles>
  <dxfs count="173">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numFmt numFmtId="14"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numFmt numFmtId="14" formatCode="0.00%"/>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numFmt numFmtId="0" formatCode="General"/>
      <fill>
        <patternFill patternType="solid">
          <fgColor theme="9" tint="0.79998168889431442"/>
          <bgColor theme="9" tint="0.79998168889431442"/>
        </patternFill>
      </fill>
    </dxf>
    <dxf>
      <numFmt numFmtId="0" formatCode="General"/>
      <fill>
        <patternFill patternType="solid">
          <fgColor theme="9" tint="0.79998168889431442"/>
          <bgColor theme="9" tint="0.79998168889431442"/>
        </patternFill>
      </fill>
    </dxf>
    <dxf>
      <numFmt numFmtId="0" formatCode="General"/>
      <fill>
        <patternFill patternType="solid">
          <fgColor theme="9" tint="0.79998168889431442"/>
          <bgColor theme="9" tint="0.79998168889431442"/>
        </patternFill>
      </fill>
    </dxf>
    <dxf>
      <numFmt numFmtId="2" formatCode="0.00"/>
      <fill>
        <patternFill patternType="solid">
          <fgColor theme="9" tint="0.79998168889431442"/>
          <bgColor theme="9" tint="0.79998168889431442"/>
        </patternFill>
      </fill>
    </dxf>
    <dxf>
      <numFmt numFmtId="19" formatCode="m/d/yyyy"/>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numFmt numFmtId="2" formatCode="0.00"/>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81BBC4DC-3209-4A16-B041-492C1FDB7D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[Northwind2.xlsx]Sales Performance Overview!PivotTable1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 Overview'!$B$1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Performance Overview'!$A$2:$A$13</c:f>
              <c:multiLvlStrCache>
                <c:ptCount val="8"/>
                <c:lvl>
                  <c:pt idx="0">
                    <c:v>Autumn</c:v>
                  </c:pt>
                  <c:pt idx="1">
                    <c:v>Summer</c:v>
                  </c:pt>
                  <c:pt idx="2">
                    <c:v>Autumn</c:v>
                  </c:pt>
                  <c:pt idx="3">
                    <c:v>Spring</c:v>
                  </c:pt>
                  <c:pt idx="4">
                    <c:v>Summer</c:v>
                  </c:pt>
                  <c:pt idx="5">
                    <c:v>Winter</c:v>
                  </c:pt>
                  <c:pt idx="6">
                    <c:v>Spring</c:v>
                  </c:pt>
                  <c:pt idx="7">
                    <c:v>Winter</c:v>
                  </c:pt>
                </c:lvl>
                <c:lvl>
                  <c:pt idx="0">
                    <c:v>1996</c:v>
                  </c:pt>
                  <c:pt idx="2">
                    <c:v>1997</c:v>
                  </c:pt>
                  <c:pt idx="6">
                    <c:v>1998</c:v>
                  </c:pt>
                </c:lvl>
              </c:multiLvlStrCache>
            </c:multiLvlStrRef>
          </c:cat>
          <c:val>
            <c:numRef>
              <c:f>'Sales Performance Overview'!$B$2:$B$13</c:f>
              <c:numCache>
                <c:formatCode>0</c:formatCode>
                <c:ptCount val="8"/>
                <c:pt idx="0">
                  <c:v>128355.39982304235</c:v>
                </c:pt>
                <c:pt idx="1">
                  <c:v>79728.569931586069</c:v>
                </c:pt>
                <c:pt idx="2">
                  <c:v>181681.46336578243</c:v>
                </c:pt>
                <c:pt idx="3">
                  <c:v>143177.04480334494</c:v>
                </c:pt>
                <c:pt idx="4">
                  <c:v>153937.7698575375</c:v>
                </c:pt>
                <c:pt idx="5">
                  <c:v>138288.92484331725</c:v>
                </c:pt>
                <c:pt idx="6">
                  <c:v>142132.31288613079</c:v>
                </c:pt>
                <c:pt idx="7">
                  <c:v>298491.55277642794</c:v>
                </c:pt>
              </c:numCache>
            </c:numRef>
          </c:val>
          <c:extLst>
            <c:ext xmlns:c16="http://schemas.microsoft.com/office/drawing/2014/chart" uri="{C3380CC4-5D6E-409C-BE32-E72D297353CC}">
              <c16:uniqueId val="{00000000-88D9-4434-B0FB-24053CFD420A}"/>
            </c:ext>
          </c:extLst>
        </c:ser>
        <c:dLbls>
          <c:dLblPos val="outEnd"/>
          <c:showLegendKey val="0"/>
          <c:showVal val="1"/>
          <c:showCatName val="0"/>
          <c:showSerName val="0"/>
          <c:showPercent val="0"/>
          <c:showBubbleSize val="0"/>
        </c:dLbls>
        <c:gapWidth val="219"/>
        <c:overlap val="-27"/>
        <c:axId val="1818735135"/>
        <c:axId val="1818738047"/>
      </c:barChart>
      <c:catAx>
        <c:axId val="18187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8738047"/>
        <c:crosses val="autoZero"/>
        <c:auto val="1"/>
        <c:lblAlgn val="ctr"/>
        <c:lblOffset val="100"/>
        <c:noMultiLvlLbl val="0"/>
      </c:catAx>
      <c:valAx>
        <c:axId val="18187380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1873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[Northwind2.xlsx]Sales Performance Overview!PivotTable3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616551799591285E-2"/>
              <c:y val="1.1244748811556956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1526815042681665E-2"/>
                  <c:h val="4.2093825115842344E-2"/>
                </c:manualLayout>
              </c15:layout>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302650217599179E-2"/>
              <c:y val="2.8953079239980438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3.1369844257648598E-2"/>
                  <c:h val="4.0010492124263108E-2"/>
                </c:manualLayout>
              </c15:layout>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1234319876440053E-2"/>
              <c:y val="-9.5883350412836223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0511117964178361E-2"/>
                  <c:h val="3.7927159132683866E-2"/>
                </c:manualLayout>
              </c15:layout>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2974645641683974E-2"/>
              <c:y val="-5.067699299918093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263656407113177E-2"/>
              <c:y val="-2.151033111707166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6723492385630909E-2"/>
              <c:y val="-2.984366308338856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Performance Overview'!$I$1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67E3-4D13-8F7F-1CC4CE8D75A3}"/>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67E3-4D13-8F7F-1CC4CE8D75A3}"/>
              </c:ext>
            </c:extLst>
          </c:dPt>
          <c:dPt>
            <c:idx val="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67E3-4D13-8F7F-1CC4CE8D75A3}"/>
              </c:ext>
            </c:extLst>
          </c:dPt>
          <c:dPt>
            <c:idx val="1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67E3-4D13-8F7F-1CC4CE8D75A3}"/>
              </c:ext>
            </c:extLst>
          </c:dPt>
          <c:dPt>
            <c:idx val="17"/>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67E3-4D13-8F7F-1CC4CE8D75A3}"/>
              </c:ext>
            </c:extLst>
          </c:dPt>
          <c:dPt>
            <c:idx val="2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67E3-4D13-8F7F-1CC4CE8D75A3}"/>
              </c:ext>
            </c:extLst>
          </c:dPt>
          <c:dLbls>
            <c:dLbl>
              <c:idx val="5"/>
              <c:layout>
                <c:manualLayout>
                  <c:x val="-1.6723492385630909E-2"/>
                  <c:y val="-2.9843663083388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3-4D13-8F7F-1CC4CE8D75A3}"/>
                </c:ext>
              </c:extLst>
            </c:dLbl>
            <c:dLbl>
              <c:idx val="6"/>
              <c:layout>
                <c:manualLayout>
                  <c:x val="-5.4263656407113177E-2"/>
                  <c:y val="-2.15103311170716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E3-4D13-8F7F-1CC4CE8D75A3}"/>
                </c:ext>
              </c:extLst>
            </c:dLbl>
            <c:dLbl>
              <c:idx val="7"/>
              <c:layout>
                <c:manualLayout>
                  <c:x val="-4.3616551799591285E-2"/>
                  <c:y val="1.1244748811556956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1526815042681665E-2"/>
                      <c:h val="4.2093825115842344E-2"/>
                    </c:manualLayout>
                  </c15:layout>
                </c:ext>
                <c:ext xmlns:c16="http://schemas.microsoft.com/office/drawing/2014/chart" uri="{C3380CC4-5D6E-409C-BE32-E72D297353CC}">
                  <c16:uniqueId val="{00000002-67E3-4D13-8F7F-1CC4CE8D75A3}"/>
                </c:ext>
              </c:extLst>
            </c:dLbl>
            <c:dLbl>
              <c:idx val="16"/>
              <c:layout>
                <c:manualLayout>
                  <c:x val="-2.3302650217599179E-2"/>
                  <c:y val="2.8953079239980438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3.1369844257648598E-2"/>
                      <c:h val="4.0010492124263108E-2"/>
                    </c:manualLayout>
                  </c15:layout>
                </c:ext>
                <c:ext xmlns:c16="http://schemas.microsoft.com/office/drawing/2014/chart" uri="{C3380CC4-5D6E-409C-BE32-E72D297353CC}">
                  <c16:uniqueId val="{00000003-67E3-4D13-8F7F-1CC4CE8D75A3}"/>
                </c:ext>
              </c:extLst>
            </c:dLbl>
            <c:dLbl>
              <c:idx val="17"/>
              <c:layout>
                <c:manualLayout>
                  <c:x val="-3.2974645641683974E-2"/>
                  <c:y val="-5.06769929991809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E3-4D13-8F7F-1CC4CE8D75A3}"/>
                </c:ext>
              </c:extLst>
            </c:dLbl>
            <c:dLbl>
              <c:idx val="22"/>
              <c:layout>
                <c:manualLayout>
                  <c:x val="-5.1234319876440053E-2"/>
                  <c:y val="-9.5883350412836223E-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4.0511117964178361E-2"/>
                      <c:h val="3.7927159132683866E-2"/>
                    </c:manualLayout>
                  </c15:layout>
                </c:ext>
                <c:ext xmlns:c16="http://schemas.microsoft.com/office/drawing/2014/chart" uri="{C3380CC4-5D6E-409C-BE32-E72D297353CC}">
                  <c16:uniqueId val="{00000004-67E3-4D13-8F7F-1CC4CE8D75A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Performance Overview'!$H$2:$H$28</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1996</c:v>
                  </c:pt>
                  <c:pt idx="6">
                    <c:v>1997</c:v>
                  </c:pt>
                  <c:pt idx="18">
                    <c:v>1998</c:v>
                  </c:pt>
                </c:lvl>
              </c:multiLvlStrCache>
            </c:multiLvlStrRef>
          </c:cat>
          <c:val>
            <c:numRef>
              <c:f>'Sales Performance Overview'!$I$2:$I$28</c:f>
              <c:numCache>
                <c:formatCode>0.00%</c:formatCode>
                <c:ptCount val="23"/>
                <c:pt idx="0">
                  <c:v>0.13389736359495552</c:v>
                </c:pt>
                <c:pt idx="1">
                  <c:v>0.12247591689371176</c:v>
                </c:pt>
                <c:pt idx="2">
                  <c:v>0.12678247161276368</c:v>
                </c:pt>
                <c:pt idx="3">
                  <c:v>0.18029127836576173</c:v>
                </c:pt>
                <c:pt idx="4">
                  <c:v>0.21914251730634152</c:v>
                </c:pt>
                <c:pt idx="5">
                  <c:v>0.21741045222646571</c:v>
                </c:pt>
                <c:pt idx="6">
                  <c:v>9.9270035394758566E-2</c:v>
                </c:pt>
                <c:pt idx="7">
                  <c:v>6.2363567889750934E-2</c:v>
                </c:pt>
                <c:pt idx="8">
                  <c:v>6.2466608809628663E-2</c:v>
                </c:pt>
                <c:pt idx="9">
                  <c:v>8.594105348870236E-2</c:v>
                </c:pt>
                <c:pt idx="10">
                  <c:v>8.7153750694160537E-2</c:v>
                </c:pt>
                <c:pt idx="11">
                  <c:v>5.8926712679715214E-2</c:v>
                </c:pt>
                <c:pt idx="12">
                  <c:v>8.2680409796627247E-2</c:v>
                </c:pt>
                <c:pt idx="13">
                  <c:v>7.6630698205559275E-2</c:v>
                </c:pt>
                <c:pt idx="14">
                  <c:v>9.0148397981092795E-2</c:v>
                </c:pt>
                <c:pt idx="15">
                  <c:v>0.10816857322353278</c:v>
                </c:pt>
                <c:pt idx="16">
                  <c:v>7.0547484795907042E-2</c:v>
                </c:pt>
                <c:pt idx="17">
                  <c:v>0.11570270704056458</c:v>
                </c:pt>
                <c:pt idx="18">
                  <c:v>0.2138379641357071</c:v>
                </c:pt>
                <c:pt idx="19">
                  <c:v>0.22562392825994526</c:v>
                </c:pt>
                <c:pt idx="20">
                  <c:v>0.23796748907371326</c:v>
                </c:pt>
                <c:pt idx="21">
                  <c:v>0.28096227206183105</c:v>
                </c:pt>
                <c:pt idx="22">
                  <c:v>4.1608346468803466E-2</c:v>
                </c:pt>
              </c:numCache>
            </c:numRef>
          </c:val>
          <c:smooth val="0"/>
          <c:extLst>
            <c:ext xmlns:c16="http://schemas.microsoft.com/office/drawing/2014/chart" uri="{C3380CC4-5D6E-409C-BE32-E72D297353CC}">
              <c16:uniqueId val="{00000000-67E3-4D13-8F7F-1CC4CE8D75A3}"/>
            </c:ext>
          </c:extLst>
        </c:ser>
        <c:dLbls>
          <c:dLblPos val="t"/>
          <c:showLegendKey val="0"/>
          <c:showVal val="1"/>
          <c:showCatName val="0"/>
          <c:showSerName val="0"/>
          <c:showPercent val="0"/>
          <c:showBubbleSize val="0"/>
        </c:dLbls>
        <c:marker val="1"/>
        <c:smooth val="0"/>
        <c:axId val="204381839"/>
        <c:axId val="204380175"/>
      </c:lineChart>
      <c:catAx>
        <c:axId val="20438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4380175"/>
        <c:crosses val="autoZero"/>
        <c:auto val="1"/>
        <c:lblAlgn val="ctr"/>
        <c:lblOffset val="100"/>
        <c:noMultiLvlLbl val="0"/>
      </c:catAx>
      <c:valAx>
        <c:axId val="20438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438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[Northwind2.xlsx]Sales Key Insights!PivotTable15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Key Insights'!$B$1</c:f>
              <c:strCache>
                <c:ptCount val="1"/>
                <c:pt idx="0">
                  <c:v>Total</c:v>
                </c:pt>
              </c:strCache>
            </c:strRef>
          </c:tx>
          <c:spPr>
            <a:solidFill>
              <a:schemeClr val="accent1"/>
            </a:solidFill>
            <a:ln>
              <a:noFill/>
            </a:ln>
            <a:effectLst/>
          </c:spPr>
          <c:invertIfNegative val="0"/>
          <c:cat>
            <c:strRef>
              <c:f>'Sales Key Insights'!$A$2:$A$79</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Flotemysost</c:v>
                </c:pt>
                <c:pt idx="20">
                  <c:v>Boston Crab Meat</c:v>
                </c:pt>
                <c:pt idx="21">
                  <c:v>Pâté chinois</c:v>
                </c:pt>
                <c:pt idx="22">
                  <c:v>Pavlova</c:v>
                </c:pt>
                <c:pt idx="23">
                  <c:v>Vegie-spread</c:v>
                </c:pt>
                <c:pt idx="24">
                  <c:v>Chang</c:v>
                </c:pt>
                <c:pt idx="25">
                  <c:v>Lakkalikööri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Knäckebröd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Guaraná Fantástica</c:v>
                </c:pt>
                <c:pt idx="63">
                  <c:v>Rogede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'Sales Key Insights'!$B$2:$B$79</c:f>
              <c:numCache>
                <c:formatCode>0</c:formatCode>
                <c:ptCount val="77"/>
                <c:pt idx="0">
                  <c:v>141396.73490344844</c:v>
                </c:pt>
                <c:pt idx="1">
                  <c:v>80368.671974514058</c:v>
                </c:pt>
                <c:pt idx="2">
                  <c:v>71155.699909429997</c:v>
                </c:pt>
                <c:pt idx="3">
                  <c:v>47234.969954013832</c:v>
                </c:pt>
                <c:pt idx="4">
                  <c:v>46825.47995301932</c:v>
                </c:pt>
                <c:pt idx="5">
                  <c:v>42593.05996068567</c:v>
                </c:pt>
                <c:pt idx="6">
                  <c:v>41819.649953996392</c:v>
                </c:pt>
                <c:pt idx="7">
                  <c:v>32698.379980891943</c:v>
                </c:pt>
                <c:pt idx="8">
                  <c:v>29171.874963399023</c:v>
                </c:pt>
                <c:pt idx="9">
                  <c:v>25696.639981058237</c:v>
                </c:pt>
                <c:pt idx="10">
                  <c:v>24900.129985374209</c:v>
                </c:pt>
                <c:pt idx="11">
                  <c:v>23526.699973952767</c:v>
                </c:pt>
                <c:pt idx="12">
                  <c:v>22563.359987036885</c:v>
                </c:pt>
                <c:pt idx="13">
                  <c:v>22044.299987822771</c:v>
                </c:pt>
                <c:pt idx="14">
                  <c:v>21957.967488128692</c:v>
                </c:pt>
                <c:pt idx="15">
                  <c:v>21942.359974148869</c:v>
                </c:pt>
                <c:pt idx="16">
                  <c:v>20867.339966019987</c:v>
                </c:pt>
                <c:pt idx="17">
                  <c:v>20574.169984588028</c:v>
                </c:pt>
                <c:pt idx="18">
                  <c:v>19849.144466497492</c:v>
                </c:pt>
                <c:pt idx="19">
                  <c:v>19551.024983853102</c:v>
                </c:pt>
                <c:pt idx="20">
                  <c:v>17910.629981672762</c:v>
                </c:pt>
                <c:pt idx="21">
                  <c:v>17426.399969297647</c:v>
                </c:pt>
                <c:pt idx="22">
                  <c:v>17215.775470547378</c:v>
                </c:pt>
                <c:pt idx="23">
                  <c:v>16701.094979286194</c:v>
                </c:pt>
                <c:pt idx="24">
                  <c:v>16355.959973822533</c:v>
                </c:pt>
                <c:pt idx="25">
                  <c:v>15760.439977222681</c:v>
                </c:pt>
                <c:pt idx="26">
                  <c:v>15099.875</c:v>
                </c:pt>
                <c:pt idx="27">
                  <c:v>14920.874979393557</c:v>
                </c:pt>
                <c:pt idx="28">
                  <c:v>14352.599963817</c:v>
                </c:pt>
                <c:pt idx="29">
                  <c:v>13869.889985724909</c:v>
                </c:pt>
                <c:pt idx="30">
                  <c:v>13643.999983209371</c:v>
                </c:pt>
                <c:pt idx="31">
                  <c:v>13458.459991064668</c:v>
                </c:pt>
                <c:pt idx="32">
                  <c:v>13424.197493786553</c:v>
                </c:pt>
                <c:pt idx="33">
                  <c:v>12901.769987989963</c:v>
                </c:pt>
                <c:pt idx="34">
                  <c:v>12788.099980956316</c:v>
                </c:pt>
                <c:pt idx="35">
                  <c:v>12771.999989151955</c:v>
                </c:pt>
                <c:pt idx="36">
                  <c:v>12294.539985296131</c:v>
                </c:pt>
                <c:pt idx="37">
                  <c:v>12257.659983703494</c:v>
                </c:pt>
                <c:pt idx="38">
                  <c:v>10672.649988468736</c:v>
                </c:pt>
                <c:pt idx="39">
                  <c:v>9915.9449908241641</c:v>
                </c:pt>
                <c:pt idx="40">
                  <c:v>9244.5999931544065</c:v>
                </c:pt>
                <c:pt idx="41">
                  <c:v>9171.6299937255681</c:v>
                </c:pt>
                <c:pt idx="42">
                  <c:v>9103.9999909102917</c:v>
                </c:pt>
                <c:pt idx="43">
                  <c:v>8713.9999961853027</c:v>
                </c:pt>
                <c:pt idx="44">
                  <c:v>8680.3449947750214</c:v>
                </c:pt>
                <c:pt idx="45">
                  <c:v>8574.9999880880114</c:v>
                </c:pt>
                <c:pt idx="46">
                  <c:v>8567.8999876409762</c:v>
                </c:pt>
                <c:pt idx="47">
                  <c:v>8404.1599857091896</c:v>
                </c:pt>
                <c:pt idx="48">
                  <c:v>8177.4899923272433</c:v>
                </c:pt>
                <c:pt idx="49">
                  <c:v>7991.4899937621321</c:v>
                </c:pt>
                <c:pt idx="50">
                  <c:v>7661.5499988377096</c:v>
                </c:pt>
                <c:pt idx="51">
                  <c:v>7226.4999884366989</c:v>
                </c:pt>
                <c:pt idx="52">
                  <c:v>7136.9999987818301</c:v>
                </c:pt>
                <c:pt idx="53">
                  <c:v>7122.3599999248981</c:v>
                </c:pt>
                <c:pt idx="54">
                  <c:v>6350.3999925106764</c:v>
                </c:pt>
                <c:pt idx="55">
                  <c:v>5882.9999949127432</c:v>
                </c:pt>
                <c:pt idx="56">
                  <c:v>5881.6749898120761</c:v>
                </c:pt>
                <c:pt idx="57">
                  <c:v>5862.6199964612715</c:v>
                </c:pt>
                <c:pt idx="58">
                  <c:v>5347.1999956216659</c:v>
                </c:pt>
                <c:pt idx="59">
                  <c:v>4960.4399913579227</c:v>
                </c:pt>
                <c:pt idx="60">
                  <c:v>4728.2374943185605</c:v>
                </c:pt>
                <c:pt idx="61">
                  <c:v>4601.6999943673609</c:v>
                </c:pt>
                <c:pt idx="62">
                  <c:v>4504.36499684304</c:v>
                </c:pt>
                <c:pt idx="63">
                  <c:v>4338.1749890502542</c:v>
                </c:pt>
                <c:pt idx="64">
                  <c:v>3997.1999941952527</c:v>
                </c:pt>
                <c:pt idx="65">
                  <c:v>3958.0799989156426</c:v>
                </c:pt>
                <c:pt idx="66">
                  <c:v>3704.3999965265393</c:v>
                </c:pt>
                <c:pt idx="67">
                  <c:v>3437.6874989224598</c:v>
                </c:pt>
                <c:pt idx="68">
                  <c:v>3382.9999949336052</c:v>
                </c:pt>
                <c:pt idx="69">
                  <c:v>3232.9499978564681</c:v>
                </c:pt>
                <c:pt idx="70">
                  <c:v>3043.9999994635582</c:v>
                </c:pt>
                <c:pt idx="71">
                  <c:v>2688.3999946534632</c:v>
                </c:pt>
                <c:pt idx="72">
                  <c:v>2432.4999990463257</c:v>
                </c:pt>
                <c:pt idx="73">
                  <c:v>2396.7999956607819</c:v>
                </c:pt>
                <c:pt idx="74">
                  <c:v>1784.8249995727092</c:v>
                </c:pt>
                <c:pt idx="75">
                  <c:v>1648.1249991375953</c:v>
                </c:pt>
                <c:pt idx="76">
                  <c:v>1368.7124936543405</c:v>
                </c:pt>
              </c:numCache>
            </c:numRef>
          </c:val>
          <c:extLst>
            <c:ext xmlns:c16="http://schemas.microsoft.com/office/drawing/2014/chart" uri="{C3380CC4-5D6E-409C-BE32-E72D297353CC}">
              <c16:uniqueId val="{00000000-8609-4F14-9DA6-977647BD3D2B}"/>
            </c:ext>
          </c:extLst>
        </c:ser>
        <c:dLbls>
          <c:showLegendKey val="0"/>
          <c:showVal val="0"/>
          <c:showCatName val="0"/>
          <c:showSerName val="0"/>
          <c:showPercent val="0"/>
          <c:showBubbleSize val="0"/>
        </c:dLbls>
        <c:gapWidth val="182"/>
        <c:axId val="209360911"/>
        <c:axId val="209350095"/>
      </c:barChart>
      <c:catAx>
        <c:axId val="209360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0095"/>
        <c:crosses val="autoZero"/>
        <c:auto val="1"/>
        <c:lblAlgn val="ctr"/>
        <c:lblOffset val="100"/>
        <c:noMultiLvlLbl val="0"/>
      </c:catAx>
      <c:valAx>
        <c:axId val="2093500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0936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[Northwind2.xlsx]Sales Key Insights!PivotTable16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Key Insights'!$I$1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Key Insights'!$H$2:$H$10</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'Sales Key Insights'!$I$2:$I$10</c:f>
              <c:numCache>
                <c:formatCode>0.00%</c:formatCode>
                <c:ptCount val="8"/>
                <c:pt idx="0">
                  <c:v>0.21162083503491957</c:v>
                </c:pt>
                <c:pt idx="1">
                  <c:v>8.3779165843765172E-2</c:v>
                </c:pt>
                <c:pt idx="2">
                  <c:v>0.13221531465308758</c:v>
                </c:pt>
                <c:pt idx="3">
                  <c:v>0.18526510863030743</c:v>
                </c:pt>
                <c:pt idx="4">
                  <c:v>7.5640001589396738E-2</c:v>
                </c:pt>
                <c:pt idx="5">
                  <c:v>0.12879069046914934</c:v>
                </c:pt>
                <c:pt idx="6">
                  <c:v>7.8989674371239868E-2</c:v>
                </c:pt>
                <c:pt idx="7">
                  <c:v>0.1036992094081343</c:v>
                </c:pt>
              </c:numCache>
            </c:numRef>
          </c:val>
          <c:extLst>
            <c:ext xmlns:c16="http://schemas.microsoft.com/office/drawing/2014/chart" uri="{C3380CC4-5D6E-409C-BE32-E72D297353CC}">
              <c16:uniqueId val="{00000000-9F48-4DC0-9C11-9EE5A09B26B2}"/>
            </c:ext>
          </c:extLst>
        </c:ser>
        <c:dLbls>
          <c:dLblPos val="outEnd"/>
          <c:showLegendKey val="0"/>
          <c:showVal val="1"/>
          <c:showCatName val="0"/>
          <c:showSerName val="0"/>
          <c:showPercent val="0"/>
          <c:showBubbleSize val="0"/>
        </c:dLbls>
        <c:gapWidth val="219"/>
        <c:overlap val="-27"/>
        <c:axId val="1810604015"/>
        <c:axId val="1810600687"/>
      </c:barChart>
      <c:catAx>
        <c:axId val="181060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10600687"/>
        <c:crosses val="autoZero"/>
        <c:auto val="1"/>
        <c:lblAlgn val="ctr"/>
        <c:lblOffset val="100"/>
        <c:noMultiLvlLbl val="0"/>
      </c:catAx>
      <c:valAx>
        <c:axId val="1810600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1060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[Northwind2.xlsx]Sales Key Insights!PivotTable16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Key Insights'!$I$1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CC-41DD-B930-23EB3E13B0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CC-41DD-B930-23EB3E13B0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CC-41DD-B930-23EB3E13B0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CC-41DD-B930-23EB3E13B0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CC-41DD-B930-23EB3E13B01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3CC-41DD-B930-23EB3E13B01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3CC-41DD-B930-23EB3E13B01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3CC-41DD-B930-23EB3E13B015}"/>
              </c:ext>
            </c:extLst>
          </c:dPt>
          <c:cat>
            <c:strRef>
              <c:f>'Sales Key Insights'!$H$2:$H$10</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'Sales Key Insights'!$I$2:$I$10</c:f>
              <c:numCache>
                <c:formatCode>0.00%</c:formatCode>
                <c:ptCount val="8"/>
                <c:pt idx="0">
                  <c:v>0.21162083503491957</c:v>
                </c:pt>
                <c:pt idx="1">
                  <c:v>8.3779165843765172E-2</c:v>
                </c:pt>
                <c:pt idx="2">
                  <c:v>0.13221531465308758</c:v>
                </c:pt>
                <c:pt idx="3">
                  <c:v>0.18526510863030743</c:v>
                </c:pt>
                <c:pt idx="4">
                  <c:v>7.5640001589396738E-2</c:v>
                </c:pt>
                <c:pt idx="5">
                  <c:v>0.12879069046914934</c:v>
                </c:pt>
                <c:pt idx="6">
                  <c:v>7.8989674371239868E-2</c:v>
                </c:pt>
                <c:pt idx="7">
                  <c:v>0.1036992094081343</c:v>
                </c:pt>
              </c:numCache>
            </c:numRef>
          </c:val>
          <c:extLst>
            <c:ext xmlns:c16="http://schemas.microsoft.com/office/drawing/2014/chart" uri="{C3380CC4-5D6E-409C-BE32-E72D297353CC}">
              <c16:uniqueId val="{00000000-3A12-41E8-8C82-0307B9A5C4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[Northwind2.xlsx]Sales Key Insights!PivotTable17</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'Sales Key Insights'!$N$1</c:f>
              <c:strCache>
                <c:ptCount val="1"/>
                <c:pt idx="0">
                  <c:v>Sum of Sales Amount</c:v>
                </c:pt>
              </c:strCache>
            </c:strRef>
          </c:tx>
          <c:spPr>
            <a:solidFill>
              <a:schemeClr val="accent2"/>
            </a:solidFill>
            <a:ln>
              <a:noFill/>
            </a:ln>
            <a:effectLst/>
          </c:spPr>
          <c:invertIfNegative val="0"/>
          <c:cat>
            <c:strRef>
              <c:f>'Sales Key Insights'!$L$2:$L$90</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'Sales Key Insights'!$N$2:$N$90</c:f>
              <c:numCache>
                <c:formatCode>0</c:formatCode>
                <c:ptCount val="89"/>
                <c:pt idx="0">
                  <c:v>4272.9999992296098</c:v>
                </c:pt>
                <c:pt idx="1">
                  <c:v>1402.95</c:v>
                </c:pt>
                <c:pt idx="2">
                  <c:v>7023.9774858303363</c:v>
                </c:pt>
                <c:pt idx="3">
                  <c:v>13390.64999223873</c:v>
                </c:pt>
                <c:pt idx="4">
                  <c:v>24927.577488892151</c:v>
                </c:pt>
                <c:pt idx="5">
                  <c:v>3239.8</c:v>
                </c:pt>
                <c:pt idx="6">
                  <c:v>18534.079984816912</c:v>
                </c:pt>
                <c:pt idx="7">
                  <c:v>4232.8499991655353</c:v>
                </c:pt>
                <c:pt idx="8">
                  <c:v>21963.252474311179</c:v>
                </c:pt>
                <c:pt idx="9">
                  <c:v>20801.599995730816</c:v>
                </c:pt>
                <c:pt idx="10">
                  <c:v>6089.9</c:v>
                </c:pt>
                <c:pt idx="11">
                  <c:v>1814.8</c:v>
                </c:pt>
                <c:pt idx="12">
                  <c:v>100.8</c:v>
                </c:pt>
                <c:pt idx="13">
                  <c:v>12348.879984985291</c:v>
                </c:pt>
                <c:pt idx="14">
                  <c:v>3810.75</c:v>
                </c:pt>
                <c:pt idx="15">
                  <c:v>1719.1</c:v>
                </c:pt>
                <c:pt idx="16">
                  <c:v>3763.21</c:v>
                </c:pt>
                <c:pt idx="17">
                  <c:v>1615.8999999999999</c:v>
                </c:pt>
                <c:pt idx="18">
                  <c:v>14761.035</c:v>
                </c:pt>
                <c:pt idx="19">
                  <c:v>104874.97835350106</c:v>
                </c:pt>
                <c:pt idx="20">
                  <c:v>4107.5499899394817</c:v>
                </c:pt>
                <c:pt idx="21">
                  <c:v>11666.9</c:v>
                </c:pt>
                <c:pt idx="22">
                  <c:v>29567.562475292383</c:v>
                </c:pt>
                <c:pt idx="23">
                  <c:v>26656.559465046153</c:v>
                </c:pt>
                <c:pt idx="24">
                  <c:v>3172.16</c:v>
                </c:pt>
                <c:pt idx="25">
                  <c:v>1545.7</c:v>
                </c:pt>
                <c:pt idx="26">
                  <c:v>6427.4224777914587</c:v>
                </c:pt>
                <c:pt idx="27">
                  <c:v>836.7</c:v>
                </c:pt>
                <c:pt idx="28">
                  <c:v>11446.359995555878</c:v>
                </c:pt>
                <c:pt idx="29">
                  <c:v>8414.1349921560286</c:v>
                </c:pt>
                <c:pt idx="30">
                  <c:v>18507.449976839351</c:v>
                </c:pt>
                <c:pt idx="31">
                  <c:v>1488.7</c:v>
                </c:pt>
                <c:pt idx="32">
                  <c:v>32841.369978135823</c:v>
                </c:pt>
                <c:pt idx="33">
                  <c:v>22768.763985675276</c:v>
                </c:pt>
                <c:pt idx="34">
                  <c:v>3063.2</c:v>
                </c:pt>
                <c:pt idx="35">
                  <c:v>49979.904946340779</c:v>
                </c:pt>
                <c:pt idx="36">
                  <c:v>6146.3</c:v>
                </c:pt>
                <c:pt idx="37">
                  <c:v>30908.383968844264</c:v>
                </c:pt>
                <c:pt idx="38">
                  <c:v>1992.0500000000002</c:v>
                </c:pt>
                <c:pt idx="39">
                  <c:v>9328.1999892055974</c:v>
                </c:pt>
                <c:pt idx="40">
                  <c:v>522.5</c:v>
                </c:pt>
                <c:pt idx="41">
                  <c:v>357</c:v>
                </c:pt>
                <c:pt idx="42">
                  <c:v>19261.409976339044</c:v>
                </c:pt>
                <c:pt idx="43">
                  <c:v>3076.4724980311098</c:v>
                </c:pt>
                <c:pt idx="44">
                  <c:v>16076.59996958792</c:v>
                </c:pt>
                <c:pt idx="45">
                  <c:v>16476.564986549318</c:v>
                </c:pt>
                <c:pt idx="46">
                  <c:v>4258.6000000000004</c:v>
                </c:pt>
                <c:pt idx="47">
                  <c:v>7176.2149868104607</c:v>
                </c:pt>
                <c:pt idx="48">
                  <c:v>9736.0749905127286</c:v>
                </c:pt>
                <c:pt idx="49">
                  <c:v>28872.189950353655</c:v>
                </c:pt>
                <c:pt idx="50">
                  <c:v>5042.2</c:v>
                </c:pt>
                <c:pt idx="51">
                  <c:v>649</c:v>
                </c:pt>
                <c:pt idx="52">
                  <c:v>3460.2</c:v>
                </c:pt>
                <c:pt idx="53">
                  <c:v>15177.462481805682</c:v>
                </c:pt>
                <c:pt idx="54">
                  <c:v>12496.199990973622</c:v>
                </c:pt>
                <c:pt idx="55">
                  <c:v>4242.2</c:v>
                </c:pt>
                <c:pt idx="56">
                  <c:v>23128.859954281896</c:v>
                </c:pt>
                <c:pt idx="57">
                  <c:v>5044.9399945020668</c:v>
                </c:pt>
                <c:pt idx="58">
                  <c:v>6664.8099934379761</c:v>
                </c:pt>
                <c:pt idx="59">
                  <c:v>25717.497473042273</c:v>
                </c:pt>
                <c:pt idx="60">
                  <c:v>110277.30488350891</c:v>
                </c:pt>
                <c:pt idx="61">
                  <c:v>2844.1</c:v>
                </c:pt>
                <c:pt idx="62">
                  <c:v>51097.800487737819</c:v>
                </c:pt>
                <c:pt idx="63">
                  <c:v>7048.2399923354387</c:v>
                </c:pt>
                <c:pt idx="64">
                  <c:v>12450.799992033839</c:v>
                </c:pt>
                <c:pt idx="65">
                  <c:v>19343.778986605037</c:v>
                </c:pt>
                <c:pt idx="66">
                  <c:v>1467.29</c:v>
                </c:pt>
                <c:pt idx="67">
                  <c:v>5735.1500000000005</c:v>
                </c:pt>
                <c:pt idx="68">
                  <c:v>104361.94986812414</c:v>
                </c:pt>
                <c:pt idx="69">
                  <c:v>16215.324978799745</c:v>
                </c:pt>
                <c:pt idx="70">
                  <c:v>16817.097494864836</c:v>
                </c:pt>
                <c:pt idx="71">
                  <c:v>2423.35</c:v>
                </c:pt>
                <c:pt idx="72">
                  <c:v>11441.62998642102</c:v>
                </c:pt>
                <c:pt idx="73">
                  <c:v>24088.779984229801</c:v>
                </c:pt>
                <c:pt idx="74">
                  <c:v>3361</c:v>
                </c:pt>
                <c:pt idx="75">
                  <c:v>1947.24</c:v>
                </c:pt>
                <c:pt idx="76">
                  <c:v>4778.1399979010221</c:v>
                </c:pt>
                <c:pt idx="77">
                  <c:v>10812.15</c:v>
                </c:pt>
                <c:pt idx="78">
                  <c:v>6850.6639931461214</c:v>
                </c:pt>
                <c:pt idx="79">
                  <c:v>1571.1999999999998</c:v>
                </c:pt>
                <c:pt idx="80">
                  <c:v>15843.924988323077</c:v>
                </c:pt>
                <c:pt idx="81">
                  <c:v>9182.429981769621</c:v>
                </c:pt>
                <c:pt idx="82">
                  <c:v>1480</c:v>
                </c:pt>
                <c:pt idx="83">
                  <c:v>9588.4249888155609</c:v>
                </c:pt>
                <c:pt idx="84">
                  <c:v>15648.702469434587</c:v>
                </c:pt>
                <c:pt idx="85">
                  <c:v>6068.1999952204533</c:v>
                </c:pt>
                <c:pt idx="86">
                  <c:v>27363.604972146451</c:v>
                </c:pt>
                <c:pt idx="87">
                  <c:v>3161.35</c:v>
                </c:pt>
                <c:pt idx="88">
                  <c:v>3531.95</c:v>
                </c:pt>
              </c:numCache>
            </c:numRef>
          </c:val>
          <c:extLst>
            <c:ext xmlns:c16="http://schemas.microsoft.com/office/drawing/2014/chart" uri="{C3380CC4-5D6E-409C-BE32-E72D297353CC}">
              <c16:uniqueId val="{00000000-7F0D-462B-AC2A-9B167E23296F}"/>
            </c:ext>
          </c:extLst>
        </c:ser>
        <c:dLbls>
          <c:showLegendKey val="0"/>
          <c:showVal val="0"/>
          <c:showCatName val="0"/>
          <c:showSerName val="0"/>
          <c:showPercent val="0"/>
          <c:showBubbleSize val="0"/>
        </c:dLbls>
        <c:gapWidth val="219"/>
        <c:axId val="1812010847"/>
        <c:axId val="1812006271"/>
      </c:barChart>
      <c:lineChart>
        <c:grouping val="standard"/>
        <c:varyColors val="0"/>
        <c:ser>
          <c:idx val="0"/>
          <c:order val="0"/>
          <c:tx>
            <c:strRef>
              <c:f>'Sales Key Insights'!$M$1</c:f>
              <c:strCache>
                <c:ptCount val="1"/>
                <c:pt idx="0">
                  <c:v>Count of OrderID</c:v>
                </c:pt>
              </c:strCache>
            </c:strRef>
          </c:tx>
          <c:spPr>
            <a:ln w="28575" cap="rnd">
              <a:solidFill>
                <a:schemeClr val="accent1"/>
              </a:solidFill>
              <a:round/>
            </a:ln>
            <a:effectLst/>
          </c:spPr>
          <c:marker>
            <c:symbol val="none"/>
          </c:marker>
          <c:cat>
            <c:strRef>
              <c:f>'Sales Key Insights'!$L$2:$L$90</c:f>
              <c:strCache>
                <c:ptCount val="89"/>
                <c:pt idx="0">
                  <c:v>ALFKI</c:v>
                </c:pt>
                <c:pt idx="1">
                  <c:v>ANATR</c:v>
                </c:pt>
                <c:pt idx="2">
                  <c:v>ANTON</c:v>
                </c:pt>
                <c:pt idx="3">
                  <c:v>AROUT</c:v>
                </c:pt>
                <c:pt idx="4">
                  <c:v>BERGS</c:v>
                </c:pt>
                <c:pt idx="5">
                  <c:v>BLAUS</c:v>
                </c:pt>
                <c:pt idx="6">
                  <c:v>BLONP</c:v>
                </c:pt>
                <c:pt idx="7">
                  <c:v>BOLID</c:v>
                </c:pt>
                <c:pt idx="8">
                  <c:v>BONAP</c:v>
                </c:pt>
                <c:pt idx="9">
                  <c:v>BOTTM</c:v>
                </c:pt>
                <c:pt idx="10">
                  <c:v>BSBEV</c:v>
                </c:pt>
                <c:pt idx="11">
                  <c:v>CACTU</c:v>
                </c:pt>
                <c:pt idx="12">
                  <c:v>CENTC</c:v>
                </c:pt>
                <c:pt idx="13">
                  <c:v>CHOPS</c:v>
                </c:pt>
                <c:pt idx="14">
                  <c:v>COMMI</c:v>
                </c:pt>
                <c:pt idx="15">
                  <c:v>CONSH</c:v>
                </c:pt>
                <c:pt idx="16">
                  <c:v>DRACD</c:v>
                </c:pt>
                <c:pt idx="17">
                  <c:v>DUMON</c:v>
                </c:pt>
                <c:pt idx="18">
                  <c:v>EASTC</c:v>
                </c:pt>
                <c:pt idx="19">
                  <c:v>ERNSH</c:v>
                </c:pt>
                <c:pt idx="20">
                  <c:v>FAMIA</c:v>
                </c:pt>
                <c:pt idx="21">
                  <c:v>FOLIG</c:v>
                </c:pt>
                <c:pt idx="22">
                  <c:v>FOLKO</c:v>
                </c:pt>
                <c:pt idx="23">
                  <c:v>FRANK</c:v>
                </c:pt>
                <c:pt idx="24">
                  <c:v>FRANR</c:v>
                </c:pt>
                <c:pt idx="25">
                  <c:v>FRANS</c:v>
                </c:pt>
                <c:pt idx="26">
                  <c:v>FURIB</c:v>
                </c:pt>
                <c:pt idx="27">
                  <c:v>GALED</c:v>
                </c:pt>
                <c:pt idx="28">
                  <c:v>GODOS</c:v>
                </c:pt>
                <c:pt idx="29">
                  <c:v>GOURL</c:v>
                </c:pt>
                <c:pt idx="30">
                  <c:v>GREAL</c:v>
                </c:pt>
                <c:pt idx="31">
                  <c:v>GROSR</c:v>
                </c:pt>
                <c:pt idx="32">
                  <c:v>HANAR</c:v>
                </c:pt>
                <c:pt idx="33">
                  <c:v>HILAA</c:v>
                </c:pt>
                <c:pt idx="34">
                  <c:v>HUNGC</c:v>
                </c:pt>
                <c:pt idx="35">
                  <c:v>HUNGO</c:v>
                </c:pt>
                <c:pt idx="36">
                  <c:v>ISLAT</c:v>
                </c:pt>
                <c:pt idx="37">
                  <c:v>KOENE</c:v>
                </c:pt>
                <c:pt idx="38">
                  <c:v>LACOR</c:v>
                </c:pt>
                <c:pt idx="39">
                  <c:v>LAMAI</c:v>
                </c:pt>
                <c:pt idx="40">
                  <c:v>LAUGB</c:v>
                </c:pt>
                <c:pt idx="41">
                  <c:v>LAZYK</c:v>
                </c:pt>
                <c:pt idx="42">
                  <c:v>LEHMS</c:v>
                </c:pt>
                <c:pt idx="43">
                  <c:v>LETSS</c:v>
                </c:pt>
                <c:pt idx="44">
                  <c:v>LILAS</c:v>
                </c:pt>
                <c:pt idx="45">
                  <c:v>LINOD</c:v>
                </c:pt>
                <c:pt idx="46">
                  <c:v>LONEP</c:v>
                </c:pt>
                <c:pt idx="47">
                  <c:v>MAGAA</c:v>
                </c:pt>
                <c:pt idx="48">
                  <c:v>MAISD</c:v>
                </c:pt>
                <c:pt idx="49">
                  <c:v>MEREP</c:v>
                </c:pt>
                <c:pt idx="50">
                  <c:v>MORGK</c:v>
                </c:pt>
                <c:pt idx="51">
                  <c:v>NORTS</c:v>
                </c:pt>
                <c:pt idx="52">
                  <c:v>OCEAN</c:v>
                </c:pt>
                <c:pt idx="53">
                  <c:v>OLDWO</c:v>
                </c:pt>
                <c:pt idx="54">
                  <c:v>OTTIK</c:v>
                </c:pt>
                <c:pt idx="55">
                  <c:v>PERIC</c:v>
                </c:pt>
                <c:pt idx="56">
                  <c:v>PICCO</c:v>
                </c:pt>
                <c:pt idx="57">
                  <c:v>PRINI</c:v>
                </c:pt>
                <c:pt idx="58">
                  <c:v>QUEDE</c:v>
                </c:pt>
                <c:pt idx="59">
                  <c:v>QUEEN</c:v>
                </c:pt>
                <c:pt idx="60">
                  <c:v>QUICK</c:v>
                </c:pt>
                <c:pt idx="61">
                  <c:v>RANCH</c:v>
                </c:pt>
                <c:pt idx="62">
                  <c:v>RATTC</c:v>
                </c:pt>
                <c:pt idx="63">
                  <c:v>REGGC</c:v>
                </c:pt>
                <c:pt idx="64">
                  <c:v>RICAR</c:v>
                </c:pt>
                <c:pt idx="65">
                  <c:v>RICSU</c:v>
                </c:pt>
                <c:pt idx="66">
                  <c:v>ROMEY</c:v>
                </c:pt>
                <c:pt idx="67">
                  <c:v>SANTG</c:v>
                </c:pt>
                <c:pt idx="68">
                  <c:v>SAVEA</c:v>
                </c:pt>
                <c:pt idx="69">
                  <c:v>SEVES</c:v>
                </c:pt>
                <c:pt idx="70">
                  <c:v>SIMOB</c:v>
                </c:pt>
                <c:pt idx="71">
                  <c:v>SPECD</c:v>
                </c:pt>
                <c:pt idx="72">
                  <c:v>SPLIR</c:v>
                </c:pt>
                <c:pt idx="73">
                  <c:v>SUPRD</c:v>
                </c:pt>
                <c:pt idx="74">
                  <c:v>THEBI</c:v>
                </c:pt>
                <c:pt idx="75">
                  <c:v>THECR</c:v>
                </c:pt>
                <c:pt idx="76">
                  <c:v>TOMSP</c:v>
                </c:pt>
                <c:pt idx="77">
                  <c:v>TORTU</c:v>
                </c:pt>
                <c:pt idx="78">
                  <c:v>TRADH</c:v>
                </c:pt>
                <c:pt idx="79">
                  <c:v>TRAIH</c:v>
                </c:pt>
                <c:pt idx="80">
                  <c:v>VAFFE</c:v>
                </c:pt>
                <c:pt idx="81">
                  <c:v>VICTE</c:v>
                </c:pt>
                <c:pt idx="82">
                  <c:v>VINET</c:v>
                </c:pt>
                <c:pt idx="83">
                  <c:v>WANDK</c:v>
                </c:pt>
                <c:pt idx="84">
                  <c:v>WARTH</c:v>
                </c:pt>
                <c:pt idx="85">
                  <c:v>WELLI</c:v>
                </c:pt>
                <c:pt idx="86">
                  <c:v>WHITC</c:v>
                </c:pt>
                <c:pt idx="87">
                  <c:v>WILMK</c:v>
                </c:pt>
                <c:pt idx="88">
                  <c:v>WOLZA</c:v>
                </c:pt>
              </c:strCache>
            </c:strRef>
          </c:cat>
          <c:val>
            <c:numRef>
              <c:f>'Sales Key Insights'!$M$2:$M$90</c:f>
              <c:numCache>
                <c:formatCode>General</c:formatCode>
                <c:ptCount val="89"/>
                <c:pt idx="0">
                  <c:v>12</c:v>
                </c:pt>
                <c:pt idx="1">
                  <c:v>10</c:v>
                </c:pt>
                <c:pt idx="2">
                  <c:v>17</c:v>
                </c:pt>
                <c:pt idx="3">
                  <c:v>30</c:v>
                </c:pt>
                <c:pt idx="4">
                  <c:v>52</c:v>
                </c:pt>
                <c:pt idx="5">
                  <c:v>14</c:v>
                </c:pt>
                <c:pt idx="6">
                  <c:v>26</c:v>
                </c:pt>
                <c:pt idx="7">
                  <c:v>6</c:v>
                </c:pt>
                <c:pt idx="8">
                  <c:v>44</c:v>
                </c:pt>
                <c:pt idx="9">
                  <c:v>35</c:v>
                </c:pt>
                <c:pt idx="10">
                  <c:v>22</c:v>
                </c:pt>
                <c:pt idx="11">
                  <c:v>11</c:v>
                </c:pt>
                <c:pt idx="12">
                  <c:v>2</c:v>
                </c:pt>
                <c:pt idx="13">
                  <c:v>22</c:v>
                </c:pt>
                <c:pt idx="14">
                  <c:v>10</c:v>
                </c:pt>
                <c:pt idx="15">
                  <c:v>7</c:v>
                </c:pt>
                <c:pt idx="16">
                  <c:v>10</c:v>
                </c:pt>
                <c:pt idx="17">
                  <c:v>9</c:v>
                </c:pt>
                <c:pt idx="18">
                  <c:v>21</c:v>
                </c:pt>
                <c:pt idx="19">
                  <c:v>102</c:v>
                </c:pt>
                <c:pt idx="20">
                  <c:v>19</c:v>
                </c:pt>
                <c:pt idx="21">
                  <c:v>16</c:v>
                </c:pt>
                <c:pt idx="22">
                  <c:v>45</c:v>
                </c:pt>
                <c:pt idx="23">
                  <c:v>48</c:v>
                </c:pt>
                <c:pt idx="24">
                  <c:v>6</c:v>
                </c:pt>
                <c:pt idx="25">
                  <c:v>10</c:v>
                </c:pt>
                <c:pt idx="26">
                  <c:v>20</c:v>
                </c:pt>
                <c:pt idx="27">
                  <c:v>8</c:v>
                </c:pt>
                <c:pt idx="28">
                  <c:v>26</c:v>
                </c:pt>
                <c:pt idx="29">
                  <c:v>19</c:v>
                </c:pt>
                <c:pt idx="30">
                  <c:v>22</c:v>
                </c:pt>
                <c:pt idx="31">
                  <c:v>4</c:v>
                </c:pt>
                <c:pt idx="32">
                  <c:v>32</c:v>
                </c:pt>
                <c:pt idx="33">
                  <c:v>45</c:v>
                </c:pt>
                <c:pt idx="34">
                  <c:v>9</c:v>
                </c:pt>
                <c:pt idx="35">
                  <c:v>55</c:v>
                </c:pt>
                <c:pt idx="36">
                  <c:v>23</c:v>
                </c:pt>
                <c:pt idx="37">
                  <c:v>39</c:v>
                </c:pt>
                <c:pt idx="38">
                  <c:v>11</c:v>
                </c:pt>
                <c:pt idx="39">
                  <c:v>31</c:v>
                </c:pt>
                <c:pt idx="40">
                  <c:v>8</c:v>
                </c:pt>
                <c:pt idx="41">
                  <c:v>2</c:v>
                </c:pt>
                <c:pt idx="42">
                  <c:v>39</c:v>
                </c:pt>
                <c:pt idx="43">
                  <c:v>10</c:v>
                </c:pt>
                <c:pt idx="44">
                  <c:v>34</c:v>
                </c:pt>
                <c:pt idx="45">
                  <c:v>35</c:v>
                </c:pt>
                <c:pt idx="46">
                  <c:v>14</c:v>
                </c:pt>
                <c:pt idx="47">
                  <c:v>21</c:v>
                </c:pt>
                <c:pt idx="48">
                  <c:v>17</c:v>
                </c:pt>
                <c:pt idx="49">
                  <c:v>32</c:v>
                </c:pt>
                <c:pt idx="50">
                  <c:v>11</c:v>
                </c:pt>
                <c:pt idx="51">
                  <c:v>6</c:v>
                </c:pt>
                <c:pt idx="52">
                  <c:v>11</c:v>
                </c:pt>
                <c:pt idx="53">
                  <c:v>24</c:v>
                </c:pt>
                <c:pt idx="54">
                  <c:v>29</c:v>
                </c:pt>
                <c:pt idx="55">
                  <c:v>14</c:v>
                </c:pt>
                <c:pt idx="56">
                  <c:v>23</c:v>
                </c:pt>
                <c:pt idx="57">
                  <c:v>10</c:v>
                </c:pt>
                <c:pt idx="58">
                  <c:v>24</c:v>
                </c:pt>
                <c:pt idx="59">
                  <c:v>40</c:v>
                </c:pt>
                <c:pt idx="60">
                  <c:v>86</c:v>
                </c:pt>
                <c:pt idx="61">
                  <c:v>12</c:v>
                </c:pt>
                <c:pt idx="62">
                  <c:v>71</c:v>
                </c:pt>
                <c:pt idx="63">
                  <c:v>22</c:v>
                </c:pt>
                <c:pt idx="64">
                  <c:v>27</c:v>
                </c:pt>
                <c:pt idx="65">
                  <c:v>30</c:v>
                </c:pt>
                <c:pt idx="66">
                  <c:v>14</c:v>
                </c:pt>
                <c:pt idx="67">
                  <c:v>16</c:v>
                </c:pt>
                <c:pt idx="68">
                  <c:v>116</c:v>
                </c:pt>
                <c:pt idx="69">
                  <c:v>26</c:v>
                </c:pt>
                <c:pt idx="70">
                  <c:v>15</c:v>
                </c:pt>
                <c:pt idx="71">
                  <c:v>6</c:v>
                </c:pt>
                <c:pt idx="72">
                  <c:v>20</c:v>
                </c:pt>
                <c:pt idx="73">
                  <c:v>39</c:v>
                </c:pt>
                <c:pt idx="74">
                  <c:v>7</c:v>
                </c:pt>
                <c:pt idx="75">
                  <c:v>8</c:v>
                </c:pt>
                <c:pt idx="76">
                  <c:v>14</c:v>
                </c:pt>
                <c:pt idx="77">
                  <c:v>29</c:v>
                </c:pt>
                <c:pt idx="78">
                  <c:v>13</c:v>
                </c:pt>
                <c:pt idx="79">
                  <c:v>9</c:v>
                </c:pt>
                <c:pt idx="80">
                  <c:v>31</c:v>
                </c:pt>
                <c:pt idx="81">
                  <c:v>25</c:v>
                </c:pt>
                <c:pt idx="82">
                  <c:v>10</c:v>
                </c:pt>
                <c:pt idx="83">
                  <c:v>26</c:v>
                </c:pt>
                <c:pt idx="84">
                  <c:v>37</c:v>
                </c:pt>
                <c:pt idx="85">
                  <c:v>19</c:v>
                </c:pt>
                <c:pt idx="86">
                  <c:v>40</c:v>
                </c:pt>
                <c:pt idx="87">
                  <c:v>17</c:v>
                </c:pt>
                <c:pt idx="88">
                  <c:v>16</c:v>
                </c:pt>
              </c:numCache>
            </c:numRef>
          </c:val>
          <c:smooth val="0"/>
          <c:extLst>
            <c:ext xmlns:c16="http://schemas.microsoft.com/office/drawing/2014/chart" uri="{C3380CC4-5D6E-409C-BE32-E72D297353CC}">
              <c16:uniqueId val="{00000001-7F0D-462B-AC2A-9B167E23296F}"/>
            </c:ext>
          </c:extLst>
        </c:ser>
        <c:dLbls>
          <c:showLegendKey val="0"/>
          <c:showVal val="0"/>
          <c:showCatName val="0"/>
          <c:showSerName val="0"/>
          <c:showPercent val="0"/>
          <c:showBubbleSize val="0"/>
        </c:dLbls>
        <c:marker val="1"/>
        <c:smooth val="0"/>
        <c:axId val="1812001279"/>
        <c:axId val="1812004607"/>
      </c:lineChart>
      <c:catAx>
        <c:axId val="181201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06271"/>
        <c:crosses val="autoZero"/>
        <c:auto val="1"/>
        <c:lblAlgn val="ctr"/>
        <c:lblOffset val="100"/>
        <c:noMultiLvlLbl val="0"/>
      </c:catAx>
      <c:valAx>
        <c:axId val="1812006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10847"/>
        <c:crosses val="autoZero"/>
        <c:crossBetween val="between"/>
      </c:valAx>
      <c:valAx>
        <c:axId val="18120046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001279"/>
        <c:crosses val="max"/>
        <c:crossBetween val="between"/>
      </c:valAx>
      <c:catAx>
        <c:axId val="1812001279"/>
        <c:scaling>
          <c:orientation val="minMax"/>
        </c:scaling>
        <c:delete val="1"/>
        <c:axPos val="b"/>
        <c:numFmt formatCode="General" sourceLinked="1"/>
        <c:majorTickMark val="out"/>
        <c:minorTickMark val="none"/>
        <c:tickLblPos val="nextTo"/>
        <c:crossAx val="18120046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96981</xdr:rowOff>
    </xdr:from>
    <xdr:to>
      <xdr:col>6</xdr:col>
      <xdr:colOff>595745</xdr:colOff>
      <xdr:row>38</xdr:row>
      <xdr:rowOff>96982</xdr:rowOff>
    </xdr:to>
    <xdr:graphicFrame macro="">
      <xdr:nvGraphicFramePr>
        <xdr:cNvPr id="4" name="Chart 3">
          <a:extLst>
            <a:ext uri="{FF2B5EF4-FFF2-40B4-BE49-F238E27FC236}">
              <a16:creationId xmlns:a16="http://schemas.microsoft.com/office/drawing/2014/main" id="{079730DD-8139-49D2-8AC1-2A9167700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380999</xdr:colOff>
      <xdr:row>0</xdr:row>
      <xdr:rowOff>13854</xdr:rowOff>
    </xdr:from>
    <xdr:to>
      <xdr:col>23</xdr:col>
      <xdr:colOff>443346</xdr:colOff>
      <xdr:row>33</xdr:row>
      <xdr:rowOff>166255</xdr:rowOff>
    </xdr:to>
    <xdr:graphicFrame macro="">
      <xdr:nvGraphicFramePr>
        <xdr:cNvPr id="6" name="Chart 5">
          <a:extLst>
            <a:ext uri="{FF2B5EF4-FFF2-40B4-BE49-F238E27FC236}">
              <a16:creationId xmlns:a16="http://schemas.microsoft.com/office/drawing/2014/main" id="{463D260E-AFA5-4E5E-9AC1-19611713B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105228</xdr:colOff>
      <xdr:row>0</xdr:row>
      <xdr:rowOff>76200</xdr:rowOff>
    </xdr:from>
    <xdr:to>
      <xdr:col>6</xdr:col>
      <xdr:colOff>1240971</xdr:colOff>
      <xdr:row>66</xdr:row>
      <xdr:rowOff>65314</xdr:rowOff>
    </xdr:to>
    <xdr:graphicFrame macro="">
      <xdr:nvGraphicFramePr>
        <xdr:cNvPr id="3" name="Chart 2">
          <a:extLst>
            <a:ext uri="{FF2B5EF4-FFF2-40B4-BE49-F238E27FC236}">
              <a16:creationId xmlns:a16="http://schemas.microsoft.com/office/drawing/2014/main" id="{5AB4BA5C-FBF4-4829-8666-037181DD0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1445079</xdr:colOff>
      <xdr:row>11</xdr:row>
      <xdr:rowOff>27213</xdr:rowOff>
    </xdr:from>
    <xdr:to>
      <xdr:col>10</xdr:col>
      <xdr:colOff>1891393</xdr:colOff>
      <xdr:row>32</xdr:row>
      <xdr:rowOff>111579</xdr:rowOff>
    </xdr:to>
    <xdr:graphicFrame macro="">
      <xdr:nvGraphicFramePr>
        <xdr:cNvPr id="4" name="Chart 3">
          <a:extLst>
            <a:ext uri="{FF2B5EF4-FFF2-40B4-BE49-F238E27FC236}">
              <a16:creationId xmlns:a16="http://schemas.microsoft.com/office/drawing/2014/main" id="{784301FA-749C-4C48-AE1A-A1DE003AA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1600199</xdr:colOff>
      <xdr:row>33</xdr:row>
      <xdr:rowOff>141515</xdr:rowOff>
    </xdr:from>
    <xdr:to>
      <xdr:col>10</xdr:col>
      <xdr:colOff>402771</xdr:colOff>
      <xdr:row>51</xdr:row>
      <xdr:rowOff>10885</xdr:rowOff>
    </xdr:to>
    <xdr:graphicFrame macro="">
      <xdr:nvGraphicFramePr>
        <xdr:cNvPr id="5" name="Chart 4">
          <a:extLst>
            <a:ext uri="{FF2B5EF4-FFF2-40B4-BE49-F238E27FC236}">
              <a16:creationId xmlns:a16="http://schemas.microsoft.com/office/drawing/2014/main" id="{FDBCA9B9-2E7E-46FA-A17B-D12DA22C0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247650</xdr:colOff>
      <xdr:row>0</xdr:row>
      <xdr:rowOff>76200</xdr:rowOff>
    </xdr:from>
    <xdr:to>
      <xdr:col>24</xdr:col>
      <xdr:colOff>470263</xdr:colOff>
      <xdr:row>23</xdr:row>
      <xdr:rowOff>25581</xdr:rowOff>
    </xdr:to>
    <xdr:graphicFrame macro="">
      <xdr:nvGraphicFramePr>
        <xdr:cNvPr id="6" name="Chart 5">
          <a:extLst>
            <a:ext uri="{FF2B5EF4-FFF2-40B4-BE49-F238E27FC236}">
              <a16:creationId xmlns:a16="http://schemas.microsoft.com/office/drawing/2014/main" id="{9C394536-13E8-4D39-8116-E433D37FA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0.985000925924" createdVersion="7" refreshedVersion="7" minRefreshableVersion="3" recordCount="2155" xr:uid="{0AC07F7B-792E-42CB-ACB5-4631F87FEA7C}">
  <cacheSource type="worksheet">
    <worksheetSource name="OrderDetails"/>
  </cacheSource>
  <cacheFields count="13">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ount="77">
        <n v="11"/>
        <n v="42"/>
        <n v="72"/>
        <n v="14"/>
        <n v="51"/>
        <n v="41"/>
        <n v="65"/>
        <n v="22"/>
        <n v="57"/>
        <n v="20"/>
        <n v="33"/>
        <n v="60"/>
        <n v="31"/>
        <n v="39"/>
        <n v="49"/>
        <n v="24"/>
        <n v="55"/>
        <n v="74"/>
        <n v="2"/>
        <n v="16"/>
        <n v="36"/>
        <n v="59"/>
        <n v="53"/>
        <n v="77"/>
        <n v="27"/>
        <n v="5"/>
        <n v="32"/>
        <n v="21"/>
        <n v="37"/>
        <n v="62"/>
        <n v="70"/>
        <n v="35"/>
        <n v="7"/>
        <n v="56"/>
        <n v="30"/>
        <n v="17"/>
        <n v="12"/>
        <n v="40"/>
        <n v="76"/>
        <n v="29"/>
        <n v="43"/>
        <n v="10"/>
        <n v="71"/>
        <n v="13"/>
        <n v="28"/>
        <n v="44"/>
        <n v="63"/>
        <n v="73"/>
        <n v="75"/>
        <n v="19"/>
        <n v="15"/>
        <n v="67"/>
        <n v="1"/>
        <n v="34"/>
        <n v="46"/>
        <n v="54"/>
        <n v="68"/>
        <n v="3"/>
        <n v="64"/>
        <n v="18"/>
        <n v="69"/>
        <n v="66"/>
        <n v="4"/>
        <n v="6"/>
        <n v="58"/>
        <n v="52"/>
        <n v="25"/>
        <n v="38"/>
        <n v="26"/>
        <n v="47"/>
        <n v="23"/>
        <n v="8"/>
        <n v="50"/>
        <n v="45"/>
        <n v="48"/>
        <n v="61"/>
        <n v="9"/>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2">
      <sharedItems containsSemiMixedTypes="0" containsString="0" containsNumber="1" minValue="0" maxValue="0.25"/>
    </cacheField>
    <cacheField name="CustomerID" numFmtId="0">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Order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12" base="6">
        <rangePr groupBy="months" startDate="1996-07-04T00:00:00" endDate="1998-05-07T00:00:00"/>
        <groupItems count="14">
          <s v="&lt;7/4/1996"/>
          <s v="Jan"/>
          <s v="Feb"/>
          <s v="Mar"/>
          <s v="Apr"/>
          <s v="May"/>
          <s v="Jun"/>
          <s v="Jul"/>
          <s v="Aug"/>
          <s v="Sep"/>
          <s v="Oct"/>
          <s v="Nov"/>
          <s v="Dec"/>
          <s v="&gt;5/7/1998"/>
        </groupItems>
      </fieldGroup>
    </cacheField>
    <cacheField name="Sales Amount" numFmtId="2">
      <sharedItems containsSemiMixedTypes="0" containsString="0" containsNumber="1" minValue="4.8" maxValue="15810"/>
    </cacheField>
    <cacheField name="CategoryName" numFmtId="0">
      <sharedItems count="8">
        <s v="Dairy Products"/>
        <s v="Grains/Cereals"/>
        <s v="Produce"/>
        <s v="Seafood"/>
        <s v="Condiments"/>
        <s v="Confections"/>
        <s v="Beverages"/>
        <s v="Meat/Poultry"/>
      </sharedItems>
    </cacheField>
    <cacheField name="Season" numFmtId="0">
      <sharedItems count="4">
        <s v="Summer"/>
        <s v="Autumn"/>
        <s v="Winter"/>
        <s v="Spring"/>
      </sharedItems>
    </cacheField>
    <cacheField name="ProductName" numFmtId="0">
      <sharedItems count="77">
        <s v="Queso Cabrales"/>
        <s v="Singaporean Hokkien Fried Mee"/>
        <s v="Mozzarella di Giovanni"/>
        <s v="Tofu"/>
        <s v="Manjimup Dried Apples"/>
        <s v="Jack's New England Clam Chowder"/>
        <s v="Louisiana Fiery Hot Pepper Sauce"/>
        <s v="Gustaf's Knäckebröd"/>
        <s v="Ravioli Angelo"/>
        <s v="Sir Rodney's Marmalade"/>
        <s v="Geitost"/>
        <s v="Camembert Pierrot"/>
        <s v="Gorgonzola Telino"/>
        <s v="Chartreuse verte"/>
        <s v="Maxilaku"/>
        <s v="Guaraná Fantástica"/>
        <s v="Pâté chinois"/>
        <s v="Longlife Tofu"/>
        <s v="Chang"/>
        <s v="Pavlova"/>
        <s v="Inlagd Sill"/>
        <s v="Raclette Courdavault"/>
        <s v="Perth Pasties"/>
        <s v="Original Frankfurter grüne Soße"/>
        <s v="Schoggi Schokolade"/>
        <s v="Chef Anton's Gumbo Mix"/>
        <s v="Mascarpone Fabioli"/>
        <s v="Sir Rodney's Scones"/>
        <s v="Gravad lax"/>
        <s v="Tarte au sucre"/>
        <s v="Outback Lager"/>
        <s v="Steeleye Stout"/>
        <s v="Uncle Bob's Organic Dried Pears"/>
        <s v="Gnocchi di nonna Alice"/>
        <s v="Nord-Ost Matjeshering"/>
        <s v="Alice Mutton"/>
        <s v="Queso Manchego La Pastora"/>
        <s v="Boston Crab Meat"/>
        <s v="Lakkalikööri"/>
        <s v="Thüringer Rostbratwurst"/>
        <s v="Ipoh Coffee"/>
        <s v="Ikura"/>
        <s v="Flotemysost"/>
        <s v="Konbu"/>
        <s v="Rössle Sauerkraut"/>
        <s v="Gula Malacca"/>
        <s v="Vegie-spread"/>
        <s v="Röd Kaviar"/>
        <s v="Rhönbräu Klosterbier"/>
        <s v="Teatime Chocolate Biscuits"/>
        <s v="Genen Shouyu"/>
        <s v="Laughing Lumberjack Lager"/>
        <s v="Chai"/>
        <s v="Sasquatch Ale"/>
        <s v="Spegesild"/>
        <s v="Tourtière"/>
        <s v="Scottish Longbreads"/>
        <s v="Aniseed Syrup"/>
        <s v="Wimmers gute Semmelknödel"/>
        <s v="Carnarvon Tigers"/>
        <s v="Gudbrandsdalsost"/>
        <s v="Louisiana Hot Spiced Okra"/>
        <s v="Chef Anton's Cajun Seasoning"/>
        <s v="Grandma's Boysenberry Spread"/>
        <s v="Escargots de Bourgogne"/>
        <s v="Filo Mix"/>
        <s v="NuNuCa Nuß-Nougat-Creme"/>
        <s v="Côte de Blaye"/>
        <s v="Gumbär Gummibärchen"/>
        <s v="Zaanse koeken"/>
        <s v="Tunnbröd"/>
        <s v="Northwoods Cranberry Sauce"/>
        <s v="Valkoinen suklaa"/>
        <s v="Rogede sild"/>
        <s v="Chocolade"/>
        <s v="Sirop d'érable"/>
        <s v="Mishi Kobe Niku"/>
      </sharedItems>
    </cacheField>
    <cacheField name="Quarters" numFmtId="0" databaseField="0">
      <fieldGroup base="6">
        <rangePr groupBy="quarters" startDate="1996-07-04T00:00:00" endDate="1998-05-07T00:00:00"/>
        <groupItems count="6">
          <s v="&lt;7/4/1996"/>
          <s v="Qtr1"/>
          <s v="Qtr2"/>
          <s v="Qtr3"/>
          <s v="Qtr4"/>
          <s v="&gt;5/7/1998"/>
        </groupItems>
      </fieldGroup>
    </cacheField>
    <cacheField name="Years" numFmtId="0" databaseField="0">
      <fieldGroup base="6">
        <rangePr groupBy="years" startDate="1996-07-04T00:00:00" endDate="1998-05-07T00:00:00"/>
        <groupItems count="5">
          <s v="&lt;7/4/1996"/>
          <s v="1996"/>
          <s v="1997"/>
          <s v="1998"/>
          <s v="&gt;5/7/199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x v="0"/>
    <n v="14"/>
    <n v="12"/>
    <n v="0"/>
    <x v="0"/>
    <x v="0"/>
    <n v="168"/>
    <x v="0"/>
    <x v="0"/>
    <x v="0"/>
  </r>
  <r>
    <n v="10248"/>
    <x v="1"/>
    <n v="9.8000000000000007"/>
    <n v="10"/>
    <n v="0"/>
    <x v="0"/>
    <x v="0"/>
    <n v="98"/>
    <x v="1"/>
    <x v="0"/>
    <x v="1"/>
  </r>
  <r>
    <n v="10248"/>
    <x v="2"/>
    <n v="34.799999999999997"/>
    <n v="5"/>
    <n v="0"/>
    <x v="0"/>
    <x v="0"/>
    <n v="174"/>
    <x v="0"/>
    <x v="0"/>
    <x v="2"/>
  </r>
  <r>
    <n v="10249"/>
    <x v="3"/>
    <n v="18.600000000000001"/>
    <n v="9"/>
    <n v="0"/>
    <x v="1"/>
    <x v="1"/>
    <n v="167.4"/>
    <x v="2"/>
    <x v="0"/>
    <x v="3"/>
  </r>
  <r>
    <n v="10249"/>
    <x v="4"/>
    <n v="42.4"/>
    <n v="40"/>
    <n v="0"/>
    <x v="1"/>
    <x v="1"/>
    <n v="1696"/>
    <x v="2"/>
    <x v="0"/>
    <x v="4"/>
  </r>
  <r>
    <n v="10250"/>
    <x v="5"/>
    <n v="7.7"/>
    <n v="10"/>
    <n v="0"/>
    <x v="2"/>
    <x v="2"/>
    <n v="77"/>
    <x v="3"/>
    <x v="0"/>
    <x v="5"/>
  </r>
  <r>
    <n v="10250"/>
    <x v="4"/>
    <n v="42.4"/>
    <n v="35"/>
    <n v="0.15000000596046448"/>
    <x v="2"/>
    <x v="2"/>
    <n v="1261.3999911546707"/>
    <x v="2"/>
    <x v="0"/>
    <x v="4"/>
  </r>
  <r>
    <n v="10250"/>
    <x v="6"/>
    <n v="16.8"/>
    <n v="15"/>
    <n v="0.15000000596046448"/>
    <x v="2"/>
    <x v="2"/>
    <n v="214.19999849796295"/>
    <x v="4"/>
    <x v="0"/>
    <x v="6"/>
  </r>
  <r>
    <n v="10251"/>
    <x v="7"/>
    <n v="16.8"/>
    <n v="6"/>
    <n v="5.000000074505806E-2"/>
    <x v="3"/>
    <x v="2"/>
    <n v="95.759999924898153"/>
    <x v="1"/>
    <x v="0"/>
    <x v="7"/>
  </r>
  <r>
    <n v="10251"/>
    <x v="8"/>
    <n v="15.6"/>
    <n v="15"/>
    <n v="5.000000074505806E-2"/>
    <x v="3"/>
    <x v="2"/>
    <n v="222.29999982565641"/>
    <x v="1"/>
    <x v="0"/>
    <x v="8"/>
  </r>
  <r>
    <n v="10251"/>
    <x v="6"/>
    <n v="16.8"/>
    <n v="20"/>
    <n v="0"/>
    <x v="3"/>
    <x v="2"/>
    <n v="336"/>
    <x v="4"/>
    <x v="0"/>
    <x v="6"/>
  </r>
  <r>
    <n v="10252"/>
    <x v="9"/>
    <n v="64.8"/>
    <n v="40"/>
    <n v="5.000000074505806E-2"/>
    <x v="4"/>
    <x v="3"/>
    <n v="2462.3999980688095"/>
    <x v="5"/>
    <x v="0"/>
    <x v="9"/>
  </r>
  <r>
    <n v="10252"/>
    <x v="10"/>
    <n v="2"/>
    <n v="25"/>
    <n v="5.000000074505806E-2"/>
    <x v="4"/>
    <x v="3"/>
    <n v="47.499999962747097"/>
    <x v="0"/>
    <x v="0"/>
    <x v="10"/>
  </r>
  <r>
    <n v="10252"/>
    <x v="11"/>
    <n v="27.2"/>
    <n v="40"/>
    <n v="0"/>
    <x v="4"/>
    <x v="3"/>
    <n v="1088"/>
    <x v="0"/>
    <x v="0"/>
    <x v="11"/>
  </r>
  <r>
    <n v="10253"/>
    <x v="12"/>
    <n v="10"/>
    <n v="20"/>
    <n v="0"/>
    <x v="2"/>
    <x v="4"/>
    <n v="200"/>
    <x v="0"/>
    <x v="0"/>
    <x v="12"/>
  </r>
  <r>
    <n v="10253"/>
    <x v="13"/>
    <n v="14.4"/>
    <n v="42"/>
    <n v="0"/>
    <x v="2"/>
    <x v="4"/>
    <n v="604.80000000000007"/>
    <x v="6"/>
    <x v="0"/>
    <x v="13"/>
  </r>
  <r>
    <n v="10253"/>
    <x v="14"/>
    <n v="16"/>
    <n v="40"/>
    <n v="0"/>
    <x v="2"/>
    <x v="4"/>
    <n v="640"/>
    <x v="5"/>
    <x v="0"/>
    <x v="14"/>
  </r>
  <r>
    <n v="10254"/>
    <x v="15"/>
    <n v="3.6"/>
    <n v="15"/>
    <n v="0.15000000596046448"/>
    <x v="5"/>
    <x v="5"/>
    <n v="45.899999678134918"/>
    <x v="6"/>
    <x v="0"/>
    <x v="15"/>
  </r>
  <r>
    <n v="10254"/>
    <x v="16"/>
    <n v="19.2"/>
    <n v="21"/>
    <n v="0.15000000596046448"/>
    <x v="5"/>
    <x v="5"/>
    <n v="342.71999759674071"/>
    <x v="7"/>
    <x v="0"/>
    <x v="16"/>
  </r>
  <r>
    <n v="10254"/>
    <x v="17"/>
    <n v="8"/>
    <n v="21"/>
    <n v="0"/>
    <x v="5"/>
    <x v="5"/>
    <n v="168"/>
    <x v="2"/>
    <x v="0"/>
    <x v="17"/>
  </r>
  <r>
    <n v="10255"/>
    <x v="18"/>
    <n v="15.2"/>
    <n v="20"/>
    <n v="0"/>
    <x v="6"/>
    <x v="6"/>
    <n v="304"/>
    <x v="6"/>
    <x v="0"/>
    <x v="18"/>
  </r>
  <r>
    <n v="10255"/>
    <x v="19"/>
    <n v="13.9"/>
    <n v="35"/>
    <n v="0"/>
    <x v="6"/>
    <x v="6"/>
    <n v="486.5"/>
    <x v="5"/>
    <x v="0"/>
    <x v="19"/>
  </r>
  <r>
    <n v="10255"/>
    <x v="20"/>
    <n v="15.2"/>
    <n v="25"/>
    <n v="0"/>
    <x v="6"/>
    <x v="6"/>
    <n v="380"/>
    <x v="3"/>
    <x v="0"/>
    <x v="20"/>
  </r>
  <r>
    <n v="10255"/>
    <x v="21"/>
    <n v="44"/>
    <n v="30"/>
    <n v="0"/>
    <x v="6"/>
    <x v="6"/>
    <n v="1320"/>
    <x v="0"/>
    <x v="0"/>
    <x v="21"/>
  </r>
  <r>
    <n v="10256"/>
    <x v="22"/>
    <n v="26.2"/>
    <n v="15"/>
    <n v="0"/>
    <x v="7"/>
    <x v="7"/>
    <n v="393"/>
    <x v="7"/>
    <x v="0"/>
    <x v="22"/>
  </r>
  <r>
    <n v="10256"/>
    <x v="23"/>
    <n v="10.4"/>
    <n v="12"/>
    <n v="0"/>
    <x v="7"/>
    <x v="7"/>
    <n v="124.80000000000001"/>
    <x v="4"/>
    <x v="0"/>
    <x v="23"/>
  </r>
  <r>
    <n v="10257"/>
    <x v="24"/>
    <n v="35.1"/>
    <n v="25"/>
    <n v="0"/>
    <x v="8"/>
    <x v="8"/>
    <n v="877.5"/>
    <x v="5"/>
    <x v="0"/>
    <x v="24"/>
  </r>
  <r>
    <n v="10257"/>
    <x v="13"/>
    <n v="14.4"/>
    <n v="6"/>
    <n v="0"/>
    <x v="8"/>
    <x v="8"/>
    <n v="86.4"/>
    <x v="6"/>
    <x v="0"/>
    <x v="13"/>
  </r>
  <r>
    <n v="10257"/>
    <x v="23"/>
    <n v="10.4"/>
    <n v="15"/>
    <n v="0"/>
    <x v="8"/>
    <x v="8"/>
    <n v="156"/>
    <x v="4"/>
    <x v="0"/>
    <x v="23"/>
  </r>
  <r>
    <n v="10258"/>
    <x v="18"/>
    <n v="15.2"/>
    <n v="50"/>
    <n v="0.20000000298023224"/>
    <x v="9"/>
    <x v="9"/>
    <n v="607.9999977350235"/>
    <x v="6"/>
    <x v="0"/>
    <x v="18"/>
  </r>
  <r>
    <n v="10258"/>
    <x v="25"/>
    <n v="17"/>
    <n v="65"/>
    <n v="0.20000000298023224"/>
    <x v="9"/>
    <x v="9"/>
    <n v="883.99999670684338"/>
    <x v="4"/>
    <x v="0"/>
    <x v="25"/>
  </r>
  <r>
    <n v="10258"/>
    <x v="26"/>
    <n v="25.6"/>
    <n v="6"/>
    <n v="0.20000000298023224"/>
    <x v="9"/>
    <x v="9"/>
    <n v="122.87999954223635"/>
    <x v="0"/>
    <x v="0"/>
    <x v="26"/>
  </r>
  <r>
    <n v="10259"/>
    <x v="27"/>
    <n v="8"/>
    <n v="10"/>
    <n v="0"/>
    <x v="10"/>
    <x v="10"/>
    <n v="80"/>
    <x v="5"/>
    <x v="0"/>
    <x v="27"/>
  </r>
  <r>
    <n v="10259"/>
    <x v="28"/>
    <n v="20.8"/>
    <n v="1"/>
    <n v="0"/>
    <x v="10"/>
    <x v="10"/>
    <n v="20.8"/>
    <x v="3"/>
    <x v="0"/>
    <x v="28"/>
  </r>
  <r>
    <n v="10260"/>
    <x v="5"/>
    <n v="7.7"/>
    <n v="16"/>
    <n v="0.25"/>
    <x v="11"/>
    <x v="11"/>
    <n v="92.4"/>
    <x v="3"/>
    <x v="0"/>
    <x v="5"/>
  </r>
  <r>
    <n v="10260"/>
    <x v="8"/>
    <n v="15.6"/>
    <n v="50"/>
    <n v="0"/>
    <x v="11"/>
    <x v="11"/>
    <n v="780"/>
    <x v="1"/>
    <x v="0"/>
    <x v="8"/>
  </r>
  <r>
    <n v="10260"/>
    <x v="29"/>
    <n v="39.4"/>
    <n v="15"/>
    <n v="0.25"/>
    <x v="11"/>
    <x v="11"/>
    <n v="443.25"/>
    <x v="5"/>
    <x v="0"/>
    <x v="29"/>
  </r>
  <r>
    <n v="10260"/>
    <x v="30"/>
    <n v="12"/>
    <n v="21"/>
    <n v="0.25"/>
    <x v="11"/>
    <x v="11"/>
    <n v="189"/>
    <x v="6"/>
    <x v="0"/>
    <x v="30"/>
  </r>
  <r>
    <n v="10261"/>
    <x v="27"/>
    <n v="8"/>
    <n v="20"/>
    <n v="0"/>
    <x v="12"/>
    <x v="11"/>
    <n v="160"/>
    <x v="5"/>
    <x v="0"/>
    <x v="27"/>
  </r>
  <r>
    <n v="10261"/>
    <x v="31"/>
    <n v="14.4"/>
    <n v="20"/>
    <n v="0"/>
    <x v="12"/>
    <x v="11"/>
    <n v="288"/>
    <x v="6"/>
    <x v="0"/>
    <x v="31"/>
  </r>
  <r>
    <n v="10262"/>
    <x v="25"/>
    <n v="17"/>
    <n v="12"/>
    <n v="0.20000000298023224"/>
    <x v="13"/>
    <x v="12"/>
    <n v="163.19999939203262"/>
    <x v="4"/>
    <x v="0"/>
    <x v="25"/>
  </r>
  <r>
    <n v="10262"/>
    <x v="32"/>
    <n v="24"/>
    <n v="15"/>
    <n v="0"/>
    <x v="13"/>
    <x v="12"/>
    <n v="360"/>
    <x v="2"/>
    <x v="0"/>
    <x v="32"/>
  </r>
  <r>
    <n v="10262"/>
    <x v="33"/>
    <n v="30.4"/>
    <n v="2"/>
    <n v="0"/>
    <x v="13"/>
    <x v="12"/>
    <n v="60.8"/>
    <x v="1"/>
    <x v="0"/>
    <x v="33"/>
  </r>
  <r>
    <n v="10263"/>
    <x v="19"/>
    <n v="13.9"/>
    <n v="60"/>
    <n v="0.25"/>
    <x v="9"/>
    <x v="13"/>
    <n v="625.5"/>
    <x v="5"/>
    <x v="0"/>
    <x v="19"/>
  </r>
  <r>
    <n v="10263"/>
    <x v="15"/>
    <n v="3.6"/>
    <n v="28"/>
    <n v="0"/>
    <x v="9"/>
    <x v="13"/>
    <n v="100.8"/>
    <x v="6"/>
    <x v="0"/>
    <x v="15"/>
  </r>
  <r>
    <n v="10263"/>
    <x v="34"/>
    <n v="20.7"/>
    <n v="60"/>
    <n v="0.25"/>
    <x v="9"/>
    <x v="13"/>
    <n v="931.5"/>
    <x v="3"/>
    <x v="0"/>
    <x v="34"/>
  </r>
  <r>
    <n v="10263"/>
    <x v="17"/>
    <n v="8"/>
    <n v="36"/>
    <n v="0.25"/>
    <x v="9"/>
    <x v="13"/>
    <n v="216"/>
    <x v="2"/>
    <x v="0"/>
    <x v="17"/>
  </r>
  <r>
    <n v="10264"/>
    <x v="18"/>
    <n v="15.2"/>
    <n v="35"/>
    <n v="0"/>
    <x v="14"/>
    <x v="14"/>
    <n v="532"/>
    <x v="6"/>
    <x v="0"/>
    <x v="18"/>
  </r>
  <r>
    <n v="10264"/>
    <x v="5"/>
    <n v="7.7"/>
    <n v="25"/>
    <n v="0.15000000596046448"/>
    <x v="14"/>
    <x v="14"/>
    <n v="163.62499885261059"/>
    <x v="3"/>
    <x v="0"/>
    <x v="5"/>
  </r>
  <r>
    <n v="10265"/>
    <x v="35"/>
    <n v="31.2"/>
    <n v="30"/>
    <n v="0"/>
    <x v="15"/>
    <x v="15"/>
    <n v="936"/>
    <x v="7"/>
    <x v="0"/>
    <x v="35"/>
  </r>
  <r>
    <n v="10265"/>
    <x v="30"/>
    <n v="12"/>
    <n v="20"/>
    <n v="0"/>
    <x v="15"/>
    <x v="15"/>
    <n v="240"/>
    <x v="6"/>
    <x v="0"/>
    <x v="30"/>
  </r>
  <r>
    <n v="10266"/>
    <x v="36"/>
    <n v="30.4"/>
    <n v="12"/>
    <n v="5.000000074505806E-2"/>
    <x v="16"/>
    <x v="16"/>
    <n v="346.5599997282028"/>
    <x v="0"/>
    <x v="0"/>
    <x v="36"/>
  </r>
  <r>
    <n v="10267"/>
    <x v="37"/>
    <n v="14.7"/>
    <n v="50"/>
    <n v="0"/>
    <x v="17"/>
    <x v="17"/>
    <n v="735"/>
    <x v="3"/>
    <x v="0"/>
    <x v="37"/>
  </r>
  <r>
    <n v="10267"/>
    <x v="21"/>
    <n v="44"/>
    <n v="70"/>
    <n v="0.15000000596046448"/>
    <x v="17"/>
    <x v="17"/>
    <n v="2617.9999816417694"/>
    <x v="0"/>
    <x v="0"/>
    <x v="21"/>
  </r>
  <r>
    <n v="10267"/>
    <x v="38"/>
    <n v="14.4"/>
    <n v="15"/>
    <n v="0.15000000596046448"/>
    <x v="17"/>
    <x v="17"/>
    <n v="183.59999871253967"/>
    <x v="6"/>
    <x v="0"/>
    <x v="38"/>
  </r>
  <r>
    <n v="10268"/>
    <x v="39"/>
    <n v="99"/>
    <n v="10"/>
    <n v="0"/>
    <x v="18"/>
    <x v="18"/>
    <n v="990"/>
    <x v="7"/>
    <x v="0"/>
    <x v="39"/>
  </r>
  <r>
    <n v="10268"/>
    <x v="2"/>
    <n v="27.8"/>
    <n v="4"/>
    <n v="0"/>
    <x v="18"/>
    <x v="18"/>
    <n v="111.2"/>
    <x v="0"/>
    <x v="0"/>
    <x v="2"/>
  </r>
  <r>
    <n v="10269"/>
    <x v="10"/>
    <n v="2"/>
    <n v="60"/>
    <n v="5.000000074505806E-2"/>
    <x v="19"/>
    <x v="19"/>
    <n v="113.99999991059303"/>
    <x v="0"/>
    <x v="0"/>
    <x v="10"/>
  </r>
  <r>
    <n v="10269"/>
    <x v="2"/>
    <n v="27.8"/>
    <n v="20"/>
    <n v="5.000000074505806E-2"/>
    <x v="19"/>
    <x v="19"/>
    <n v="528.19999958574772"/>
    <x v="0"/>
    <x v="0"/>
    <x v="2"/>
  </r>
  <r>
    <n v="10270"/>
    <x v="20"/>
    <n v="15.2"/>
    <n v="30"/>
    <n v="0"/>
    <x v="16"/>
    <x v="20"/>
    <n v="456"/>
    <x v="3"/>
    <x v="0"/>
    <x v="20"/>
  </r>
  <r>
    <n v="10270"/>
    <x v="40"/>
    <n v="36.799999999999997"/>
    <n v="25"/>
    <n v="0"/>
    <x v="16"/>
    <x v="20"/>
    <n v="919.99999999999989"/>
    <x v="6"/>
    <x v="0"/>
    <x v="40"/>
  </r>
  <r>
    <n v="10271"/>
    <x v="10"/>
    <n v="2"/>
    <n v="24"/>
    <n v="0"/>
    <x v="20"/>
    <x v="20"/>
    <n v="48"/>
    <x v="0"/>
    <x v="0"/>
    <x v="10"/>
  </r>
  <r>
    <n v="10272"/>
    <x v="9"/>
    <n v="64.8"/>
    <n v="6"/>
    <n v="0"/>
    <x v="13"/>
    <x v="21"/>
    <n v="388.79999999999995"/>
    <x v="5"/>
    <x v="0"/>
    <x v="9"/>
  </r>
  <r>
    <n v="10272"/>
    <x v="12"/>
    <n v="10"/>
    <n v="40"/>
    <n v="0"/>
    <x v="13"/>
    <x v="21"/>
    <n v="400"/>
    <x v="0"/>
    <x v="0"/>
    <x v="12"/>
  </r>
  <r>
    <n v="10272"/>
    <x v="2"/>
    <n v="27.8"/>
    <n v="24"/>
    <n v="0"/>
    <x v="13"/>
    <x v="21"/>
    <n v="667.2"/>
    <x v="0"/>
    <x v="0"/>
    <x v="2"/>
  </r>
  <r>
    <n v="10273"/>
    <x v="41"/>
    <n v="24.8"/>
    <n v="24"/>
    <n v="5.000000074505806E-2"/>
    <x v="21"/>
    <x v="22"/>
    <n v="565.43999955654147"/>
    <x v="3"/>
    <x v="0"/>
    <x v="41"/>
  </r>
  <r>
    <n v="10273"/>
    <x v="12"/>
    <n v="10"/>
    <n v="15"/>
    <n v="5.000000074505806E-2"/>
    <x v="21"/>
    <x v="22"/>
    <n v="142.49999988824129"/>
    <x v="0"/>
    <x v="0"/>
    <x v="12"/>
  </r>
  <r>
    <n v="10273"/>
    <x v="10"/>
    <n v="2"/>
    <n v="20"/>
    <n v="0"/>
    <x v="21"/>
    <x v="22"/>
    <n v="40"/>
    <x v="0"/>
    <x v="0"/>
    <x v="10"/>
  </r>
  <r>
    <n v="10273"/>
    <x v="37"/>
    <n v="14.7"/>
    <n v="60"/>
    <n v="5.000000074505806E-2"/>
    <x v="21"/>
    <x v="22"/>
    <n v="837.89999934285879"/>
    <x v="3"/>
    <x v="0"/>
    <x v="37"/>
  </r>
  <r>
    <n v="10273"/>
    <x v="38"/>
    <n v="14.4"/>
    <n v="33"/>
    <n v="5.000000074505806E-2"/>
    <x v="21"/>
    <x v="22"/>
    <n v="451.43999964594838"/>
    <x v="6"/>
    <x v="0"/>
    <x v="38"/>
  </r>
  <r>
    <n v="10274"/>
    <x v="42"/>
    <n v="17.2"/>
    <n v="20"/>
    <n v="0"/>
    <x v="0"/>
    <x v="23"/>
    <n v="344"/>
    <x v="0"/>
    <x v="0"/>
    <x v="42"/>
  </r>
  <r>
    <n v="10274"/>
    <x v="2"/>
    <n v="27.8"/>
    <n v="7"/>
    <n v="0"/>
    <x v="0"/>
    <x v="23"/>
    <n v="194.6"/>
    <x v="0"/>
    <x v="0"/>
    <x v="2"/>
  </r>
  <r>
    <n v="10275"/>
    <x v="15"/>
    <n v="3.6"/>
    <n v="12"/>
    <n v="5.000000074505806E-2"/>
    <x v="22"/>
    <x v="24"/>
    <n v="41.039999967813493"/>
    <x v="6"/>
    <x v="0"/>
    <x v="15"/>
  </r>
  <r>
    <n v="10275"/>
    <x v="21"/>
    <n v="44"/>
    <n v="6"/>
    <n v="5.000000074505806E-2"/>
    <x v="22"/>
    <x v="24"/>
    <n v="250.79999980330467"/>
    <x v="0"/>
    <x v="0"/>
    <x v="21"/>
  </r>
  <r>
    <n v="10276"/>
    <x v="41"/>
    <n v="24.8"/>
    <n v="15"/>
    <n v="0"/>
    <x v="23"/>
    <x v="25"/>
    <n v="372"/>
    <x v="3"/>
    <x v="0"/>
    <x v="41"/>
  </r>
  <r>
    <n v="10276"/>
    <x v="43"/>
    <n v="4.8"/>
    <n v="10"/>
    <n v="0"/>
    <x v="23"/>
    <x v="25"/>
    <n v="48"/>
    <x v="3"/>
    <x v="0"/>
    <x v="43"/>
  </r>
  <r>
    <n v="10277"/>
    <x v="44"/>
    <n v="36.4"/>
    <n v="20"/>
    <n v="0"/>
    <x v="24"/>
    <x v="26"/>
    <n v="728"/>
    <x v="2"/>
    <x v="0"/>
    <x v="44"/>
  </r>
  <r>
    <n v="10277"/>
    <x v="29"/>
    <n v="39.4"/>
    <n v="12"/>
    <n v="0"/>
    <x v="24"/>
    <x v="26"/>
    <n v="472.79999999999995"/>
    <x v="5"/>
    <x v="0"/>
    <x v="29"/>
  </r>
  <r>
    <n v="10278"/>
    <x v="45"/>
    <n v="15.5"/>
    <n v="16"/>
    <n v="0"/>
    <x v="25"/>
    <x v="27"/>
    <n v="248"/>
    <x v="4"/>
    <x v="0"/>
    <x v="45"/>
  </r>
  <r>
    <n v="10278"/>
    <x v="21"/>
    <n v="44"/>
    <n v="15"/>
    <n v="0"/>
    <x v="25"/>
    <x v="27"/>
    <n v="660"/>
    <x v="0"/>
    <x v="0"/>
    <x v="21"/>
  </r>
  <r>
    <n v="10278"/>
    <x v="46"/>
    <n v="35.1"/>
    <n v="8"/>
    <n v="0"/>
    <x v="25"/>
    <x v="27"/>
    <n v="280.8"/>
    <x v="4"/>
    <x v="0"/>
    <x v="46"/>
  </r>
  <r>
    <n v="10278"/>
    <x v="47"/>
    <n v="12"/>
    <n v="25"/>
    <n v="0"/>
    <x v="25"/>
    <x v="27"/>
    <n v="300"/>
    <x v="3"/>
    <x v="0"/>
    <x v="47"/>
  </r>
  <r>
    <n v="10279"/>
    <x v="35"/>
    <n v="31.2"/>
    <n v="15"/>
    <n v="0.25"/>
    <x v="26"/>
    <x v="28"/>
    <n v="351"/>
    <x v="7"/>
    <x v="0"/>
    <x v="35"/>
  </r>
  <r>
    <n v="10280"/>
    <x v="15"/>
    <n v="3.6"/>
    <n v="12"/>
    <n v="0"/>
    <x v="25"/>
    <x v="29"/>
    <n v="43.2"/>
    <x v="6"/>
    <x v="0"/>
    <x v="15"/>
  </r>
  <r>
    <n v="10280"/>
    <x v="16"/>
    <n v="19.2"/>
    <n v="20"/>
    <n v="0"/>
    <x v="25"/>
    <x v="29"/>
    <n v="384"/>
    <x v="7"/>
    <x v="0"/>
    <x v="16"/>
  </r>
  <r>
    <n v="10280"/>
    <x v="48"/>
    <n v="6.2"/>
    <n v="30"/>
    <n v="0"/>
    <x v="25"/>
    <x v="29"/>
    <n v="186"/>
    <x v="6"/>
    <x v="0"/>
    <x v="48"/>
  </r>
  <r>
    <n v="10281"/>
    <x v="49"/>
    <n v="7.3"/>
    <n v="1"/>
    <n v="0"/>
    <x v="27"/>
    <x v="29"/>
    <n v="7.3"/>
    <x v="5"/>
    <x v="0"/>
    <x v="49"/>
  </r>
  <r>
    <n v="10281"/>
    <x v="15"/>
    <n v="3.6"/>
    <n v="6"/>
    <n v="0"/>
    <x v="27"/>
    <x v="29"/>
    <n v="21.6"/>
    <x v="6"/>
    <x v="0"/>
    <x v="15"/>
  </r>
  <r>
    <n v="10281"/>
    <x v="31"/>
    <n v="14.4"/>
    <n v="4"/>
    <n v="0"/>
    <x v="27"/>
    <x v="29"/>
    <n v="57.6"/>
    <x v="6"/>
    <x v="0"/>
    <x v="31"/>
  </r>
  <r>
    <n v="10282"/>
    <x v="34"/>
    <n v="20.7"/>
    <n v="6"/>
    <n v="0"/>
    <x v="27"/>
    <x v="30"/>
    <n v="124.19999999999999"/>
    <x v="3"/>
    <x v="0"/>
    <x v="34"/>
  </r>
  <r>
    <n v="10282"/>
    <x v="8"/>
    <n v="15.6"/>
    <n v="2"/>
    <n v="0"/>
    <x v="27"/>
    <x v="30"/>
    <n v="31.2"/>
    <x v="1"/>
    <x v="0"/>
    <x v="8"/>
  </r>
  <r>
    <n v="10283"/>
    <x v="50"/>
    <n v="12.4"/>
    <n v="20"/>
    <n v="0"/>
    <x v="28"/>
    <x v="31"/>
    <n v="248"/>
    <x v="4"/>
    <x v="0"/>
    <x v="50"/>
  </r>
  <r>
    <n v="10283"/>
    <x v="49"/>
    <n v="7.3"/>
    <n v="18"/>
    <n v="0"/>
    <x v="28"/>
    <x v="31"/>
    <n v="131.4"/>
    <x v="5"/>
    <x v="0"/>
    <x v="49"/>
  </r>
  <r>
    <n v="10283"/>
    <x v="11"/>
    <n v="27.2"/>
    <n v="35"/>
    <n v="0"/>
    <x v="28"/>
    <x v="31"/>
    <n v="952"/>
    <x v="0"/>
    <x v="0"/>
    <x v="11"/>
  </r>
  <r>
    <n v="10283"/>
    <x v="2"/>
    <n v="27.8"/>
    <n v="3"/>
    <n v="0"/>
    <x v="28"/>
    <x v="31"/>
    <n v="83.4"/>
    <x v="0"/>
    <x v="0"/>
    <x v="2"/>
  </r>
  <r>
    <n v="10284"/>
    <x v="24"/>
    <n v="35.1"/>
    <n v="15"/>
    <n v="0.25"/>
    <x v="26"/>
    <x v="32"/>
    <n v="394.875"/>
    <x v="5"/>
    <x v="0"/>
    <x v="24"/>
  </r>
  <r>
    <n v="10284"/>
    <x v="45"/>
    <n v="15.5"/>
    <n v="21"/>
    <n v="0"/>
    <x v="26"/>
    <x v="32"/>
    <n v="325.5"/>
    <x v="4"/>
    <x v="0"/>
    <x v="45"/>
  </r>
  <r>
    <n v="10284"/>
    <x v="11"/>
    <n v="27.2"/>
    <n v="20"/>
    <n v="0.25"/>
    <x v="26"/>
    <x v="32"/>
    <n v="408"/>
    <x v="0"/>
    <x v="0"/>
    <x v="11"/>
  </r>
  <r>
    <n v="10284"/>
    <x v="51"/>
    <n v="11.2"/>
    <n v="5"/>
    <n v="0.25"/>
    <x v="26"/>
    <x v="32"/>
    <n v="42"/>
    <x v="6"/>
    <x v="0"/>
    <x v="51"/>
  </r>
  <r>
    <n v="10285"/>
    <x v="52"/>
    <n v="14.4"/>
    <n v="45"/>
    <n v="0.20000000298023224"/>
    <x v="21"/>
    <x v="33"/>
    <n v="518.39999806880951"/>
    <x v="6"/>
    <x v="0"/>
    <x v="52"/>
  </r>
  <r>
    <n v="10285"/>
    <x v="37"/>
    <n v="14.7"/>
    <n v="40"/>
    <n v="0.20000000298023224"/>
    <x v="21"/>
    <x v="33"/>
    <n v="470.39999824762344"/>
    <x v="3"/>
    <x v="0"/>
    <x v="37"/>
  </r>
  <r>
    <n v="10285"/>
    <x v="22"/>
    <n v="26.2"/>
    <n v="36"/>
    <n v="0.20000000298023224"/>
    <x v="21"/>
    <x v="33"/>
    <n v="754.55999718904491"/>
    <x v="7"/>
    <x v="0"/>
    <x v="22"/>
  </r>
  <r>
    <n v="10286"/>
    <x v="31"/>
    <n v="14.4"/>
    <n v="100"/>
    <n v="0"/>
    <x v="21"/>
    <x v="34"/>
    <n v="1440"/>
    <x v="6"/>
    <x v="0"/>
    <x v="31"/>
  </r>
  <r>
    <n v="10286"/>
    <x v="29"/>
    <n v="39.4"/>
    <n v="40"/>
    <n v="0"/>
    <x v="21"/>
    <x v="34"/>
    <n v="1576"/>
    <x v="5"/>
    <x v="0"/>
    <x v="29"/>
  </r>
  <r>
    <n v="10287"/>
    <x v="19"/>
    <n v="13.9"/>
    <n v="40"/>
    <n v="0.15000000596046448"/>
    <x v="29"/>
    <x v="35"/>
    <n v="472.59999668598175"/>
    <x v="5"/>
    <x v="0"/>
    <x v="19"/>
  </r>
  <r>
    <n v="10287"/>
    <x v="53"/>
    <n v="11.2"/>
    <n v="20"/>
    <n v="0"/>
    <x v="29"/>
    <x v="35"/>
    <n v="224"/>
    <x v="6"/>
    <x v="0"/>
    <x v="53"/>
  </r>
  <r>
    <n v="10287"/>
    <x v="54"/>
    <n v="9.6"/>
    <n v="15"/>
    <n v="0.15000000596046448"/>
    <x v="29"/>
    <x v="35"/>
    <n v="122.39999914169312"/>
    <x v="3"/>
    <x v="0"/>
    <x v="54"/>
  </r>
  <r>
    <n v="10288"/>
    <x v="55"/>
    <n v="5.9"/>
    <n v="10"/>
    <n v="0.10000000149011612"/>
    <x v="30"/>
    <x v="36"/>
    <n v="53.099999912083149"/>
    <x v="7"/>
    <x v="0"/>
    <x v="55"/>
  </r>
  <r>
    <n v="10288"/>
    <x v="56"/>
    <n v="10"/>
    <n v="3"/>
    <n v="0.10000000149011612"/>
    <x v="30"/>
    <x v="36"/>
    <n v="26.999999955296516"/>
    <x v="5"/>
    <x v="0"/>
    <x v="56"/>
  </r>
  <r>
    <n v="10289"/>
    <x v="57"/>
    <n v="8"/>
    <n v="30"/>
    <n v="0"/>
    <x v="31"/>
    <x v="37"/>
    <n v="240"/>
    <x v="4"/>
    <x v="0"/>
    <x v="57"/>
  </r>
  <r>
    <n v="10289"/>
    <x v="58"/>
    <n v="26.6"/>
    <n v="9"/>
    <n v="0"/>
    <x v="31"/>
    <x v="37"/>
    <n v="239.4"/>
    <x v="1"/>
    <x v="0"/>
    <x v="58"/>
  </r>
  <r>
    <n v="10290"/>
    <x v="25"/>
    <n v="17"/>
    <n v="20"/>
    <n v="0"/>
    <x v="32"/>
    <x v="38"/>
    <n v="340"/>
    <x v="4"/>
    <x v="0"/>
    <x v="25"/>
  </r>
  <r>
    <n v="10290"/>
    <x v="39"/>
    <n v="99"/>
    <n v="15"/>
    <n v="0"/>
    <x v="32"/>
    <x v="38"/>
    <n v="1485"/>
    <x v="7"/>
    <x v="0"/>
    <x v="39"/>
  </r>
  <r>
    <n v="10290"/>
    <x v="14"/>
    <n v="16"/>
    <n v="15"/>
    <n v="0"/>
    <x v="32"/>
    <x v="38"/>
    <n v="240"/>
    <x v="5"/>
    <x v="0"/>
    <x v="14"/>
  </r>
  <r>
    <n v="10290"/>
    <x v="23"/>
    <n v="10.4"/>
    <n v="10"/>
    <n v="0"/>
    <x v="32"/>
    <x v="38"/>
    <n v="104"/>
    <x v="4"/>
    <x v="0"/>
    <x v="23"/>
  </r>
  <r>
    <n v="10291"/>
    <x v="43"/>
    <n v="4.8"/>
    <n v="20"/>
    <n v="0.10000000149011612"/>
    <x v="12"/>
    <x v="38"/>
    <n v="86.399999856948853"/>
    <x v="3"/>
    <x v="0"/>
    <x v="43"/>
  </r>
  <r>
    <n v="10291"/>
    <x v="45"/>
    <n v="15.5"/>
    <n v="24"/>
    <n v="0.10000000149011612"/>
    <x v="12"/>
    <x v="38"/>
    <n v="334.7999994456768"/>
    <x v="4"/>
    <x v="0"/>
    <x v="45"/>
  </r>
  <r>
    <n v="10291"/>
    <x v="4"/>
    <n v="42.4"/>
    <n v="2"/>
    <n v="0.10000000149011612"/>
    <x v="12"/>
    <x v="38"/>
    <n v="76.319999873638153"/>
    <x v="2"/>
    <x v="0"/>
    <x v="4"/>
  </r>
  <r>
    <n v="10292"/>
    <x v="9"/>
    <n v="64.8"/>
    <n v="20"/>
    <n v="0"/>
    <x v="33"/>
    <x v="39"/>
    <n v="1296"/>
    <x v="5"/>
    <x v="0"/>
    <x v="9"/>
  </r>
  <r>
    <n v="10293"/>
    <x v="59"/>
    <n v="50"/>
    <n v="12"/>
    <n v="0"/>
    <x v="23"/>
    <x v="40"/>
    <n v="600"/>
    <x v="3"/>
    <x v="0"/>
    <x v="59"/>
  </r>
  <r>
    <n v="10293"/>
    <x v="15"/>
    <n v="3.6"/>
    <n v="10"/>
    <n v="0"/>
    <x v="23"/>
    <x v="40"/>
    <n v="36"/>
    <x v="6"/>
    <x v="0"/>
    <x v="15"/>
  </r>
  <r>
    <n v="10293"/>
    <x v="46"/>
    <n v="35.1"/>
    <n v="5"/>
    <n v="0"/>
    <x v="23"/>
    <x v="40"/>
    <n v="175.5"/>
    <x v="4"/>
    <x v="0"/>
    <x v="46"/>
  </r>
  <r>
    <n v="10293"/>
    <x v="48"/>
    <n v="6.2"/>
    <n v="6"/>
    <n v="0"/>
    <x v="23"/>
    <x v="40"/>
    <n v="37.200000000000003"/>
    <x v="6"/>
    <x v="0"/>
    <x v="48"/>
  </r>
  <r>
    <n v="10294"/>
    <x v="52"/>
    <n v="14.4"/>
    <n v="18"/>
    <n v="0"/>
    <x v="13"/>
    <x v="41"/>
    <n v="259.2"/>
    <x v="6"/>
    <x v="0"/>
    <x v="52"/>
  </r>
  <r>
    <n v="10294"/>
    <x v="35"/>
    <n v="31.2"/>
    <n v="15"/>
    <n v="0"/>
    <x v="13"/>
    <x v="41"/>
    <n v="468"/>
    <x v="7"/>
    <x v="0"/>
    <x v="35"/>
  </r>
  <r>
    <n v="10294"/>
    <x v="40"/>
    <n v="36.799999999999997"/>
    <n v="15"/>
    <n v="0"/>
    <x v="13"/>
    <x v="41"/>
    <n v="552"/>
    <x v="6"/>
    <x v="0"/>
    <x v="40"/>
  </r>
  <r>
    <n v="10294"/>
    <x v="11"/>
    <n v="27.2"/>
    <n v="21"/>
    <n v="0"/>
    <x v="13"/>
    <x v="41"/>
    <n v="571.19999999999993"/>
    <x v="0"/>
    <x v="0"/>
    <x v="11"/>
  </r>
  <r>
    <n v="10294"/>
    <x v="48"/>
    <n v="6.2"/>
    <n v="6"/>
    <n v="0"/>
    <x v="13"/>
    <x v="41"/>
    <n v="37.200000000000003"/>
    <x v="6"/>
    <x v="0"/>
    <x v="48"/>
  </r>
  <r>
    <n v="10295"/>
    <x v="33"/>
    <n v="30.4"/>
    <n v="4"/>
    <n v="0"/>
    <x v="0"/>
    <x v="42"/>
    <n v="121.6"/>
    <x v="1"/>
    <x v="0"/>
    <x v="33"/>
  </r>
  <r>
    <n v="10296"/>
    <x v="0"/>
    <n v="16.8"/>
    <n v="12"/>
    <n v="0"/>
    <x v="28"/>
    <x v="43"/>
    <n v="201.60000000000002"/>
    <x v="0"/>
    <x v="0"/>
    <x v="0"/>
  </r>
  <r>
    <n v="10296"/>
    <x v="19"/>
    <n v="13.9"/>
    <n v="30"/>
    <n v="0"/>
    <x v="28"/>
    <x v="43"/>
    <n v="417"/>
    <x v="5"/>
    <x v="0"/>
    <x v="19"/>
  </r>
  <r>
    <n v="10296"/>
    <x v="60"/>
    <n v="28.8"/>
    <n v="15"/>
    <n v="0"/>
    <x v="28"/>
    <x v="43"/>
    <n v="432"/>
    <x v="0"/>
    <x v="0"/>
    <x v="60"/>
  </r>
  <r>
    <n v="10297"/>
    <x v="13"/>
    <n v="14.4"/>
    <n v="60"/>
    <n v="0"/>
    <x v="15"/>
    <x v="44"/>
    <n v="864"/>
    <x v="6"/>
    <x v="0"/>
    <x v="13"/>
  </r>
  <r>
    <n v="10297"/>
    <x v="2"/>
    <n v="27.8"/>
    <n v="20"/>
    <n v="0"/>
    <x v="15"/>
    <x v="44"/>
    <n v="556"/>
    <x v="0"/>
    <x v="0"/>
    <x v="2"/>
  </r>
  <r>
    <n v="10298"/>
    <x v="18"/>
    <n v="15.2"/>
    <n v="40"/>
    <n v="0"/>
    <x v="34"/>
    <x v="45"/>
    <n v="608"/>
    <x v="6"/>
    <x v="0"/>
    <x v="18"/>
  </r>
  <r>
    <n v="10298"/>
    <x v="20"/>
    <n v="15.2"/>
    <n v="40"/>
    <n v="0.25"/>
    <x v="34"/>
    <x v="45"/>
    <n v="456"/>
    <x v="3"/>
    <x v="0"/>
    <x v="20"/>
  </r>
  <r>
    <n v="10298"/>
    <x v="21"/>
    <n v="44"/>
    <n v="30"/>
    <n v="0.25"/>
    <x v="34"/>
    <x v="45"/>
    <n v="990"/>
    <x v="0"/>
    <x v="0"/>
    <x v="21"/>
  </r>
  <r>
    <n v="10298"/>
    <x v="29"/>
    <n v="39.4"/>
    <n v="15"/>
    <n v="0"/>
    <x v="34"/>
    <x v="45"/>
    <n v="591"/>
    <x v="5"/>
    <x v="0"/>
    <x v="29"/>
  </r>
  <r>
    <n v="10299"/>
    <x v="49"/>
    <n v="7.3"/>
    <n v="15"/>
    <n v="0"/>
    <x v="29"/>
    <x v="46"/>
    <n v="109.5"/>
    <x v="5"/>
    <x v="0"/>
    <x v="49"/>
  </r>
  <r>
    <n v="10299"/>
    <x v="30"/>
    <n v="12"/>
    <n v="20"/>
    <n v="0"/>
    <x v="29"/>
    <x v="46"/>
    <n v="240"/>
    <x v="6"/>
    <x v="0"/>
    <x v="30"/>
  </r>
  <r>
    <n v="10300"/>
    <x v="61"/>
    <n v="13.6"/>
    <n v="30"/>
    <n v="0"/>
    <x v="22"/>
    <x v="47"/>
    <n v="408"/>
    <x v="4"/>
    <x v="0"/>
    <x v="61"/>
  </r>
  <r>
    <n v="10300"/>
    <x v="56"/>
    <n v="10"/>
    <n v="20"/>
    <n v="0"/>
    <x v="22"/>
    <x v="47"/>
    <n v="200"/>
    <x v="5"/>
    <x v="0"/>
    <x v="56"/>
  </r>
  <r>
    <n v="10301"/>
    <x v="37"/>
    <n v="14.7"/>
    <n v="10"/>
    <n v="0"/>
    <x v="35"/>
    <x v="47"/>
    <n v="147"/>
    <x v="3"/>
    <x v="0"/>
    <x v="37"/>
  </r>
  <r>
    <n v="10301"/>
    <x v="33"/>
    <n v="30.4"/>
    <n v="20"/>
    <n v="0"/>
    <x v="35"/>
    <x v="47"/>
    <n v="608"/>
    <x v="1"/>
    <x v="0"/>
    <x v="33"/>
  </r>
  <r>
    <n v="10302"/>
    <x v="35"/>
    <n v="31.2"/>
    <n v="40"/>
    <n v="0"/>
    <x v="4"/>
    <x v="48"/>
    <n v="1248"/>
    <x v="7"/>
    <x v="0"/>
    <x v="35"/>
  </r>
  <r>
    <n v="10302"/>
    <x v="44"/>
    <n v="36.4"/>
    <n v="28"/>
    <n v="0"/>
    <x v="4"/>
    <x v="48"/>
    <n v="1019.1999999999999"/>
    <x v="2"/>
    <x v="0"/>
    <x v="44"/>
  </r>
  <r>
    <n v="10302"/>
    <x v="40"/>
    <n v="36.799999999999997"/>
    <n v="12"/>
    <n v="0"/>
    <x v="4"/>
    <x v="48"/>
    <n v="441.59999999999997"/>
    <x v="6"/>
    <x v="0"/>
    <x v="40"/>
  </r>
  <r>
    <n v="10303"/>
    <x v="37"/>
    <n v="14.7"/>
    <n v="40"/>
    <n v="0.10000000149011612"/>
    <x v="36"/>
    <x v="49"/>
    <n v="529.19999912381172"/>
    <x v="3"/>
    <x v="0"/>
    <x v="37"/>
  </r>
  <r>
    <n v="10303"/>
    <x v="6"/>
    <n v="16.8"/>
    <n v="30"/>
    <n v="0.10000000149011612"/>
    <x v="36"/>
    <x v="49"/>
    <n v="453.59999924898148"/>
    <x v="4"/>
    <x v="0"/>
    <x v="6"/>
  </r>
  <r>
    <n v="10303"/>
    <x v="56"/>
    <n v="10"/>
    <n v="15"/>
    <n v="0.10000000149011612"/>
    <x v="36"/>
    <x v="49"/>
    <n v="134.99999977648258"/>
    <x v="5"/>
    <x v="0"/>
    <x v="56"/>
  </r>
  <r>
    <n v="10304"/>
    <x v="14"/>
    <n v="16"/>
    <n v="30"/>
    <n v="0"/>
    <x v="23"/>
    <x v="50"/>
    <n v="480"/>
    <x v="5"/>
    <x v="0"/>
    <x v="14"/>
  </r>
  <r>
    <n v="10304"/>
    <x v="21"/>
    <n v="44"/>
    <n v="10"/>
    <n v="0"/>
    <x v="23"/>
    <x v="50"/>
    <n v="440"/>
    <x v="0"/>
    <x v="0"/>
    <x v="21"/>
  </r>
  <r>
    <n v="10304"/>
    <x v="42"/>
    <n v="17.2"/>
    <n v="2"/>
    <n v="0"/>
    <x v="23"/>
    <x v="50"/>
    <n v="34.4"/>
    <x v="0"/>
    <x v="0"/>
    <x v="42"/>
  </r>
  <r>
    <n v="10305"/>
    <x v="59"/>
    <n v="50"/>
    <n v="25"/>
    <n v="0.10000000149011612"/>
    <x v="37"/>
    <x v="51"/>
    <n v="1124.9999981373549"/>
    <x v="3"/>
    <x v="0"/>
    <x v="59"/>
  </r>
  <r>
    <n v="10305"/>
    <x v="39"/>
    <n v="99"/>
    <n v="25"/>
    <n v="0.10000000149011612"/>
    <x v="37"/>
    <x v="51"/>
    <n v="2227.4999963119626"/>
    <x v="7"/>
    <x v="0"/>
    <x v="39"/>
  </r>
  <r>
    <n v="10305"/>
    <x v="13"/>
    <n v="14.4"/>
    <n v="30"/>
    <n v="0.10000000149011612"/>
    <x v="37"/>
    <x v="51"/>
    <n v="388.79999935626984"/>
    <x v="6"/>
    <x v="0"/>
    <x v="13"/>
  </r>
  <r>
    <n v="10306"/>
    <x v="34"/>
    <n v="20.7"/>
    <n v="10"/>
    <n v="0"/>
    <x v="27"/>
    <x v="52"/>
    <n v="207"/>
    <x v="3"/>
    <x v="0"/>
    <x v="34"/>
  </r>
  <r>
    <n v="10306"/>
    <x v="22"/>
    <n v="26.2"/>
    <n v="10"/>
    <n v="0"/>
    <x v="27"/>
    <x v="52"/>
    <n v="262"/>
    <x v="7"/>
    <x v="0"/>
    <x v="22"/>
  </r>
  <r>
    <n v="10306"/>
    <x v="55"/>
    <n v="5.9"/>
    <n v="5"/>
    <n v="0"/>
    <x v="27"/>
    <x v="52"/>
    <n v="29.5"/>
    <x v="7"/>
    <x v="0"/>
    <x v="55"/>
  </r>
  <r>
    <n v="10307"/>
    <x v="29"/>
    <n v="39.4"/>
    <n v="10"/>
    <n v="0"/>
    <x v="38"/>
    <x v="53"/>
    <n v="394"/>
    <x v="5"/>
    <x v="0"/>
    <x v="29"/>
  </r>
  <r>
    <n v="10307"/>
    <x v="56"/>
    <n v="10"/>
    <n v="3"/>
    <n v="0"/>
    <x v="38"/>
    <x v="53"/>
    <n v="30"/>
    <x v="5"/>
    <x v="0"/>
    <x v="56"/>
  </r>
  <r>
    <n v="10308"/>
    <x v="60"/>
    <n v="28.8"/>
    <n v="1"/>
    <n v="0"/>
    <x v="39"/>
    <x v="54"/>
    <n v="28.8"/>
    <x v="0"/>
    <x v="0"/>
    <x v="60"/>
  </r>
  <r>
    <n v="10308"/>
    <x v="30"/>
    <n v="12"/>
    <n v="5"/>
    <n v="0"/>
    <x v="39"/>
    <x v="54"/>
    <n v="60"/>
    <x v="6"/>
    <x v="0"/>
    <x v="30"/>
  </r>
  <r>
    <n v="10309"/>
    <x v="62"/>
    <n v="17.600000000000001"/>
    <n v="20"/>
    <n v="0"/>
    <x v="34"/>
    <x v="55"/>
    <n v="352"/>
    <x v="4"/>
    <x v="0"/>
    <x v="62"/>
  </r>
  <r>
    <n v="10309"/>
    <x v="63"/>
    <n v="20"/>
    <n v="30"/>
    <n v="0"/>
    <x v="34"/>
    <x v="55"/>
    <n v="600"/>
    <x v="4"/>
    <x v="0"/>
    <x v="63"/>
  </r>
  <r>
    <n v="10309"/>
    <x v="1"/>
    <n v="11.2"/>
    <n v="2"/>
    <n v="0"/>
    <x v="34"/>
    <x v="55"/>
    <n v="22.4"/>
    <x v="1"/>
    <x v="0"/>
    <x v="1"/>
  </r>
  <r>
    <n v="10309"/>
    <x v="40"/>
    <n v="36.799999999999997"/>
    <n v="20"/>
    <n v="0"/>
    <x v="34"/>
    <x v="55"/>
    <n v="736"/>
    <x v="6"/>
    <x v="0"/>
    <x v="40"/>
  </r>
  <r>
    <n v="10309"/>
    <x v="42"/>
    <n v="17.2"/>
    <n v="3"/>
    <n v="0"/>
    <x v="34"/>
    <x v="55"/>
    <n v="51.599999999999994"/>
    <x v="0"/>
    <x v="0"/>
    <x v="42"/>
  </r>
  <r>
    <n v="10310"/>
    <x v="19"/>
    <n v="13.9"/>
    <n v="10"/>
    <n v="0"/>
    <x v="40"/>
    <x v="56"/>
    <n v="139"/>
    <x v="5"/>
    <x v="0"/>
    <x v="19"/>
  </r>
  <r>
    <n v="10310"/>
    <x v="29"/>
    <n v="39.4"/>
    <n v="5"/>
    <n v="0"/>
    <x v="40"/>
    <x v="56"/>
    <n v="197"/>
    <x v="5"/>
    <x v="0"/>
    <x v="29"/>
  </r>
  <r>
    <n v="10311"/>
    <x v="1"/>
    <n v="11.2"/>
    <n v="6"/>
    <n v="0"/>
    <x v="41"/>
    <x v="56"/>
    <n v="67.199999999999989"/>
    <x v="1"/>
    <x v="0"/>
    <x v="1"/>
  </r>
  <r>
    <n v="10311"/>
    <x v="60"/>
    <n v="28.8"/>
    <n v="7"/>
    <n v="0"/>
    <x v="41"/>
    <x v="56"/>
    <n v="201.6"/>
    <x v="0"/>
    <x v="0"/>
    <x v="60"/>
  </r>
  <r>
    <n v="10312"/>
    <x v="44"/>
    <n v="36.4"/>
    <n v="4"/>
    <n v="0"/>
    <x v="35"/>
    <x v="57"/>
    <n v="145.6"/>
    <x v="2"/>
    <x v="0"/>
    <x v="44"/>
  </r>
  <r>
    <n v="10312"/>
    <x v="40"/>
    <n v="36.799999999999997"/>
    <n v="24"/>
    <n v="0"/>
    <x v="35"/>
    <x v="57"/>
    <n v="883.19999999999993"/>
    <x v="6"/>
    <x v="0"/>
    <x v="40"/>
  </r>
  <r>
    <n v="10312"/>
    <x v="22"/>
    <n v="26.2"/>
    <n v="20"/>
    <n v="0"/>
    <x v="35"/>
    <x v="57"/>
    <n v="524"/>
    <x v="7"/>
    <x v="0"/>
    <x v="22"/>
  </r>
  <r>
    <n v="10312"/>
    <x v="48"/>
    <n v="6.2"/>
    <n v="10"/>
    <n v="0"/>
    <x v="35"/>
    <x v="57"/>
    <n v="62"/>
    <x v="6"/>
    <x v="0"/>
    <x v="48"/>
  </r>
  <r>
    <n v="10313"/>
    <x v="20"/>
    <n v="15.2"/>
    <n v="12"/>
    <n v="0"/>
    <x v="21"/>
    <x v="58"/>
    <n v="182.39999999999998"/>
    <x v="3"/>
    <x v="0"/>
    <x v="20"/>
  </r>
  <r>
    <n v="10314"/>
    <x v="26"/>
    <n v="25.6"/>
    <n v="40"/>
    <n v="0.10000000149011612"/>
    <x v="13"/>
    <x v="59"/>
    <n v="921.59999847412109"/>
    <x v="0"/>
    <x v="0"/>
    <x v="26"/>
  </r>
  <r>
    <n v="10314"/>
    <x v="64"/>
    <n v="10.6"/>
    <n v="30"/>
    <n v="0.10000000149011612"/>
    <x v="13"/>
    <x v="59"/>
    <n v="286.19999952614307"/>
    <x v="3"/>
    <x v="0"/>
    <x v="64"/>
  </r>
  <r>
    <n v="10314"/>
    <x v="29"/>
    <n v="39.4"/>
    <n v="25"/>
    <n v="0.10000000149011612"/>
    <x v="13"/>
    <x v="59"/>
    <n v="886.49999853223562"/>
    <x v="5"/>
    <x v="0"/>
    <x v="29"/>
  </r>
  <r>
    <n v="10315"/>
    <x v="53"/>
    <n v="11.2"/>
    <n v="14"/>
    <n v="0"/>
    <x v="42"/>
    <x v="60"/>
    <n v="156.79999999999998"/>
    <x v="6"/>
    <x v="0"/>
    <x v="53"/>
  </r>
  <r>
    <n v="10315"/>
    <x v="30"/>
    <n v="12"/>
    <n v="30"/>
    <n v="0"/>
    <x v="42"/>
    <x v="60"/>
    <n v="360"/>
    <x v="6"/>
    <x v="0"/>
    <x v="30"/>
  </r>
  <r>
    <n v="10316"/>
    <x v="5"/>
    <n v="7.7"/>
    <n v="10"/>
    <n v="0"/>
    <x v="13"/>
    <x v="61"/>
    <n v="77"/>
    <x v="3"/>
    <x v="0"/>
    <x v="5"/>
  </r>
  <r>
    <n v="10316"/>
    <x v="29"/>
    <n v="39.4"/>
    <n v="70"/>
    <n v="0"/>
    <x v="13"/>
    <x v="61"/>
    <n v="2758"/>
    <x v="5"/>
    <x v="0"/>
    <x v="29"/>
  </r>
  <r>
    <n v="10317"/>
    <x v="52"/>
    <n v="14.4"/>
    <n v="20"/>
    <n v="0"/>
    <x v="38"/>
    <x v="62"/>
    <n v="288"/>
    <x v="6"/>
    <x v="0"/>
    <x v="52"/>
  </r>
  <r>
    <n v="10318"/>
    <x v="5"/>
    <n v="7.7"/>
    <n v="20"/>
    <n v="0"/>
    <x v="42"/>
    <x v="63"/>
    <n v="154"/>
    <x v="3"/>
    <x v="1"/>
    <x v="5"/>
  </r>
  <r>
    <n v="10318"/>
    <x v="38"/>
    <n v="14.4"/>
    <n v="6"/>
    <n v="0"/>
    <x v="42"/>
    <x v="63"/>
    <n v="86.4"/>
    <x v="6"/>
    <x v="1"/>
    <x v="38"/>
  </r>
  <r>
    <n v="10319"/>
    <x v="35"/>
    <n v="31.2"/>
    <n v="8"/>
    <n v="0"/>
    <x v="23"/>
    <x v="64"/>
    <n v="249.6"/>
    <x v="7"/>
    <x v="1"/>
    <x v="35"/>
  </r>
  <r>
    <n v="10319"/>
    <x v="44"/>
    <n v="36.4"/>
    <n v="14"/>
    <n v="0"/>
    <x v="23"/>
    <x v="64"/>
    <n v="509.59999999999997"/>
    <x v="2"/>
    <x v="1"/>
    <x v="44"/>
  </r>
  <r>
    <n v="10319"/>
    <x v="38"/>
    <n v="14.4"/>
    <n v="30"/>
    <n v="0"/>
    <x v="23"/>
    <x v="64"/>
    <n v="432"/>
    <x v="6"/>
    <x v="1"/>
    <x v="38"/>
  </r>
  <r>
    <n v="10320"/>
    <x v="42"/>
    <n v="17.2"/>
    <n v="30"/>
    <n v="0"/>
    <x v="16"/>
    <x v="65"/>
    <n v="516"/>
    <x v="0"/>
    <x v="1"/>
    <x v="42"/>
  </r>
  <r>
    <n v="10321"/>
    <x v="31"/>
    <n v="14.4"/>
    <n v="10"/>
    <n v="0"/>
    <x v="42"/>
    <x v="65"/>
    <n v="144"/>
    <x v="6"/>
    <x v="1"/>
    <x v="31"/>
  </r>
  <r>
    <n v="10322"/>
    <x v="65"/>
    <n v="5.6"/>
    <n v="20"/>
    <n v="0"/>
    <x v="43"/>
    <x v="66"/>
    <n v="112"/>
    <x v="1"/>
    <x v="1"/>
    <x v="65"/>
  </r>
  <r>
    <n v="10323"/>
    <x v="50"/>
    <n v="12.4"/>
    <n v="5"/>
    <n v="0"/>
    <x v="44"/>
    <x v="67"/>
    <n v="62"/>
    <x v="4"/>
    <x v="1"/>
    <x v="50"/>
  </r>
  <r>
    <n v="10323"/>
    <x v="66"/>
    <n v="11.2"/>
    <n v="4"/>
    <n v="0"/>
    <x v="44"/>
    <x v="67"/>
    <n v="44.8"/>
    <x v="5"/>
    <x v="1"/>
    <x v="66"/>
  </r>
  <r>
    <n v="10323"/>
    <x v="13"/>
    <n v="14.4"/>
    <n v="4"/>
    <n v="0"/>
    <x v="44"/>
    <x v="67"/>
    <n v="57.6"/>
    <x v="6"/>
    <x v="1"/>
    <x v="13"/>
  </r>
  <r>
    <n v="10324"/>
    <x v="19"/>
    <n v="13.9"/>
    <n v="21"/>
    <n v="0.15000000596046448"/>
    <x v="45"/>
    <x v="68"/>
    <n v="248.11499826014045"/>
    <x v="5"/>
    <x v="1"/>
    <x v="19"/>
  </r>
  <r>
    <n v="10324"/>
    <x v="31"/>
    <n v="14.4"/>
    <n v="70"/>
    <n v="0.15000000596046448"/>
    <x v="45"/>
    <x v="68"/>
    <n v="856.79999399185181"/>
    <x v="6"/>
    <x v="1"/>
    <x v="31"/>
  </r>
  <r>
    <n v="10324"/>
    <x v="54"/>
    <n v="9.6"/>
    <n v="30"/>
    <n v="0"/>
    <x v="45"/>
    <x v="68"/>
    <n v="288"/>
    <x v="3"/>
    <x v="1"/>
    <x v="54"/>
  </r>
  <r>
    <n v="10324"/>
    <x v="21"/>
    <n v="44"/>
    <n v="40"/>
    <n v="0.15000000596046448"/>
    <x v="45"/>
    <x v="68"/>
    <n v="1495.9999895095825"/>
    <x v="0"/>
    <x v="1"/>
    <x v="21"/>
  </r>
  <r>
    <n v="10324"/>
    <x v="46"/>
    <n v="35.1"/>
    <n v="80"/>
    <n v="0.15000000596046448"/>
    <x v="45"/>
    <x v="68"/>
    <n v="2386.7999832630157"/>
    <x v="4"/>
    <x v="1"/>
    <x v="46"/>
  </r>
  <r>
    <n v="10325"/>
    <x v="63"/>
    <n v="20"/>
    <n v="6"/>
    <n v="0"/>
    <x v="44"/>
    <x v="69"/>
    <n v="120"/>
    <x v="4"/>
    <x v="1"/>
    <x v="63"/>
  </r>
  <r>
    <n v="10325"/>
    <x v="43"/>
    <n v="4.8"/>
    <n v="12"/>
    <n v="0"/>
    <x v="44"/>
    <x v="69"/>
    <n v="57.599999999999994"/>
    <x v="3"/>
    <x v="1"/>
    <x v="43"/>
  </r>
  <r>
    <n v="10325"/>
    <x v="3"/>
    <n v="18.600000000000001"/>
    <n v="9"/>
    <n v="0"/>
    <x v="44"/>
    <x v="69"/>
    <n v="167.4"/>
    <x v="2"/>
    <x v="1"/>
    <x v="3"/>
  </r>
  <r>
    <n v="10325"/>
    <x v="12"/>
    <n v="10"/>
    <n v="4"/>
    <n v="0"/>
    <x v="44"/>
    <x v="69"/>
    <n v="40"/>
    <x v="0"/>
    <x v="1"/>
    <x v="12"/>
  </r>
  <r>
    <n v="10325"/>
    <x v="2"/>
    <n v="27.8"/>
    <n v="40"/>
    <n v="0"/>
    <x v="44"/>
    <x v="69"/>
    <n v="1112"/>
    <x v="0"/>
    <x v="1"/>
    <x v="2"/>
  </r>
  <r>
    <n v="10326"/>
    <x v="62"/>
    <n v="17.600000000000001"/>
    <n v="24"/>
    <n v="0"/>
    <x v="46"/>
    <x v="70"/>
    <n v="422.40000000000003"/>
    <x v="4"/>
    <x v="1"/>
    <x v="62"/>
  </r>
  <r>
    <n v="10326"/>
    <x v="8"/>
    <n v="15.6"/>
    <n v="16"/>
    <n v="0"/>
    <x v="46"/>
    <x v="70"/>
    <n v="249.6"/>
    <x v="1"/>
    <x v="1"/>
    <x v="8"/>
  </r>
  <r>
    <n v="10326"/>
    <x v="48"/>
    <n v="6.2"/>
    <n v="50"/>
    <n v="0"/>
    <x v="46"/>
    <x v="70"/>
    <n v="310"/>
    <x v="6"/>
    <x v="1"/>
    <x v="48"/>
  </r>
  <r>
    <n v="10327"/>
    <x v="18"/>
    <n v="15.2"/>
    <n v="25"/>
    <n v="0.20000000298023224"/>
    <x v="14"/>
    <x v="71"/>
    <n v="303.99999886751175"/>
    <x v="6"/>
    <x v="1"/>
    <x v="18"/>
  </r>
  <r>
    <n v="10327"/>
    <x v="0"/>
    <n v="16.8"/>
    <n v="50"/>
    <n v="0.20000000298023224"/>
    <x v="14"/>
    <x v="71"/>
    <n v="671.99999749660492"/>
    <x v="0"/>
    <x v="1"/>
    <x v="0"/>
  </r>
  <r>
    <n v="10327"/>
    <x v="34"/>
    <n v="20.7"/>
    <n v="35"/>
    <n v="0.20000000298023224"/>
    <x v="14"/>
    <x v="71"/>
    <n v="579.59999784082174"/>
    <x v="3"/>
    <x v="1"/>
    <x v="34"/>
  </r>
  <r>
    <n v="10327"/>
    <x v="64"/>
    <n v="10.6"/>
    <n v="30"/>
    <n v="0.20000000298023224"/>
    <x v="14"/>
    <x v="71"/>
    <n v="254.39999905228615"/>
    <x v="3"/>
    <x v="1"/>
    <x v="64"/>
  </r>
  <r>
    <n v="10328"/>
    <x v="21"/>
    <n v="44"/>
    <n v="9"/>
    <n v="0"/>
    <x v="47"/>
    <x v="72"/>
    <n v="396"/>
    <x v="0"/>
    <x v="1"/>
    <x v="21"/>
  </r>
  <r>
    <n v="10328"/>
    <x v="6"/>
    <n v="16.8"/>
    <n v="40"/>
    <n v="0"/>
    <x v="47"/>
    <x v="72"/>
    <n v="672"/>
    <x v="4"/>
    <x v="1"/>
    <x v="6"/>
  </r>
  <r>
    <n v="10328"/>
    <x v="56"/>
    <n v="10"/>
    <n v="10"/>
    <n v="0"/>
    <x v="47"/>
    <x v="72"/>
    <n v="100"/>
    <x v="5"/>
    <x v="1"/>
    <x v="56"/>
  </r>
  <r>
    <n v="10329"/>
    <x v="49"/>
    <n v="7.3"/>
    <n v="10"/>
    <n v="5.000000074505806E-2"/>
    <x v="20"/>
    <x v="73"/>
    <n v="69.349999945610762"/>
    <x v="5"/>
    <x v="1"/>
    <x v="49"/>
  </r>
  <r>
    <n v="10329"/>
    <x v="34"/>
    <n v="20.7"/>
    <n v="8"/>
    <n v="5.000000074505806E-2"/>
    <x v="20"/>
    <x v="73"/>
    <n v="157.31999987661837"/>
    <x v="3"/>
    <x v="1"/>
    <x v="34"/>
  </r>
  <r>
    <n v="10329"/>
    <x v="67"/>
    <n v="210.8"/>
    <n v="20"/>
    <n v="5.000000074505806E-2"/>
    <x v="20"/>
    <x v="73"/>
    <n v="4005.1999968588352"/>
    <x v="6"/>
    <x v="1"/>
    <x v="67"/>
  </r>
  <r>
    <n v="10329"/>
    <x v="33"/>
    <n v="30.4"/>
    <n v="12"/>
    <n v="5.000000074505806E-2"/>
    <x v="20"/>
    <x v="73"/>
    <n v="346.5599997282028"/>
    <x v="1"/>
    <x v="1"/>
    <x v="33"/>
  </r>
  <r>
    <n v="10330"/>
    <x v="68"/>
    <n v="24.9"/>
    <n v="50"/>
    <n v="0.15000000596046448"/>
    <x v="28"/>
    <x v="74"/>
    <n v="1058.2499925792217"/>
    <x v="5"/>
    <x v="1"/>
    <x v="68"/>
  </r>
  <r>
    <n v="10330"/>
    <x v="2"/>
    <n v="27.8"/>
    <n v="25"/>
    <n v="0.15000000596046448"/>
    <x v="28"/>
    <x v="74"/>
    <n v="590.74999585747719"/>
    <x v="0"/>
    <x v="1"/>
    <x v="2"/>
  </r>
  <r>
    <n v="10331"/>
    <x v="55"/>
    <n v="5.9"/>
    <n v="15"/>
    <n v="0"/>
    <x v="48"/>
    <x v="74"/>
    <n v="88.5"/>
    <x v="7"/>
    <x v="1"/>
    <x v="55"/>
  </r>
  <r>
    <n v="10332"/>
    <x v="59"/>
    <n v="50"/>
    <n v="40"/>
    <n v="0.20000000298023224"/>
    <x v="49"/>
    <x v="75"/>
    <n v="1599.9999940395355"/>
    <x v="3"/>
    <x v="1"/>
    <x v="59"/>
  </r>
  <r>
    <n v="10332"/>
    <x v="1"/>
    <n v="11.2"/>
    <n v="10"/>
    <n v="0.20000000298023224"/>
    <x v="49"/>
    <x v="75"/>
    <n v="89.599999666213989"/>
    <x v="1"/>
    <x v="1"/>
    <x v="1"/>
  </r>
  <r>
    <n v="10332"/>
    <x v="69"/>
    <n v="7.6"/>
    <n v="16"/>
    <n v="0.20000000298023224"/>
    <x v="49"/>
    <x v="75"/>
    <n v="97.279999637603751"/>
    <x v="5"/>
    <x v="1"/>
    <x v="69"/>
  </r>
  <r>
    <n v="10333"/>
    <x v="3"/>
    <n v="18.600000000000001"/>
    <n v="10"/>
    <n v="0"/>
    <x v="16"/>
    <x v="76"/>
    <n v="186"/>
    <x v="2"/>
    <x v="1"/>
    <x v="3"/>
  </r>
  <r>
    <n v="10333"/>
    <x v="27"/>
    <n v="8"/>
    <n v="10"/>
    <n v="0.10000000149011612"/>
    <x v="16"/>
    <x v="76"/>
    <n v="71.99999988079071"/>
    <x v="5"/>
    <x v="1"/>
    <x v="27"/>
  </r>
  <r>
    <n v="10333"/>
    <x v="42"/>
    <n v="17.2"/>
    <n v="40"/>
    <n v="0.10000000149011612"/>
    <x v="16"/>
    <x v="76"/>
    <n v="619.19999897480011"/>
    <x v="0"/>
    <x v="1"/>
    <x v="42"/>
  </r>
  <r>
    <n v="10334"/>
    <x v="65"/>
    <n v="5.6"/>
    <n v="8"/>
    <n v="0"/>
    <x v="3"/>
    <x v="77"/>
    <n v="44.8"/>
    <x v="1"/>
    <x v="1"/>
    <x v="65"/>
  </r>
  <r>
    <n v="10334"/>
    <x v="56"/>
    <n v="10"/>
    <n v="10"/>
    <n v="0"/>
    <x v="3"/>
    <x v="77"/>
    <n v="100"/>
    <x v="5"/>
    <x v="1"/>
    <x v="56"/>
  </r>
  <r>
    <n v="10335"/>
    <x v="18"/>
    <n v="15.2"/>
    <n v="7"/>
    <n v="0.20000000298023224"/>
    <x v="34"/>
    <x v="78"/>
    <n v="85.119999682903284"/>
    <x v="6"/>
    <x v="1"/>
    <x v="18"/>
  </r>
  <r>
    <n v="10335"/>
    <x v="12"/>
    <n v="10"/>
    <n v="25"/>
    <n v="0.20000000298023224"/>
    <x v="34"/>
    <x v="78"/>
    <n v="199.99999925494194"/>
    <x v="0"/>
    <x v="1"/>
    <x v="12"/>
  </r>
  <r>
    <n v="10335"/>
    <x v="26"/>
    <n v="25.6"/>
    <n v="6"/>
    <n v="0.20000000298023224"/>
    <x v="34"/>
    <x v="78"/>
    <n v="122.87999954223635"/>
    <x v="0"/>
    <x v="1"/>
    <x v="26"/>
  </r>
  <r>
    <n v="10335"/>
    <x v="4"/>
    <n v="42.4"/>
    <n v="48"/>
    <n v="0.20000000298023224"/>
    <x v="34"/>
    <x v="78"/>
    <n v="1628.1599939346313"/>
    <x v="2"/>
    <x v="1"/>
    <x v="4"/>
  </r>
  <r>
    <n v="10336"/>
    <x v="62"/>
    <n v="17.600000000000001"/>
    <n v="18"/>
    <n v="0.10000000149011612"/>
    <x v="50"/>
    <x v="79"/>
    <n v="285.11999952793121"/>
    <x v="4"/>
    <x v="1"/>
    <x v="62"/>
  </r>
  <r>
    <n v="10337"/>
    <x v="70"/>
    <n v="7.2"/>
    <n v="40"/>
    <n v="0"/>
    <x v="17"/>
    <x v="80"/>
    <n v="288"/>
    <x v="1"/>
    <x v="1"/>
    <x v="70"/>
  </r>
  <r>
    <n v="10337"/>
    <x v="68"/>
    <n v="24.9"/>
    <n v="24"/>
    <n v="0"/>
    <x v="17"/>
    <x v="80"/>
    <n v="597.59999999999991"/>
    <x v="5"/>
    <x v="1"/>
    <x v="68"/>
  </r>
  <r>
    <n v="10337"/>
    <x v="20"/>
    <n v="15.2"/>
    <n v="20"/>
    <n v="0"/>
    <x v="17"/>
    <x v="80"/>
    <n v="304"/>
    <x v="3"/>
    <x v="1"/>
    <x v="20"/>
  </r>
  <r>
    <n v="10337"/>
    <x v="28"/>
    <n v="20.8"/>
    <n v="28"/>
    <n v="0"/>
    <x v="17"/>
    <x v="80"/>
    <n v="582.4"/>
    <x v="3"/>
    <x v="1"/>
    <x v="28"/>
  </r>
  <r>
    <n v="10337"/>
    <x v="2"/>
    <n v="27.8"/>
    <n v="25"/>
    <n v="0"/>
    <x v="17"/>
    <x v="80"/>
    <n v="695"/>
    <x v="0"/>
    <x v="1"/>
    <x v="2"/>
  </r>
  <r>
    <n v="10338"/>
    <x v="35"/>
    <n v="31.2"/>
    <n v="20"/>
    <n v="0"/>
    <x v="37"/>
    <x v="81"/>
    <n v="624"/>
    <x v="7"/>
    <x v="1"/>
    <x v="35"/>
  </r>
  <r>
    <n v="10338"/>
    <x v="34"/>
    <n v="20.7"/>
    <n v="15"/>
    <n v="0"/>
    <x v="37"/>
    <x v="81"/>
    <n v="310.5"/>
    <x v="3"/>
    <x v="1"/>
    <x v="34"/>
  </r>
  <r>
    <n v="10339"/>
    <x v="62"/>
    <n v="17.600000000000001"/>
    <n v="10"/>
    <n v="0"/>
    <x v="49"/>
    <x v="82"/>
    <n v="176"/>
    <x v="4"/>
    <x v="1"/>
    <x v="62"/>
  </r>
  <r>
    <n v="10339"/>
    <x v="35"/>
    <n v="31.2"/>
    <n v="70"/>
    <n v="5.000000074505806E-2"/>
    <x v="49"/>
    <x v="82"/>
    <n v="2074.7999983727932"/>
    <x v="7"/>
    <x v="1"/>
    <x v="35"/>
  </r>
  <r>
    <n v="10339"/>
    <x v="29"/>
    <n v="39.4"/>
    <n v="28"/>
    <n v="0"/>
    <x v="49"/>
    <x v="82"/>
    <n v="1103.2"/>
    <x v="5"/>
    <x v="1"/>
    <x v="29"/>
  </r>
  <r>
    <n v="10340"/>
    <x v="59"/>
    <n v="50"/>
    <n v="20"/>
    <n v="5.000000074505806E-2"/>
    <x v="48"/>
    <x v="83"/>
    <n v="949.99999925494194"/>
    <x v="3"/>
    <x v="1"/>
    <x v="59"/>
  </r>
  <r>
    <n v="10340"/>
    <x v="5"/>
    <n v="7.7"/>
    <n v="12"/>
    <n v="5.000000074505806E-2"/>
    <x v="48"/>
    <x v="83"/>
    <n v="87.779999931156638"/>
    <x v="3"/>
    <x v="1"/>
    <x v="5"/>
  </r>
  <r>
    <n v="10340"/>
    <x v="40"/>
    <n v="36.799999999999997"/>
    <n v="40"/>
    <n v="5.000000074505806E-2"/>
    <x v="48"/>
    <x v="83"/>
    <n v="1398.3999989032745"/>
    <x v="6"/>
    <x v="1"/>
    <x v="40"/>
  </r>
  <r>
    <n v="10341"/>
    <x v="10"/>
    <n v="2"/>
    <n v="8"/>
    <n v="0"/>
    <x v="51"/>
    <x v="83"/>
    <n v="16"/>
    <x v="0"/>
    <x v="1"/>
    <x v="10"/>
  </r>
  <r>
    <n v="10341"/>
    <x v="21"/>
    <n v="44"/>
    <n v="9"/>
    <n v="0.15000000596046448"/>
    <x v="51"/>
    <x v="83"/>
    <n v="336.59999763965607"/>
    <x v="0"/>
    <x v="1"/>
    <x v="21"/>
  </r>
  <r>
    <n v="10342"/>
    <x v="18"/>
    <n v="15.2"/>
    <n v="24"/>
    <n v="0.20000000298023224"/>
    <x v="17"/>
    <x v="84"/>
    <n v="291.83999891281127"/>
    <x v="6"/>
    <x v="1"/>
    <x v="18"/>
  </r>
  <r>
    <n v="10342"/>
    <x v="12"/>
    <n v="10"/>
    <n v="56"/>
    <n v="0.20000000298023224"/>
    <x v="17"/>
    <x v="84"/>
    <n v="447.99999833106995"/>
    <x v="0"/>
    <x v="1"/>
    <x v="12"/>
  </r>
  <r>
    <n v="10342"/>
    <x v="20"/>
    <n v="15.2"/>
    <n v="40"/>
    <n v="0.20000000298023224"/>
    <x v="17"/>
    <x v="84"/>
    <n v="486.3999981880188"/>
    <x v="3"/>
    <x v="1"/>
    <x v="20"/>
  </r>
  <r>
    <n v="10342"/>
    <x v="16"/>
    <n v="19.2"/>
    <n v="40"/>
    <n v="0.20000000298023224"/>
    <x v="17"/>
    <x v="84"/>
    <n v="614.39999771118164"/>
    <x v="7"/>
    <x v="1"/>
    <x v="16"/>
  </r>
  <r>
    <n v="10343"/>
    <x v="58"/>
    <n v="26.6"/>
    <n v="50"/>
    <n v="0"/>
    <x v="26"/>
    <x v="85"/>
    <n v="1330"/>
    <x v="1"/>
    <x v="1"/>
    <x v="58"/>
  </r>
  <r>
    <n v="10343"/>
    <x v="56"/>
    <n v="10"/>
    <n v="4"/>
    <n v="5.000000074505806E-2"/>
    <x v="26"/>
    <x v="85"/>
    <n v="37.999999970197678"/>
    <x v="5"/>
    <x v="1"/>
    <x v="56"/>
  </r>
  <r>
    <n v="10343"/>
    <x v="38"/>
    <n v="14.4"/>
    <n v="15"/>
    <n v="0"/>
    <x v="26"/>
    <x v="85"/>
    <n v="216"/>
    <x v="6"/>
    <x v="1"/>
    <x v="38"/>
  </r>
  <r>
    <n v="10344"/>
    <x v="62"/>
    <n v="17.600000000000001"/>
    <n v="35"/>
    <n v="0"/>
    <x v="19"/>
    <x v="86"/>
    <n v="616"/>
    <x v="4"/>
    <x v="1"/>
    <x v="62"/>
  </r>
  <r>
    <n v="10344"/>
    <x v="71"/>
    <n v="32"/>
    <n v="70"/>
    <n v="0.25"/>
    <x v="19"/>
    <x v="86"/>
    <n v="1680"/>
    <x v="4"/>
    <x v="1"/>
    <x v="71"/>
  </r>
  <r>
    <n v="10345"/>
    <x v="71"/>
    <n v="32"/>
    <n v="70"/>
    <n v="0"/>
    <x v="21"/>
    <x v="87"/>
    <n v="2240"/>
    <x v="4"/>
    <x v="1"/>
    <x v="71"/>
  </r>
  <r>
    <n v="10345"/>
    <x v="49"/>
    <n v="7.3"/>
    <n v="80"/>
    <n v="0"/>
    <x v="21"/>
    <x v="87"/>
    <n v="584"/>
    <x v="5"/>
    <x v="1"/>
    <x v="49"/>
  </r>
  <r>
    <n v="10345"/>
    <x v="1"/>
    <n v="11.2"/>
    <n v="9"/>
    <n v="0"/>
    <x v="21"/>
    <x v="87"/>
    <n v="100.8"/>
    <x v="1"/>
    <x v="1"/>
    <x v="1"/>
  </r>
  <r>
    <n v="10346"/>
    <x v="35"/>
    <n v="31.2"/>
    <n v="36"/>
    <n v="0.10000000149011612"/>
    <x v="13"/>
    <x v="88"/>
    <n v="1010.8799983263016"/>
    <x v="7"/>
    <x v="1"/>
    <x v="35"/>
  </r>
  <r>
    <n v="10346"/>
    <x v="33"/>
    <n v="30.4"/>
    <n v="20"/>
    <n v="0"/>
    <x v="13"/>
    <x v="88"/>
    <n v="608"/>
    <x v="1"/>
    <x v="1"/>
    <x v="33"/>
  </r>
  <r>
    <n v="10347"/>
    <x v="66"/>
    <n v="11.2"/>
    <n v="10"/>
    <n v="0"/>
    <x v="52"/>
    <x v="89"/>
    <n v="112"/>
    <x v="5"/>
    <x v="1"/>
    <x v="66"/>
  </r>
  <r>
    <n v="10347"/>
    <x v="13"/>
    <n v="14.4"/>
    <n v="50"/>
    <n v="0.15000000596046448"/>
    <x v="52"/>
    <x v="89"/>
    <n v="611.99999570846558"/>
    <x v="6"/>
    <x v="1"/>
    <x v="13"/>
  </r>
  <r>
    <n v="10347"/>
    <x v="37"/>
    <n v="14.7"/>
    <n v="4"/>
    <n v="0"/>
    <x v="52"/>
    <x v="89"/>
    <n v="58.8"/>
    <x v="3"/>
    <x v="1"/>
    <x v="37"/>
  </r>
  <r>
    <n v="10347"/>
    <x v="48"/>
    <n v="6.2"/>
    <n v="6"/>
    <n v="0.15000000596046448"/>
    <x v="52"/>
    <x v="89"/>
    <n v="31.619999778270724"/>
    <x v="6"/>
    <x v="1"/>
    <x v="48"/>
  </r>
  <r>
    <n v="10348"/>
    <x v="52"/>
    <n v="14.4"/>
    <n v="15"/>
    <n v="0.15000000596046448"/>
    <x v="35"/>
    <x v="90"/>
    <n v="183.59999871253967"/>
    <x v="6"/>
    <x v="1"/>
    <x v="52"/>
  </r>
  <r>
    <n v="10348"/>
    <x v="70"/>
    <n v="7.2"/>
    <n v="25"/>
    <n v="0"/>
    <x v="35"/>
    <x v="90"/>
    <n v="180"/>
    <x v="1"/>
    <x v="1"/>
    <x v="70"/>
  </r>
  <r>
    <n v="10349"/>
    <x v="55"/>
    <n v="5.9"/>
    <n v="24"/>
    <n v="0"/>
    <x v="20"/>
    <x v="91"/>
    <n v="141.60000000000002"/>
    <x v="7"/>
    <x v="1"/>
    <x v="55"/>
  </r>
  <r>
    <n v="10350"/>
    <x v="72"/>
    <n v="13"/>
    <n v="15"/>
    <n v="0.10000000149011612"/>
    <x v="53"/>
    <x v="92"/>
    <n v="175.49999970942736"/>
    <x v="5"/>
    <x v="1"/>
    <x v="72"/>
  </r>
  <r>
    <n v="10350"/>
    <x v="60"/>
    <n v="28.8"/>
    <n v="18"/>
    <n v="0.10000000149011612"/>
    <x v="53"/>
    <x v="92"/>
    <n v="466.5599992275238"/>
    <x v="0"/>
    <x v="1"/>
    <x v="60"/>
  </r>
  <r>
    <n v="10351"/>
    <x v="67"/>
    <n v="210.8"/>
    <n v="20"/>
    <n v="5.000000074505806E-2"/>
    <x v="9"/>
    <x v="92"/>
    <n v="4005.1999968588352"/>
    <x v="6"/>
    <x v="1"/>
    <x v="67"/>
  </r>
  <r>
    <n v="10351"/>
    <x v="5"/>
    <n v="7.7"/>
    <n v="13"/>
    <n v="0"/>
    <x v="9"/>
    <x v="92"/>
    <n v="100.10000000000001"/>
    <x v="3"/>
    <x v="1"/>
    <x v="5"/>
  </r>
  <r>
    <n v="10351"/>
    <x v="45"/>
    <n v="15.5"/>
    <n v="77"/>
    <n v="5.000000074505806E-2"/>
    <x v="9"/>
    <x v="92"/>
    <n v="1133.8249991107732"/>
    <x v="4"/>
    <x v="1"/>
    <x v="45"/>
  </r>
  <r>
    <n v="10351"/>
    <x v="6"/>
    <n v="16.8"/>
    <n v="10"/>
    <n v="5.000000074505806E-2"/>
    <x v="9"/>
    <x v="92"/>
    <n v="159.59999987483025"/>
    <x v="4"/>
    <x v="1"/>
    <x v="6"/>
  </r>
  <r>
    <n v="10352"/>
    <x v="15"/>
    <n v="3.6"/>
    <n v="10"/>
    <n v="0"/>
    <x v="47"/>
    <x v="93"/>
    <n v="36"/>
    <x v="6"/>
    <x v="1"/>
    <x v="15"/>
  </r>
  <r>
    <n v="10352"/>
    <x v="55"/>
    <n v="5.9"/>
    <n v="20"/>
    <n v="0.15000000596046448"/>
    <x v="47"/>
    <x v="93"/>
    <n v="100.29999929666519"/>
    <x v="7"/>
    <x v="1"/>
    <x v="55"/>
  </r>
  <r>
    <n v="10353"/>
    <x v="0"/>
    <n v="16.8"/>
    <n v="12"/>
    <n v="0.20000000298023224"/>
    <x v="54"/>
    <x v="94"/>
    <n v="161.27999939918519"/>
    <x v="0"/>
    <x v="1"/>
    <x v="0"/>
  </r>
  <r>
    <n v="10353"/>
    <x v="67"/>
    <n v="210.8"/>
    <n v="50"/>
    <n v="0.20000000298023224"/>
    <x v="54"/>
    <x v="94"/>
    <n v="8431.9999685883522"/>
    <x v="6"/>
    <x v="1"/>
    <x v="67"/>
  </r>
  <r>
    <n v="10354"/>
    <x v="52"/>
    <n v="14.4"/>
    <n v="12"/>
    <n v="0"/>
    <x v="43"/>
    <x v="95"/>
    <n v="172.8"/>
    <x v="6"/>
    <x v="1"/>
    <x v="52"/>
  </r>
  <r>
    <n v="10354"/>
    <x v="39"/>
    <n v="99"/>
    <n v="4"/>
    <n v="0"/>
    <x v="43"/>
    <x v="95"/>
    <n v="396"/>
    <x v="7"/>
    <x v="1"/>
    <x v="39"/>
  </r>
  <r>
    <n v="10355"/>
    <x v="15"/>
    <n v="3.6"/>
    <n v="25"/>
    <n v="0"/>
    <x v="55"/>
    <x v="96"/>
    <n v="90"/>
    <x v="6"/>
    <x v="1"/>
    <x v="15"/>
  </r>
  <r>
    <n v="10355"/>
    <x v="8"/>
    <n v="15.6"/>
    <n v="25"/>
    <n v="0"/>
    <x v="55"/>
    <x v="96"/>
    <n v="390"/>
    <x v="1"/>
    <x v="1"/>
    <x v="8"/>
  </r>
  <r>
    <n v="10356"/>
    <x v="12"/>
    <n v="10"/>
    <n v="30"/>
    <n v="0"/>
    <x v="35"/>
    <x v="97"/>
    <n v="300"/>
    <x v="0"/>
    <x v="1"/>
    <x v="12"/>
  </r>
  <r>
    <n v="10356"/>
    <x v="16"/>
    <n v="19.2"/>
    <n v="12"/>
    <n v="0"/>
    <x v="35"/>
    <x v="97"/>
    <n v="230.39999999999998"/>
    <x v="7"/>
    <x v="1"/>
    <x v="16"/>
  </r>
  <r>
    <n v="10356"/>
    <x v="60"/>
    <n v="28.8"/>
    <n v="20"/>
    <n v="0"/>
    <x v="35"/>
    <x v="97"/>
    <n v="576"/>
    <x v="0"/>
    <x v="1"/>
    <x v="60"/>
  </r>
  <r>
    <n v="10357"/>
    <x v="41"/>
    <n v="24.8"/>
    <n v="30"/>
    <n v="0.20000000298023224"/>
    <x v="28"/>
    <x v="98"/>
    <n v="595.19999778270721"/>
    <x v="3"/>
    <x v="1"/>
    <x v="41"/>
  </r>
  <r>
    <n v="10357"/>
    <x v="68"/>
    <n v="24.9"/>
    <n v="16"/>
    <n v="0"/>
    <x v="28"/>
    <x v="98"/>
    <n v="398.4"/>
    <x v="5"/>
    <x v="1"/>
    <x v="68"/>
  </r>
  <r>
    <n v="10357"/>
    <x v="11"/>
    <n v="27.2"/>
    <n v="8"/>
    <n v="0.20000000298023224"/>
    <x v="28"/>
    <x v="98"/>
    <n v="174.07999935150147"/>
    <x v="0"/>
    <x v="1"/>
    <x v="11"/>
  </r>
  <r>
    <n v="10358"/>
    <x v="15"/>
    <n v="3.6"/>
    <n v="10"/>
    <n v="5.000000074505806E-2"/>
    <x v="53"/>
    <x v="99"/>
    <n v="34.19999997317791"/>
    <x v="6"/>
    <x v="1"/>
    <x v="15"/>
  </r>
  <r>
    <n v="10358"/>
    <x v="53"/>
    <n v="11.2"/>
    <n v="10"/>
    <n v="5.000000074505806E-2"/>
    <x v="53"/>
    <x v="99"/>
    <n v="106.3999999165535"/>
    <x v="6"/>
    <x v="1"/>
    <x v="53"/>
  </r>
  <r>
    <n v="10358"/>
    <x v="20"/>
    <n v="15.2"/>
    <n v="20"/>
    <n v="5.000000074505806E-2"/>
    <x v="53"/>
    <x v="99"/>
    <n v="288.79999977350235"/>
    <x v="3"/>
    <x v="1"/>
    <x v="20"/>
  </r>
  <r>
    <n v="10359"/>
    <x v="19"/>
    <n v="13.9"/>
    <n v="56"/>
    <n v="5.000000074505806E-2"/>
    <x v="56"/>
    <x v="100"/>
    <n v="739.47999942004674"/>
    <x v="5"/>
    <x v="1"/>
    <x v="19"/>
  </r>
  <r>
    <n v="10359"/>
    <x v="12"/>
    <n v="10"/>
    <n v="70"/>
    <n v="5.000000074505806E-2"/>
    <x v="56"/>
    <x v="100"/>
    <n v="664.99999947845936"/>
    <x v="0"/>
    <x v="1"/>
    <x v="12"/>
  </r>
  <r>
    <n v="10359"/>
    <x v="11"/>
    <n v="27.2"/>
    <n v="80"/>
    <n v="5.000000074505806E-2"/>
    <x v="56"/>
    <x v="100"/>
    <n v="2067.1999983787537"/>
    <x v="0"/>
    <x v="1"/>
    <x v="11"/>
  </r>
  <r>
    <n v="10360"/>
    <x v="44"/>
    <n v="36.4"/>
    <n v="30"/>
    <n v="0"/>
    <x v="15"/>
    <x v="101"/>
    <n v="1092"/>
    <x v="2"/>
    <x v="1"/>
    <x v="44"/>
  </r>
  <r>
    <n v="10360"/>
    <x v="39"/>
    <n v="99"/>
    <n v="35"/>
    <n v="0"/>
    <x v="15"/>
    <x v="101"/>
    <n v="3465"/>
    <x v="7"/>
    <x v="1"/>
    <x v="39"/>
  </r>
  <r>
    <n v="10360"/>
    <x v="67"/>
    <n v="210.8"/>
    <n v="10"/>
    <n v="0"/>
    <x v="15"/>
    <x v="101"/>
    <n v="2108"/>
    <x v="6"/>
    <x v="1"/>
    <x v="67"/>
  </r>
  <r>
    <n v="10360"/>
    <x v="14"/>
    <n v="16"/>
    <n v="35"/>
    <n v="0"/>
    <x v="15"/>
    <x v="101"/>
    <n v="560"/>
    <x v="5"/>
    <x v="1"/>
    <x v="14"/>
  </r>
  <r>
    <n v="10360"/>
    <x v="55"/>
    <n v="5.9"/>
    <n v="28"/>
    <n v="0"/>
    <x v="15"/>
    <x v="101"/>
    <n v="165.20000000000002"/>
    <x v="7"/>
    <x v="1"/>
    <x v="55"/>
  </r>
  <r>
    <n v="10361"/>
    <x v="13"/>
    <n v="14.4"/>
    <n v="54"/>
    <n v="0.10000000149011612"/>
    <x v="21"/>
    <x v="101"/>
    <n v="699.83999884128571"/>
    <x v="6"/>
    <x v="1"/>
    <x v="13"/>
  </r>
  <r>
    <n v="10361"/>
    <x v="11"/>
    <n v="27.2"/>
    <n v="55"/>
    <n v="0.10000000149011612"/>
    <x v="21"/>
    <x v="101"/>
    <n v="1346.3999977707863"/>
    <x v="0"/>
    <x v="1"/>
    <x v="11"/>
  </r>
  <r>
    <n v="10362"/>
    <x v="66"/>
    <n v="11.2"/>
    <n v="50"/>
    <n v="0"/>
    <x v="48"/>
    <x v="102"/>
    <n v="560"/>
    <x v="5"/>
    <x v="1"/>
    <x v="66"/>
  </r>
  <r>
    <n v="10362"/>
    <x v="4"/>
    <n v="42.4"/>
    <n v="20"/>
    <n v="0"/>
    <x v="48"/>
    <x v="102"/>
    <n v="848"/>
    <x v="2"/>
    <x v="1"/>
    <x v="4"/>
  </r>
  <r>
    <n v="10362"/>
    <x v="55"/>
    <n v="5.9"/>
    <n v="24"/>
    <n v="0"/>
    <x v="48"/>
    <x v="102"/>
    <n v="141.60000000000002"/>
    <x v="7"/>
    <x v="1"/>
    <x v="55"/>
  </r>
  <r>
    <n v="10363"/>
    <x v="12"/>
    <n v="10"/>
    <n v="20"/>
    <n v="0"/>
    <x v="57"/>
    <x v="103"/>
    <n v="200"/>
    <x v="0"/>
    <x v="1"/>
    <x v="12"/>
  </r>
  <r>
    <n v="10363"/>
    <x v="48"/>
    <n v="6.2"/>
    <n v="12"/>
    <n v="0"/>
    <x v="57"/>
    <x v="103"/>
    <n v="74.400000000000006"/>
    <x v="6"/>
    <x v="1"/>
    <x v="48"/>
  </r>
  <r>
    <n v="10363"/>
    <x v="38"/>
    <n v="14.4"/>
    <n v="12"/>
    <n v="0"/>
    <x v="57"/>
    <x v="103"/>
    <n v="172.8"/>
    <x v="6"/>
    <x v="1"/>
    <x v="38"/>
  </r>
  <r>
    <n v="10364"/>
    <x v="60"/>
    <n v="28.8"/>
    <n v="30"/>
    <n v="0"/>
    <x v="58"/>
    <x v="103"/>
    <n v="864"/>
    <x v="0"/>
    <x v="1"/>
    <x v="60"/>
  </r>
  <r>
    <n v="10364"/>
    <x v="42"/>
    <n v="17.2"/>
    <n v="5"/>
    <n v="0"/>
    <x v="58"/>
    <x v="103"/>
    <n v="86"/>
    <x v="0"/>
    <x v="1"/>
    <x v="42"/>
  </r>
  <r>
    <n v="10365"/>
    <x v="0"/>
    <n v="16.8"/>
    <n v="24"/>
    <n v="0"/>
    <x v="59"/>
    <x v="104"/>
    <n v="403.20000000000005"/>
    <x v="0"/>
    <x v="1"/>
    <x v="0"/>
  </r>
  <r>
    <n v="10366"/>
    <x v="6"/>
    <n v="16.8"/>
    <n v="5"/>
    <n v="0"/>
    <x v="60"/>
    <x v="105"/>
    <n v="84"/>
    <x v="4"/>
    <x v="1"/>
    <x v="6"/>
  </r>
  <r>
    <n v="10366"/>
    <x v="23"/>
    <n v="10.4"/>
    <n v="5"/>
    <n v="0"/>
    <x v="60"/>
    <x v="105"/>
    <n v="52"/>
    <x v="4"/>
    <x v="1"/>
    <x v="23"/>
  </r>
  <r>
    <n v="10367"/>
    <x v="53"/>
    <n v="11.2"/>
    <n v="36"/>
    <n v="0"/>
    <x v="61"/>
    <x v="105"/>
    <n v="403.2"/>
    <x v="6"/>
    <x v="1"/>
    <x v="53"/>
  </r>
  <r>
    <n v="10367"/>
    <x v="55"/>
    <n v="5.9"/>
    <n v="18"/>
    <n v="0"/>
    <x v="61"/>
    <x v="105"/>
    <n v="106.2"/>
    <x v="7"/>
    <x v="1"/>
    <x v="55"/>
  </r>
  <r>
    <n v="10367"/>
    <x v="6"/>
    <n v="16.8"/>
    <n v="15"/>
    <n v="0"/>
    <x v="61"/>
    <x v="105"/>
    <n v="252"/>
    <x v="4"/>
    <x v="1"/>
    <x v="6"/>
  </r>
  <r>
    <n v="10367"/>
    <x v="23"/>
    <n v="10.4"/>
    <n v="7"/>
    <n v="0"/>
    <x v="61"/>
    <x v="105"/>
    <n v="72.8"/>
    <x v="4"/>
    <x v="1"/>
    <x v="23"/>
  </r>
  <r>
    <n v="10368"/>
    <x v="27"/>
    <n v="8"/>
    <n v="5"/>
    <n v="0.10000000149011612"/>
    <x v="9"/>
    <x v="106"/>
    <n v="35.999999940395355"/>
    <x v="5"/>
    <x v="1"/>
    <x v="27"/>
  </r>
  <r>
    <n v="10368"/>
    <x v="44"/>
    <n v="36.4"/>
    <n v="13"/>
    <n v="0.10000000149011612"/>
    <x v="9"/>
    <x v="106"/>
    <n v="425.87999929487705"/>
    <x v="2"/>
    <x v="1"/>
    <x v="44"/>
  </r>
  <r>
    <n v="10368"/>
    <x v="8"/>
    <n v="15.6"/>
    <n v="25"/>
    <n v="0"/>
    <x v="9"/>
    <x v="106"/>
    <n v="390"/>
    <x v="1"/>
    <x v="1"/>
    <x v="8"/>
  </r>
  <r>
    <n v="10368"/>
    <x v="58"/>
    <n v="26.6"/>
    <n v="35"/>
    <n v="0.10000000149011612"/>
    <x v="9"/>
    <x v="106"/>
    <n v="837.89999861270189"/>
    <x v="1"/>
    <x v="1"/>
    <x v="58"/>
  </r>
  <r>
    <n v="10369"/>
    <x v="39"/>
    <n v="99"/>
    <n v="20"/>
    <n v="0"/>
    <x v="20"/>
    <x v="107"/>
    <n v="1980"/>
    <x v="7"/>
    <x v="1"/>
    <x v="39"/>
  </r>
  <r>
    <n v="10369"/>
    <x v="33"/>
    <n v="30.4"/>
    <n v="18"/>
    <n v="0.25"/>
    <x v="20"/>
    <x v="107"/>
    <n v="410.4"/>
    <x v="1"/>
    <x v="1"/>
    <x v="33"/>
  </r>
  <r>
    <n v="10370"/>
    <x v="52"/>
    <n v="14.4"/>
    <n v="15"/>
    <n v="0.15000000596046448"/>
    <x v="5"/>
    <x v="108"/>
    <n v="183.59999871253967"/>
    <x v="6"/>
    <x v="1"/>
    <x v="52"/>
  </r>
  <r>
    <n v="10370"/>
    <x v="58"/>
    <n v="26.6"/>
    <n v="30"/>
    <n v="0"/>
    <x v="5"/>
    <x v="108"/>
    <n v="798"/>
    <x v="1"/>
    <x v="1"/>
    <x v="58"/>
  </r>
  <r>
    <n v="10370"/>
    <x v="17"/>
    <n v="8"/>
    <n v="20"/>
    <n v="0.15000000596046448"/>
    <x v="5"/>
    <x v="108"/>
    <n v="135.99999904632568"/>
    <x v="2"/>
    <x v="1"/>
    <x v="17"/>
  </r>
  <r>
    <n v="10371"/>
    <x v="20"/>
    <n v="15.2"/>
    <n v="6"/>
    <n v="0.20000000298023224"/>
    <x v="53"/>
    <x v="108"/>
    <n v="72.959999728202817"/>
    <x v="3"/>
    <x v="1"/>
    <x v="20"/>
  </r>
  <r>
    <n v="10372"/>
    <x v="9"/>
    <n v="64.8"/>
    <n v="12"/>
    <n v="0.25"/>
    <x v="62"/>
    <x v="109"/>
    <n v="583.19999999999993"/>
    <x v="5"/>
    <x v="1"/>
    <x v="9"/>
  </r>
  <r>
    <n v="10372"/>
    <x v="67"/>
    <n v="210.8"/>
    <n v="40"/>
    <n v="0.25"/>
    <x v="62"/>
    <x v="109"/>
    <n v="6324"/>
    <x v="6"/>
    <x v="1"/>
    <x v="67"/>
  </r>
  <r>
    <n v="10372"/>
    <x v="11"/>
    <n v="27.2"/>
    <n v="70"/>
    <n v="0.25"/>
    <x v="62"/>
    <x v="109"/>
    <n v="1428"/>
    <x v="0"/>
    <x v="1"/>
    <x v="11"/>
  </r>
  <r>
    <n v="10372"/>
    <x v="2"/>
    <n v="27.8"/>
    <n v="42"/>
    <n v="0.25"/>
    <x v="62"/>
    <x v="109"/>
    <n v="875.7"/>
    <x v="0"/>
    <x v="1"/>
    <x v="2"/>
  </r>
  <r>
    <n v="10373"/>
    <x v="64"/>
    <n v="10.6"/>
    <n v="80"/>
    <n v="0.20000000298023224"/>
    <x v="34"/>
    <x v="110"/>
    <n v="678.39999747276306"/>
    <x v="3"/>
    <x v="1"/>
    <x v="64"/>
  </r>
  <r>
    <n v="10373"/>
    <x v="42"/>
    <n v="17.2"/>
    <n v="50"/>
    <n v="0.20000000298023224"/>
    <x v="34"/>
    <x v="110"/>
    <n v="687.99999743700027"/>
    <x v="0"/>
    <x v="1"/>
    <x v="42"/>
  </r>
  <r>
    <n v="10374"/>
    <x v="12"/>
    <n v="10"/>
    <n v="30"/>
    <n v="0"/>
    <x v="63"/>
    <x v="110"/>
    <n v="300"/>
    <x v="0"/>
    <x v="1"/>
    <x v="12"/>
  </r>
  <r>
    <n v="10374"/>
    <x v="64"/>
    <n v="10.6"/>
    <n v="15"/>
    <n v="0"/>
    <x v="63"/>
    <x v="110"/>
    <n v="159"/>
    <x v="3"/>
    <x v="1"/>
    <x v="64"/>
  </r>
  <r>
    <n v="10375"/>
    <x v="3"/>
    <n v="18.600000000000001"/>
    <n v="15"/>
    <n v="0"/>
    <x v="64"/>
    <x v="111"/>
    <n v="279"/>
    <x v="2"/>
    <x v="1"/>
    <x v="3"/>
  </r>
  <r>
    <n v="10375"/>
    <x v="55"/>
    <n v="5.9"/>
    <n v="10"/>
    <n v="0"/>
    <x v="64"/>
    <x v="111"/>
    <n v="59"/>
    <x v="7"/>
    <x v="1"/>
    <x v="55"/>
  </r>
  <r>
    <n v="10376"/>
    <x v="12"/>
    <n v="10"/>
    <n v="42"/>
    <n v="5.000000074505806E-2"/>
    <x v="49"/>
    <x v="112"/>
    <n v="398.99999968707561"/>
    <x v="0"/>
    <x v="1"/>
    <x v="12"/>
  </r>
  <r>
    <n v="10377"/>
    <x v="44"/>
    <n v="36.4"/>
    <n v="20"/>
    <n v="0.15000000596046448"/>
    <x v="56"/>
    <x v="112"/>
    <n v="618.79999566078186"/>
    <x v="2"/>
    <x v="1"/>
    <x v="44"/>
  </r>
  <r>
    <n v="10377"/>
    <x v="13"/>
    <n v="14.4"/>
    <n v="20"/>
    <n v="0.15000000596046448"/>
    <x v="56"/>
    <x v="112"/>
    <n v="244.79999828338623"/>
    <x v="6"/>
    <x v="1"/>
    <x v="13"/>
  </r>
  <r>
    <n v="10378"/>
    <x v="42"/>
    <n v="17.2"/>
    <n v="6"/>
    <n v="0"/>
    <x v="14"/>
    <x v="113"/>
    <n v="103.19999999999999"/>
    <x v="0"/>
    <x v="1"/>
    <x v="42"/>
  </r>
  <r>
    <n v="10379"/>
    <x v="5"/>
    <n v="7.7"/>
    <n v="8"/>
    <n v="0.10000000149011612"/>
    <x v="12"/>
    <x v="114"/>
    <n v="55.439999908208847"/>
    <x v="3"/>
    <x v="1"/>
    <x v="5"/>
  </r>
  <r>
    <n v="10379"/>
    <x v="46"/>
    <n v="35.1"/>
    <n v="16"/>
    <n v="0.10000000149011612"/>
    <x v="12"/>
    <x v="114"/>
    <n v="505.43999916315079"/>
    <x v="4"/>
    <x v="1"/>
    <x v="46"/>
  </r>
  <r>
    <n v="10379"/>
    <x v="6"/>
    <n v="16.8"/>
    <n v="20"/>
    <n v="0.10000000149011612"/>
    <x v="12"/>
    <x v="114"/>
    <n v="302.39999949932098"/>
    <x v="4"/>
    <x v="1"/>
    <x v="6"/>
  </r>
  <r>
    <n v="10380"/>
    <x v="34"/>
    <n v="20.7"/>
    <n v="18"/>
    <n v="0.10000000149011612"/>
    <x v="34"/>
    <x v="115"/>
    <n v="335.33999944478268"/>
    <x v="3"/>
    <x v="1"/>
    <x v="34"/>
  </r>
  <r>
    <n v="10380"/>
    <x v="22"/>
    <n v="26.2"/>
    <n v="20"/>
    <n v="0.10000000149011612"/>
    <x v="34"/>
    <x v="115"/>
    <n v="471.59999921917915"/>
    <x v="7"/>
    <x v="1"/>
    <x v="22"/>
  </r>
  <r>
    <n v="10380"/>
    <x v="11"/>
    <n v="27.2"/>
    <n v="6"/>
    <n v="0.10000000149011612"/>
    <x v="34"/>
    <x v="115"/>
    <n v="146.87999975681305"/>
    <x v="0"/>
    <x v="1"/>
    <x v="11"/>
  </r>
  <r>
    <n v="10380"/>
    <x v="30"/>
    <n v="12"/>
    <n v="30"/>
    <n v="0"/>
    <x v="34"/>
    <x v="115"/>
    <n v="360"/>
    <x v="6"/>
    <x v="1"/>
    <x v="30"/>
  </r>
  <r>
    <n v="10381"/>
    <x v="17"/>
    <n v="8"/>
    <n v="14"/>
    <n v="0"/>
    <x v="28"/>
    <x v="115"/>
    <n v="112"/>
    <x v="2"/>
    <x v="1"/>
    <x v="17"/>
  </r>
  <r>
    <n v="10382"/>
    <x v="25"/>
    <n v="17"/>
    <n v="32"/>
    <n v="0"/>
    <x v="9"/>
    <x v="116"/>
    <n v="544"/>
    <x v="4"/>
    <x v="1"/>
    <x v="25"/>
  </r>
  <r>
    <n v="10382"/>
    <x v="59"/>
    <n v="50"/>
    <n v="9"/>
    <n v="0"/>
    <x v="9"/>
    <x v="116"/>
    <n v="450"/>
    <x v="3"/>
    <x v="1"/>
    <x v="59"/>
  </r>
  <r>
    <n v="10382"/>
    <x v="39"/>
    <n v="99"/>
    <n v="14"/>
    <n v="0"/>
    <x v="9"/>
    <x v="116"/>
    <n v="1386"/>
    <x v="7"/>
    <x v="1"/>
    <x v="39"/>
  </r>
  <r>
    <n v="10382"/>
    <x v="10"/>
    <n v="2"/>
    <n v="60"/>
    <n v="0"/>
    <x v="9"/>
    <x v="116"/>
    <n v="120"/>
    <x v="0"/>
    <x v="1"/>
    <x v="10"/>
  </r>
  <r>
    <n v="10382"/>
    <x v="17"/>
    <n v="8"/>
    <n v="50"/>
    <n v="0"/>
    <x v="9"/>
    <x v="116"/>
    <n v="400"/>
    <x v="2"/>
    <x v="1"/>
    <x v="17"/>
  </r>
  <r>
    <n v="10383"/>
    <x v="43"/>
    <n v="4.8"/>
    <n v="20"/>
    <n v="0"/>
    <x v="55"/>
    <x v="117"/>
    <n v="96"/>
    <x v="3"/>
    <x v="1"/>
    <x v="43"/>
  </r>
  <r>
    <n v="10383"/>
    <x v="72"/>
    <n v="13"/>
    <n v="15"/>
    <n v="0"/>
    <x v="55"/>
    <x v="117"/>
    <n v="195"/>
    <x v="5"/>
    <x v="1"/>
    <x v="72"/>
  </r>
  <r>
    <n v="10383"/>
    <x v="33"/>
    <n v="30.4"/>
    <n v="20"/>
    <n v="0"/>
    <x v="55"/>
    <x v="117"/>
    <n v="608"/>
    <x v="1"/>
    <x v="1"/>
    <x v="33"/>
  </r>
  <r>
    <n v="10384"/>
    <x v="9"/>
    <n v="64.8"/>
    <n v="28"/>
    <n v="0"/>
    <x v="25"/>
    <x v="117"/>
    <n v="1814.3999999999999"/>
    <x v="5"/>
    <x v="1"/>
    <x v="9"/>
  </r>
  <r>
    <n v="10384"/>
    <x v="11"/>
    <n v="27.2"/>
    <n v="15"/>
    <n v="0"/>
    <x v="25"/>
    <x v="117"/>
    <n v="408"/>
    <x v="0"/>
    <x v="1"/>
    <x v="11"/>
  </r>
  <r>
    <n v="10385"/>
    <x v="32"/>
    <n v="24"/>
    <n v="10"/>
    <n v="0.20000000298023224"/>
    <x v="20"/>
    <x v="118"/>
    <n v="191.99999928474426"/>
    <x v="2"/>
    <x v="1"/>
    <x v="32"/>
  </r>
  <r>
    <n v="10385"/>
    <x v="11"/>
    <n v="27.2"/>
    <n v="20"/>
    <n v="0.20000000298023224"/>
    <x v="20"/>
    <x v="118"/>
    <n v="435.19999837875366"/>
    <x v="0"/>
    <x v="1"/>
    <x v="11"/>
  </r>
  <r>
    <n v="10385"/>
    <x v="56"/>
    <n v="10"/>
    <n v="8"/>
    <n v="0.20000000298023224"/>
    <x v="20"/>
    <x v="118"/>
    <n v="63.999999761581421"/>
    <x v="5"/>
    <x v="1"/>
    <x v="56"/>
  </r>
  <r>
    <n v="10386"/>
    <x v="15"/>
    <n v="3.6"/>
    <n v="15"/>
    <n v="0"/>
    <x v="52"/>
    <x v="119"/>
    <n v="54"/>
    <x v="6"/>
    <x v="1"/>
    <x v="15"/>
  </r>
  <r>
    <n v="10386"/>
    <x v="53"/>
    <n v="11.2"/>
    <n v="10"/>
    <n v="0"/>
    <x v="52"/>
    <x v="119"/>
    <n v="112"/>
    <x v="6"/>
    <x v="1"/>
    <x v="53"/>
  </r>
  <r>
    <n v="10387"/>
    <x v="15"/>
    <n v="3.6"/>
    <n v="15"/>
    <n v="0"/>
    <x v="65"/>
    <x v="119"/>
    <n v="54"/>
    <x v="6"/>
    <x v="1"/>
    <x v="15"/>
  </r>
  <r>
    <n v="10387"/>
    <x v="44"/>
    <n v="36.4"/>
    <n v="6"/>
    <n v="0"/>
    <x v="65"/>
    <x v="119"/>
    <n v="218.39999999999998"/>
    <x v="2"/>
    <x v="1"/>
    <x v="44"/>
  </r>
  <r>
    <n v="10387"/>
    <x v="21"/>
    <n v="44"/>
    <n v="12"/>
    <n v="0"/>
    <x v="65"/>
    <x v="119"/>
    <n v="528"/>
    <x v="0"/>
    <x v="1"/>
    <x v="21"/>
  </r>
  <r>
    <n v="10387"/>
    <x v="42"/>
    <n v="17.2"/>
    <n v="15"/>
    <n v="0"/>
    <x v="65"/>
    <x v="119"/>
    <n v="258"/>
    <x v="0"/>
    <x v="1"/>
    <x v="42"/>
  </r>
  <r>
    <n v="10388"/>
    <x v="73"/>
    <n v="7.6"/>
    <n v="15"/>
    <n v="0.20000000298023224"/>
    <x v="56"/>
    <x v="120"/>
    <n v="91.199999660253525"/>
    <x v="3"/>
    <x v="1"/>
    <x v="73"/>
  </r>
  <r>
    <n v="10388"/>
    <x v="65"/>
    <n v="5.6"/>
    <n v="20"/>
    <n v="0.20000000298023224"/>
    <x v="56"/>
    <x v="120"/>
    <n v="89.599999666213989"/>
    <x v="1"/>
    <x v="1"/>
    <x v="65"/>
  </r>
  <r>
    <n v="10388"/>
    <x v="22"/>
    <n v="26.2"/>
    <n v="40"/>
    <n v="0"/>
    <x v="56"/>
    <x v="120"/>
    <n v="1048"/>
    <x v="7"/>
    <x v="1"/>
    <x v="22"/>
  </r>
  <r>
    <n v="10389"/>
    <x v="41"/>
    <n v="24.8"/>
    <n v="16"/>
    <n v="0"/>
    <x v="66"/>
    <x v="121"/>
    <n v="396.8"/>
    <x v="3"/>
    <x v="1"/>
    <x v="41"/>
  </r>
  <r>
    <n v="10389"/>
    <x v="16"/>
    <n v="19.2"/>
    <n v="15"/>
    <n v="0"/>
    <x v="66"/>
    <x v="121"/>
    <n v="288"/>
    <x v="7"/>
    <x v="1"/>
    <x v="16"/>
  </r>
  <r>
    <n v="10389"/>
    <x v="29"/>
    <n v="39.4"/>
    <n v="20"/>
    <n v="0"/>
    <x v="66"/>
    <x v="121"/>
    <n v="788"/>
    <x v="5"/>
    <x v="1"/>
    <x v="29"/>
  </r>
  <r>
    <n v="10389"/>
    <x v="30"/>
    <n v="12"/>
    <n v="30"/>
    <n v="0"/>
    <x v="66"/>
    <x v="121"/>
    <n v="360"/>
    <x v="6"/>
    <x v="1"/>
    <x v="30"/>
  </r>
  <r>
    <n v="10390"/>
    <x v="12"/>
    <n v="10"/>
    <n v="60"/>
    <n v="0.10000000149011612"/>
    <x v="9"/>
    <x v="122"/>
    <n v="539.99999910593033"/>
    <x v="0"/>
    <x v="1"/>
    <x v="12"/>
  </r>
  <r>
    <n v="10390"/>
    <x v="31"/>
    <n v="14.4"/>
    <n v="40"/>
    <n v="0.10000000149011612"/>
    <x v="9"/>
    <x v="122"/>
    <n v="518.39999914169312"/>
    <x v="6"/>
    <x v="1"/>
    <x v="31"/>
  </r>
  <r>
    <n v="10390"/>
    <x v="54"/>
    <n v="9.6"/>
    <n v="45"/>
    <n v="0"/>
    <x v="9"/>
    <x v="122"/>
    <n v="432"/>
    <x v="3"/>
    <x v="1"/>
    <x v="54"/>
  </r>
  <r>
    <n v="10390"/>
    <x v="2"/>
    <n v="27.8"/>
    <n v="24"/>
    <n v="0.10000000149011612"/>
    <x v="9"/>
    <x v="122"/>
    <n v="600.47999900579453"/>
    <x v="0"/>
    <x v="1"/>
    <x v="2"/>
  </r>
  <r>
    <n v="10391"/>
    <x v="43"/>
    <n v="4.8"/>
    <n v="18"/>
    <n v="0"/>
    <x v="57"/>
    <x v="122"/>
    <n v="86.399999999999991"/>
    <x v="3"/>
    <x v="1"/>
    <x v="43"/>
  </r>
  <r>
    <n v="10392"/>
    <x v="60"/>
    <n v="28.8"/>
    <n v="50"/>
    <n v="0"/>
    <x v="54"/>
    <x v="123"/>
    <n v="1440"/>
    <x v="0"/>
    <x v="1"/>
    <x v="60"/>
  </r>
  <r>
    <n v="10393"/>
    <x v="18"/>
    <n v="15.2"/>
    <n v="25"/>
    <n v="0.25"/>
    <x v="45"/>
    <x v="124"/>
    <n v="285"/>
    <x v="6"/>
    <x v="1"/>
    <x v="18"/>
  </r>
  <r>
    <n v="10393"/>
    <x v="3"/>
    <n v="18.600000000000001"/>
    <n v="42"/>
    <n v="0.25"/>
    <x v="45"/>
    <x v="124"/>
    <n v="585.90000000000009"/>
    <x v="2"/>
    <x v="1"/>
    <x v="3"/>
  </r>
  <r>
    <n v="10393"/>
    <x v="66"/>
    <n v="11.2"/>
    <n v="7"/>
    <n v="0.25"/>
    <x v="45"/>
    <x v="124"/>
    <n v="58.8"/>
    <x v="5"/>
    <x v="1"/>
    <x v="66"/>
  </r>
  <r>
    <n v="10393"/>
    <x v="68"/>
    <n v="24.9"/>
    <n v="70"/>
    <n v="0.25"/>
    <x v="45"/>
    <x v="124"/>
    <n v="1307.25"/>
    <x v="5"/>
    <x v="1"/>
    <x v="68"/>
  </r>
  <r>
    <n v="10393"/>
    <x v="12"/>
    <n v="10"/>
    <n v="32"/>
    <n v="0"/>
    <x v="45"/>
    <x v="124"/>
    <n v="320"/>
    <x v="0"/>
    <x v="1"/>
    <x v="12"/>
  </r>
  <r>
    <n v="10394"/>
    <x v="43"/>
    <n v="4.8"/>
    <n v="10"/>
    <n v="0"/>
    <x v="64"/>
    <x v="124"/>
    <n v="48"/>
    <x v="3"/>
    <x v="1"/>
    <x v="43"/>
  </r>
  <r>
    <n v="10394"/>
    <x v="29"/>
    <n v="39.4"/>
    <n v="10"/>
    <n v="0"/>
    <x v="64"/>
    <x v="124"/>
    <n v="394"/>
    <x v="5"/>
    <x v="1"/>
    <x v="29"/>
  </r>
  <r>
    <n v="10395"/>
    <x v="54"/>
    <n v="9.6"/>
    <n v="28"/>
    <n v="0.10000000149011612"/>
    <x v="8"/>
    <x v="125"/>
    <n v="241.91999959945679"/>
    <x v="3"/>
    <x v="1"/>
    <x v="54"/>
  </r>
  <r>
    <n v="10395"/>
    <x v="22"/>
    <n v="26.2"/>
    <n v="70"/>
    <n v="0.10000000149011612"/>
    <x v="8"/>
    <x v="125"/>
    <n v="1650.599997267127"/>
    <x v="7"/>
    <x v="1"/>
    <x v="22"/>
  </r>
  <r>
    <n v="10395"/>
    <x v="60"/>
    <n v="28.8"/>
    <n v="8"/>
    <n v="0"/>
    <x v="8"/>
    <x v="125"/>
    <n v="230.4"/>
    <x v="0"/>
    <x v="1"/>
    <x v="60"/>
  </r>
  <r>
    <n v="10396"/>
    <x v="70"/>
    <n v="7.2"/>
    <n v="40"/>
    <n v="0"/>
    <x v="17"/>
    <x v="126"/>
    <n v="288"/>
    <x v="1"/>
    <x v="1"/>
    <x v="70"/>
  </r>
  <r>
    <n v="10396"/>
    <x v="42"/>
    <n v="17.2"/>
    <n v="60"/>
    <n v="0"/>
    <x v="17"/>
    <x v="126"/>
    <n v="1032"/>
    <x v="0"/>
    <x v="1"/>
    <x v="42"/>
  </r>
  <r>
    <n v="10396"/>
    <x v="2"/>
    <n v="27.8"/>
    <n v="21"/>
    <n v="0"/>
    <x v="17"/>
    <x v="126"/>
    <n v="583.80000000000007"/>
    <x v="0"/>
    <x v="1"/>
    <x v="2"/>
  </r>
  <r>
    <n v="10397"/>
    <x v="27"/>
    <n v="8"/>
    <n v="10"/>
    <n v="0.15000000596046448"/>
    <x v="50"/>
    <x v="126"/>
    <n v="67.999999523162842"/>
    <x v="5"/>
    <x v="1"/>
    <x v="27"/>
  </r>
  <r>
    <n v="10397"/>
    <x v="4"/>
    <n v="42.4"/>
    <n v="18"/>
    <n v="0.15000000596046448"/>
    <x v="50"/>
    <x v="126"/>
    <n v="648.71999545097344"/>
    <x v="2"/>
    <x v="1"/>
    <x v="4"/>
  </r>
  <r>
    <n v="10398"/>
    <x v="31"/>
    <n v="14.4"/>
    <n v="30"/>
    <n v="0"/>
    <x v="45"/>
    <x v="127"/>
    <n v="432"/>
    <x v="6"/>
    <x v="1"/>
    <x v="31"/>
  </r>
  <r>
    <n v="10398"/>
    <x v="16"/>
    <n v="19.2"/>
    <n v="120"/>
    <n v="0.10000000149011612"/>
    <x v="45"/>
    <x v="127"/>
    <n v="2073.5999965667725"/>
    <x v="7"/>
    <x v="1"/>
    <x v="16"/>
  </r>
  <r>
    <n v="10399"/>
    <x v="56"/>
    <n v="10"/>
    <n v="60"/>
    <n v="0"/>
    <x v="61"/>
    <x v="128"/>
    <n v="600"/>
    <x v="5"/>
    <x v="1"/>
    <x v="56"/>
  </r>
  <r>
    <n v="10399"/>
    <x v="42"/>
    <n v="17.2"/>
    <n v="30"/>
    <n v="0"/>
    <x v="61"/>
    <x v="128"/>
    <n v="516"/>
    <x v="0"/>
    <x v="1"/>
    <x v="42"/>
  </r>
  <r>
    <n v="10399"/>
    <x v="38"/>
    <n v="14.4"/>
    <n v="35"/>
    <n v="0"/>
    <x v="61"/>
    <x v="128"/>
    <n v="504"/>
    <x v="6"/>
    <x v="1"/>
    <x v="38"/>
  </r>
  <r>
    <n v="10399"/>
    <x v="23"/>
    <n v="10.4"/>
    <n v="14"/>
    <n v="0"/>
    <x v="61"/>
    <x v="128"/>
    <n v="145.6"/>
    <x v="4"/>
    <x v="1"/>
    <x v="23"/>
  </r>
  <r>
    <n v="10400"/>
    <x v="39"/>
    <n v="99"/>
    <n v="21"/>
    <n v="0"/>
    <x v="58"/>
    <x v="129"/>
    <n v="2079"/>
    <x v="7"/>
    <x v="2"/>
    <x v="39"/>
  </r>
  <r>
    <n v="10400"/>
    <x v="31"/>
    <n v="14.4"/>
    <n v="35"/>
    <n v="0"/>
    <x v="58"/>
    <x v="129"/>
    <n v="504"/>
    <x v="6"/>
    <x v="2"/>
    <x v="31"/>
  </r>
  <r>
    <n v="10400"/>
    <x v="14"/>
    <n v="16"/>
    <n v="30"/>
    <n v="0"/>
    <x v="58"/>
    <x v="129"/>
    <n v="480"/>
    <x v="5"/>
    <x v="2"/>
    <x v="14"/>
  </r>
  <r>
    <n v="10401"/>
    <x v="34"/>
    <n v="20.7"/>
    <n v="18"/>
    <n v="0"/>
    <x v="13"/>
    <x v="129"/>
    <n v="372.59999999999997"/>
    <x v="3"/>
    <x v="2"/>
    <x v="34"/>
  </r>
  <r>
    <n v="10401"/>
    <x v="33"/>
    <n v="30.4"/>
    <n v="70"/>
    <n v="0"/>
    <x v="13"/>
    <x v="129"/>
    <n v="2128"/>
    <x v="1"/>
    <x v="2"/>
    <x v="33"/>
  </r>
  <r>
    <n v="10401"/>
    <x v="6"/>
    <n v="16.8"/>
    <n v="20"/>
    <n v="0"/>
    <x v="13"/>
    <x v="129"/>
    <n v="336"/>
    <x v="4"/>
    <x v="2"/>
    <x v="6"/>
  </r>
  <r>
    <n v="10401"/>
    <x v="42"/>
    <n v="17.2"/>
    <n v="60"/>
    <n v="0"/>
    <x v="13"/>
    <x v="129"/>
    <n v="1032"/>
    <x v="0"/>
    <x v="2"/>
    <x v="42"/>
  </r>
  <r>
    <n v="10402"/>
    <x v="70"/>
    <n v="7.2"/>
    <n v="60"/>
    <n v="0"/>
    <x v="9"/>
    <x v="130"/>
    <n v="432"/>
    <x v="1"/>
    <x v="2"/>
    <x v="70"/>
  </r>
  <r>
    <n v="10402"/>
    <x v="46"/>
    <n v="35.1"/>
    <n v="65"/>
    <n v="0"/>
    <x v="9"/>
    <x v="130"/>
    <n v="2281.5"/>
    <x v="4"/>
    <x v="2"/>
    <x v="46"/>
  </r>
  <r>
    <n v="10403"/>
    <x v="19"/>
    <n v="13.9"/>
    <n v="21"/>
    <n v="0.15000000596046448"/>
    <x v="9"/>
    <x v="131"/>
    <n v="248.11499826014045"/>
    <x v="5"/>
    <x v="2"/>
    <x v="19"/>
  </r>
  <r>
    <n v="10403"/>
    <x v="74"/>
    <n v="10.199999999999999"/>
    <n v="70"/>
    <n v="0.15000000596046448"/>
    <x v="9"/>
    <x v="131"/>
    <n v="606.89999574422836"/>
    <x v="5"/>
    <x v="2"/>
    <x v="74"/>
  </r>
  <r>
    <n v="10404"/>
    <x v="68"/>
    <n v="24.9"/>
    <n v="30"/>
    <n v="5.000000074505806E-2"/>
    <x v="22"/>
    <x v="131"/>
    <n v="709.64999944344163"/>
    <x v="5"/>
    <x v="2"/>
    <x v="68"/>
  </r>
  <r>
    <n v="10404"/>
    <x v="1"/>
    <n v="11.2"/>
    <n v="40"/>
    <n v="5.000000074505806E-2"/>
    <x v="22"/>
    <x v="131"/>
    <n v="425.59999966621399"/>
    <x v="1"/>
    <x v="2"/>
    <x v="1"/>
  </r>
  <r>
    <n v="10404"/>
    <x v="14"/>
    <n v="16"/>
    <n v="30"/>
    <n v="5.000000074505806E-2"/>
    <x v="22"/>
    <x v="131"/>
    <n v="455.99999964237213"/>
    <x v="5"/>
    <x v="2"/>
    <x v="14"/>
  </r>
  <r>
    <n v="10405"/>
    <x v="57"/>
    <n v="8"/>
    <n v="50"/>
    <n v="0"/>
    <x v="67"/>
    <x v="132"/>
    <n v="400"/>
    <x v="4"/>
    <x v="2"/>
    <x v="57"/>
  </r>
  <r>
    <n v="10406"/>
    <x v="52"/>
    <n v="14.4"/>
    <n v="10"/>
    <n v="0"/>
    <x v="62"/>
    <x v="133"/>
    <n v="144"/>
    <x v="6"/>
    <x v="2"/>
    <x v="52"/>
  </r>
  <r>
    <n v="10406"/>
    <x v="27"/>
    <n v="8"/>
    <n v="30"/>
    <n v="0.10000000149011612"/>
    <x v="62"/>
    <x v="133"/>
    <n v="215.99999964237213"/>
    <x v="5"/>
    <x v="2"/>
    <x v="27"/>
  </r>
  <r>
    <n v="10406"/>
    <x v="44"/>
    <n v="36.4"/>
    <n v="42"/>
    <n v="0.10000000149011612"/>
    <x v="62"/>
    <x v="133"/>
    <n v="1375.9199977219105"/>
    <x v="2"/>
    <x v="2"/>
    <x v="44"/>
  </r>
  <r>
    <n v="10406"/>
    <x v="20"/>
    <n v="15.2"/>
    <n v="5"/>
    <n v="0.10000000149011612"/>
    <x v="62"/>
    <x v="133"/>
    <n v="68.399999886751175"/>
    <x v="3"/>
    <x v="2"/>
    <x v="20"/>
  </r>
  <r>
    <n v="10406"/>
    <x v="37"/>
    <n v="14.7"/>
    <n v="2"/>
    <n v="0.10000000149011612"/>
    <x v="62"/>
    <x v="133"/>
    <n v="26.459999956190586"/>
    <x v="3"/>
    <x v="2"/>
    <x v="37"/>
  </r>
  <r>
    <n v="10407"/>
    <x v="0"/>
    <n v="16.8"/>
    <n v="30"/>
    <n v="0"/>
    <x v="11"/>
    <x v="133"/>
    <n v="504"/>
    <x v="0"/>
    <x v="2"/>
    <x v="0"/>
  </r>
  <r>
    <n v="10407"/>
    <x v="60"/>
    <n v="28.8"/>
    <n v="15"/>
    <n v="0"/>
    <x v="11"/>
    <x v="133"/>
    <n v="432"/>
    <x v="0"/>
    <x v="2"/>
    <x v="60"/>
  </r>
  <r>
    <n v="10407"/>
    <x v="42"/>
    <n v="17.2"/>
    <n v="15"/>
    <n v="0"/>
    <x v="11"/>
    <x v="133"/>
    <n v="258"/>
    <x v="0"/>
    <x v="2"/>
    <x v="42"/>
  </r>
  <r>
    <n v="10408"/>
    <x v="28"/>
    <n v="20.8"/>
    <n v="10"/>
    <n v="0"/>
    <x v="68"/>
    <x v="134"/>
    <n v="208"/>
    <x v="3"/>
    <x v="2"/>
    <x v="28"/>
  </r>
  <r>
    <n v="10408"/>
    <x v="55"/>
    <n v="5.9"/>
    <n v="6"/>
    <n v="0"/>
    <x v="68"/>
    <x v="134"/>
    <n v="35.400000000000006"/>
    <x v="7"/>
    <x v="2"/>
    <x v="55"/>
  </r>
  <r>
    <n v="10408"/>
    <x v="29"/>
    <n v="39.4"/>
    <n v="35"/>
    <n v="0"/>
    <x v="68"/>
    <x v="134"/>
    <n v="1379"/>
    <x v="5"/>
    <x v="2"/>
    <x v="29"/>
  </r>
  <r>
    <n v="10409"/>
    <x v="3"/>
    <n v="18.600000000000001"/>
    <n v="12"/>
    <n v="0"/>
    <x v="69"/>
    <x v="135"/>
    <n v="223.20000000000002"/>
    <x v="2"/>
    <x v="2"/>
    <x v="3"/>
  </r>
  <r>
    <n v="10409"/>
    <x v="27"/>
    <n v="8"/>
    <n v="12"/>
    <n v="0"/>
    <x v="69"/>
    <x v="135"/>
    <n v="96"/>
    <x v="5"/>
    <x v="2"/>
    <x v="27"/>
  </r>
  <r>
    <n v="10410"/>
    <x v="10"/>
    <n v="2"/>
    <n v="49"/>
    <n v="0"/>
    <x v="66"/>
    <x v="136"/>
    <n v="98"/>
    <x v="0"/>
    <x v="2"/>
    <x v="10"/>
  </r>
  <r>
    <n v="10410"/>
    <x v="21"/>
    <n v="44"/>
    <n v="16"/>
    <n v="0"/>
    <x v="66"/>
    <x v="136"/>
    <n v="704"/>
    <x v="0"/>
    <x v="2"/>
    <x v="21"/>
  </r>
  <r>
    <n v="10411"/>
    <x v="5"/>
    <n v="7.7"/>
    <n v="25"/>
    <n v="0.20000000298023224"/>
    <x v="66"/>
    <x v="136"/>
    <n v="153.99999942630529"/>
    <x v="3"/>
    <x v="2"/>
    <x v="5"/>
  </r>
  <r>
    <n v="10411"/>
    <x v="45"/>
    <n v="15.5"/>
    <n v="40"/>
    <n v="0.20000000298023224"/>
    <x v="66"/>
    <x v="136"/>
    <n v="495.99999815225601"/>
    <x v="4"/>
    <x v="2"/>
    <x v="45"/>
  </r>
  <r>
    <n v="10411"/>
    <x v="21"/>
    <n v="44"/>
    <n v="9"/>
    <n v="0.20000000298023224"/>
    <x v="66"/>
    <x v="136"/>
    <n v="316.79999881982803"/>
    <x v="0"/>
    <x v="2"/>
    <x v="21"/>
  </r>
  <r>
    <n v="10412"/>
    <x v="3"/>
    <n v="18.600000000000001"/>
    <n v="20"/>
    <n v="0.10000000149011612"/>
    <x v="16"/>
    <x v="137"/>
    <n v="334.7999994456768"/>
    <x v="2"/>
    <x v="2"/>
    <x v="3"/>
  </r>
  <r>
    <n v="10413"/>
    <x v="52"/>
    <n v="14.4"/>
    <n v="24"/>
    <n v="0"/>
    <x v="53"/>
    <x v="138"/>
    <n v="345.6"/>
    <x v="6"/>
    <x v="2"/>
    <x v="52"/>
  </r>
  <r>
    <n v="10413"/>
    <x v="29"/>
    <n v="39.4"/>
    <n v="40"/>
    <n v="0"/>
    <x v="53"/>
    <x v="138"/>
    <n v="1576"/>
    <x v="5"/>
    <x v="2"/>
    <x v="29"/>
  </r>
  <r>
    <n v="10413"/>
    <x v="38"/>
    <n v="14.4"/>
    <n v="14"/>
    <n v="0"/>
    <x v="53"/>
    <x v="138"/>
    <n v="201.6"/>
    <x v="6"/>
    <x v="2"/>
    <x v="38"/>
  </r>
  <r>
    <n v="10414"/>
    <x v="49"/>
    <n v="7.3"/>
    <n v="18"/>
    <n v="5.000000074505806E-2"/>
    <x v="52"/>
    <x v="138"/>
    <n v="124.82999990209937"/>
    <x v="5"/>
    <x v="2"/>
    <x v="49"/>
  </r>
  <r>
    <n v="10414"/>
    <x v="10"/>
    <n v="2"/>
    <n v="50"/>
    <n v="0"/>
    <x v="52"/>
    <x v="138"/>
    <n v="100"/>
    <x v="0"/>
    <x v="2"/>
    <x v="10"/>
  </r>
  <r>
    <n v="10415"/>
    <x v="35"/>
    <n v="31.2"/>
    <n v="2"/>
    <n v="0"/>
    <x v="64"/>
    <x v="139"/>
    <n v="62.4"/>
    <x v="7"/>
    <x v="2"/>
    <x v="35"/>
  </r>
  <r>
    <n v="10415"/>
    <x v="10"/>
    <n v="2"/>
    <n v="20"/>
    <n v="0"/>
    <x v="64"/>
    <x v="139"/>
    <n v="40"/>
    <x v="0"/>
    <x v="2"/>
    <x v="10"/>
  </r>
  <r>
    <n v="10416"/>
    <x v="49"/>
    <n v="7.3"/>
    <n v="20"/>
    <n v="0"/>
    <x v="16"/>
    <x v="140"/>
    <n v="146"/>
    <x v="5"/>
    <x v="2"/>
    <x v="49"/>
  </r>
  <r>
    <n v="10416"/>
    <x v="22"/>
    <n v="26.2"/>
    <n v="10"/>
    <n v="0"/>
    <x v="16"/>
    <x v="140"/>
    <n v="262"/>
    <x v="7"/>
    <x v="2"/>
    <x v="22"/>
  </r>
  <r>
    <n v="10416"/>
    <x v="8"/>
    <n v="15.6"/>
    <n v="20"/>
    <n v="0"/>
    <x v="16"/>
    <x v="140"/>
    <n v="312"/>
    <x v="1"/>
    <x v="2"/>
    <x v="8"/>
  </r>
  <r>
    <n v="10417"/>
    <x v="67"/>
    <n v="210.8"/>
    <n v="50"/>
    <n v="0"/>
    <x v="51"/>
    <x v="140"/>
    <n v="10540"/>
    <x v="6"/>
    <x v="2"/>
    <x v="67"/>
  </r>
  <r>
    <n v="10417"/>
    <x v="54"/>
    <n v="9.6"/>
    <n v="2"/>
    <n v="0.25"/>
    <x v="51"/>
    <x v="140"/>
    <n v="14.399999999999999"/>
    <x v="3"/>
    <x v="2"/>
    <x v="54"/>
  </r>
  <r>
    <n v="10417"/>
    <x v="56"/>
    <n v="10"/>
    <n v="36"/>
    <n v="0.25"/>
    <x v="51"/>
    <x v="140"/>
    <n v="270"/>
    <x v="5"/>
    <x v="2"/>
    <x v="56"/>
  </r>
  <r>
    <n v="10417"/>
    <x v="23"/>
    <n v="10.4"/>
    <n v="35"/>
    <n v="0"/>
    <x v="51"/>
    <x v="140"/>
    <n v="364"/>
    <x v="4"/>
    <x v="2"/>
    <x v="23"/>
  </r>
  <r>
    <n v="10418"/>
    <x v="18"/>
    <n v="15.2"/>
    <n v="60"/>
    <n v="0"/>
    <x v="21"/>
    <x v="141"/>
    <n v="912"/>
    <x v="6"/>
    <x v="2"/>
    <x v="18"/>
  </r>
  <r>
    <n v="10418"/>
    <x v="69"/>
    <n v="7.6"/>
    <n v="55"/>
    <n v="0"/>
    <x v="21"/>
    <x v="141"/>
    <n v="418"/>
    <x v="5"/>
    <x v="2"/>
    <x v="69"/>
  </r>
  <r>
    <n v="10418"/>
    <x v="75"/>
    <n v="22.8"/>
    <n v="16"/>
    <n v="0"/>
    <x v="21"/>
    <x v="141"/>
    <n v="364.8"/>
    <x v="4"/>
    <x v="2"/>
    <x v="75"/>
  </r>
  <r>
    <n v="10418"/>
    <x v="17"/>
    <n v="8"/>
    <n v="15"/>
    <n v="0"/>
    <x v="21"/>
    <x v="141"/>
    <n v="120"/>
    <x v="2"/>
    <x v="2"/>
    <x v="17"/>
  </r>
  <r>
    <n v="10419"/>
    <x v="11"/>
    <n v="27.2"/>
    <n v="60"/>
    <n v="5.000000074505806E-2"/>
    <x v="6"/>
    <x v="142"/>
    <n v="1550.3999987840652"/>
    <x v="0"/>
    <x v="2"/>
    <x v="11"/>
  </r>
  <r>
    <n v="10419"/>
    <x v="60"/>
    <n v="28.8"/>
    <n v="20"/>
    <n v="5.000000074505806E-2"/>
    <x v="6"/>
    <x v="142"/>
    <n v="547.19999957084656"/>
    <x v="0"/>
    <x v="2"/>
    <x v="60"/>
  </r>
  <r>
    <n v="10420"/>
    <x v="76"/>
    <n v="77.599999999999994"/>
    <n v="20"/>
    <n v="0.10000000149011612"/>
    <x v="7"/>
    <x v="143"/>
    <n v="1396.7999976873398"/>
    <x v="7"/>
    <x v="2"/>
    <x v="76"/>
  </r>
  <r>
    <n v="10420"/>
    <x v="43"/>
    <n v="4.8"/>
    <n v="2"/>
    <n v="0.10000000149011612"/>
    <x v="7"/>
    <x v="143"/>
    <n v="8.6399999856948853"/>
    <x v="3"/>
    <x v="2"/>
    <x v="43"/>
  </r>
  <r>
    <n v="10420"/>
    <x v="30"/>
    <n v="12"/>
    <n v="8"/>
    <n v="0.10000000149011612"/>
    <x v="7"/>
    <x v="143"/>
    <n v="86.399999856948853"/>
    <x v="6"/>
    <x v="2"/>
    <x v="30"/>
  </r>
  <r>
    <n v="10420"/>
    <x v="47"/>
    <n v="12"/>
    <n v="20"/>
    <n v="0.10000000149011612"/>
    <x v="7"/>
    <x v="143"/>
    <n v="215.99999964237213"/>
    <x v="3"/>
    <x v="2"/>
    <x v="47"/>
  </r>
  <r>
    <n v="10421"/>
    <x v="49"/>
    <n v="7.3"/>
    <n v="4"/>
    <n v="0.15000000596046448"/>
    <x v="12"/>
    <x v="143"/>
    <n v="24.819999825954437"/>
    <x v="5"/>
    <x v="2"/>
    <x v="49"/>
  </r>
  <r>
    <n v="10421"/>
    <x v="68"/>
    <n v="24.9"/>
    <n v="30"/>
    <n v="0"/>
    <x v="12"/>
    <x v="143"/>
    <n v="747"/>
    <x v="5"/>
    <x v="2"/>
    <x v="68"/>
  </r>
  <r>
    <n v="10421"/>
    <x v="22"/>
    <n v="26.2"/>
    <n v="15"/>
    <n v="0.15000000596046448"/>
    <x v="12"/>
    <x v="143"/>
    <n v="334.04999765753746"/>
    <x v="7"/>
    <x v="2"/>
    <x v="22"/>
  </r>
  <r>
    <n v="10421"/>
    <x v="23"/>
    <n v="10.4"/>
    <n v="10"/>
    <n v="0.15000000596046448"/>
    <x v="12"/>
    <x v="143"/>
    <n v="88.399999380111694"/>
    <x v="4"/>
    <x v="2"/>
    <x v="23"/>
  </r>
  <r>
    <n v="10422"/>
    <x v="68"/>
    <n v="24.9"/>
    <n v="2"/>
    <n v="0"/>
    <x v="70"/>
    <x v="144"/>
    <n v="49.8"/>
    <x v="5"/>
    <x v="2"/>
    <x v="68"/>
  </r>
  <r>
    <n v="10423"/>
    <x v="12"/>
    <n v="10"/>
    <n v="14"/>
    <n v="0"/>
    <x v="71"/>
    <x v="145"/>
    <n v="140"/>
    <x v="0"/>
    <x v="2"/>
    <x v="12"/>
  </r>
  <r>
    <n v="10423"/>
    <x v="21"/>
    <n v="44"/>
    <n v="20"/>
    <n v="0"/>
    <x v="71"/>
    <x v="145"/>
    <n v="880"/>
    <x v="0"/>
    <x v="2"/>
    <x v="21"/>
  </r>
  <r>
    <n v="10424"/>
    <x v="31"/>
    <n v="14.4"/>
    <n v="60"/>
    <n v="0.20000000298023224"/>
    <x v="49"/>
    <x v="145"/>
    <n v="691.19999742507935"/>
    <x v="6"/>
    <x v="2"/>
    <x v="31"/>
  </r>
  <r>
    <n v="10424"/>
    <x v="67"/>
    <n v="210.8"/>
    <n v="49"/>
    <n v="0.20000000298023224"/>
    <x v="49"/>
    <x v="145"/>
    <n v="8263.3599692165863"/>
    <x v="6"/>
    <x v="2"/>
    <x v="67"/>
  </r>
  <r>
    <n v="10424"/>
    <x v="56"/>
    <n v="10"/>
    <n v="30"/>
    <n v="0.20000000298023224"/>
    <x v="49"/>
    <x v="145"/>
    <n v="239.99999910593033"/>
    <x v="5"/>
    <x v="2"/>
    <x v="56"/>
  </r>
  <r>
    <n v="10425"/>
    <x v="16"/>
    <n v="19.2"/>
    <n v="10"/>
    <n v="0.25"/>
    <x v="53"/>
    <x v="146"/>
    <n v="144"/>
    <x v="7"/>
    <x v="2"/>
    <x v="16"/>
  </r>
  <r>
    <n v="10425"/>
    <x v="38"/>
    <n v="14.4"/>
    <n v="20"/>
    <n v="0.25"/>
    <x v="53"/>
    <x v="146"/>
    <n v="216"/>
    <x v="6"/>
    <x v="2"/>
    <x v="38"/>
  </r>
  <r>
    <n v="10426"/>
    <x v="33"/>
    <n v="30.4"/>
    <n v="5"/>
    <n v="0"/>
    <x v="60"/>
    <x v="147"/>
    <n v="152"/>
    <x v="1"/>
    <x v="2"/>
    <x v="33"/>
  </r>
  <r>
    <n v="10426"/>
    <x v="58"/>
    <n v="26.6"/>
    <n v="7"/>
    <n v="0"/>
    <x v="60"/>
    <x v="147"/>
    <n v="186.20000000000002"/>
    <x v="1"/>
    <x v="2"/>
    <x v="58"/>
  </r>
  <r>
    <n v="10427"/>
    <x v="3"/>
    <n v="18.600000000000001"/>
    <n v="35"/>
    <n v="0"/>
    <x v="54"/>
    <x v="147"/>
    <n v="651"/>
    <x v="2"/>
    <x v="2"/>
    <x v="3"/>
  </r>
  <r>
    <n v="10428"/>
    <x v="54"/>
    <n v="9.6"/>
    <n v="20"/>
    <n v="0"/>
    <x v="30"/>
    <x v="148"/>
    <n v="192"/>
    <x v="3"/>
    <x v="2"/>
    <x v="54"/>
  </r>
  <r>
    <n v="10429"/>
    <x v="72"/>
    <n v="13"/>
    <n v="40"/>
    <n v="0"/>
    <x v="34"/>
    <x v="149"/>
    <n v="520"/>
    <x v="5"/>
    <x v="2"/>
    <x v="72"/>
  </r>
  <r>
    <n v="10429"/>
    <x v="46"/>
    <n v="35.1"/>
    <n v="35"/>
    <n v="0.25"/>
    <x v="34"/>
    <x v="149"/>
    <n v="921.375"/>
    <x v="4"/>
    <x v="2"/>
    <x v="46"/>
  </r>
  <r>
    <n v="10430"/>
    <x v="35"/>
    <n v="31.2"/>
    <n v="45"/>
    <n v="0.20000000298023224"/>
    <x v="9"/>
    <x v="150"/>
    <n v="1123.1999958157539"/>
    <x v="7"/>
    <x v="2"/>
    <x v="35"/>
  </r>
  <r>
    <n v="10430"/>
    <x v="27"/>
    <n v="8"/>
    <n v="50"/>
    <n v="0"/>
    <x v="9"/>
    <x v="150"/>
    <n v="400"/>
    <x v="5"/>
    <x v="2"/>
    <x v="27"/>
  </r>
  <r>
    <n v="10430"/>
    <x v="33"/>
    <n v="30.4"/>
    <n v="30"/>
    <n v="0"/>
    <x v="9"/>
    <x v="150"/>
    <n v="912"/>
    <x v="1"/>
    <x v="2"/>
    <x v="33"/>
  </r>
  <r>
    <n v="10430"/>
    <x v="21"/>
    <n v="44"/>
    <n v="70"/>
    <n v="0.20000000298023224"/>
    <x v="9"/>
    <x v="150"/>
    <n v="2463.9999908208847"/>
    <x v="0"/>
    <x v="2"/>
    <x v="21"/>
  </r>
  <r>
    <n v="10431"/>
    <x v="35"/>
    <n v="31.2"/>
    <n v="50"/>
    <n v="0.25"/>
    <x v="66"/>
    <x v="150"/>
    <n v="1170"/>
    <x v="7"/>
    <x v="2"/>
    <x v="35"/>
  </r>
  <r>
    <n v="10431"/>
    <x v="37"/>
    <n v="14.7"/>
    <n v="50"/>
    <n v="0.25"/>
    <x v="66"/>
    <x v="150"/>
    <n v="551.25"/>
    <x v="3"/>
    <x v="2"/>
    <x v="37"/>
  </r>
  <r>
    <n v="10431"/>
    <x v="69"/>
    <n v="7.6"/>
    <n v="30"/>
    <n v="0.25"/>
    <x v="66"/>
    <x v="150"/>
    <n v="171"/>
    <x v="5"/>
    <x v="2"/>
    <x v="69"/>
  </r>
  <r>
    <n v="10432"/>
    <x v="68"/>
    <n v="24.9"/>
    <n v="10"/>
    <n v="0"/>
    <x v="20"/>
    <x v="151"/>
    <n v="249"/>
    <x v="5"/>
    <x v="2"/>
    <x v="68"/>
  </r>
  <r>
    <n v="10432"/>
    <x v="55"/>
    <n v="5.9"/>
    <n v="40"/>
    <n v="0"/>
    <x v="20"/>
    <x v="151"/>
    <n v="236"/>
    <x v="7"/>
    <x v="2"/>
    <x v="55"/>
  </r>
  <r>
    <n v="10433"/>
    <x v="33"/>
    <n v="30.4"/>
    <n v="28"/>
    <n v="0"/>
    <x v="50"/>
    <x v="152"/>
    <n v="851.19999999999993"/>
    <x v="1"/>
    <x v="2"/>
    <x v="33"/>
  </r>
  <r>
    <n v="10434"/>
    <x v="0"/>
    <n v="16.8"/>
    <n v="6"/>
    <n v="0"/>
    <x v="14"/>
    <x v="152"/>
    <n v="100.80000000000001"/>
    <x v="0"/>
    <x v="2"/>
    <x v="0"/>
  </r>
  <r>
    <n v="10434"/>
    <x v="38"/>
    <n v="14.4"/>
    <n v="18"/>
    <n v="0.15000000596046448"/>
    <x v="14"/>
    <x v="152"/>
    <n v="220.3199984550476"/>
    <x v="6"/>
    <x v="2"/>
    <x v="38"/>
  </r>
  <r>
    <n v="10435"/>
    <x v="18"/>
    <n v="15.2"/>
    <n v="10"/>
    <n v="0"/>
    <x v="72"/>
    <x v="153"/>
    <n v="152"/>
    <x v="6"/>
    <x v="2"/>
    <x v="18"/>
  </r>
  <r>
    <n v="10435"/>
    <x v="7"/>
    <n v="16.8"/>
    <n v="12"/>
    <n v="0"/>
    <x v="72"/>
    <x v="153"/>
    <n v="201.60000000000002"/>
    <x v="1"/>
    <x v="2"/>
    <x v="7"/>
  </r>
  <r>
    <n v="10435"/>
    <x v="2"/>
    <n v="27.8"/>
    <n v="10"/>
    <n v="0"/>
    <x v="72"/>
    <x v="153"/>
    <n v="278"/>
    <x v="0"/>
    <x v="2"/>
    <x v="2"/>
  </r>
  <r>
    <n v="10436"/>
    <x v="54"/>
    <n v="9.6"/>
    <n v="5"/>
    <n v="0"/>
    <x v="15"/>
    <x v="154"/>
    <n v="48"/>
    <x v="3"/>
    <x v="2"/>
    <x v="54"/>
  </r>
  <r>
    <n v="10436"/>
    <x v="33"/>
    <n v="30.4"/>
    <n v="40"/>
    <n v="0.10000000149011612"/>
    <x v="15"/>
    <x v="154"/>
    <n v="1094.3999981880188"/>
    <x v="1"/>
    <x v="2"/>
    <x v="33"/>
  </r>
  <r>
    <n v="10436"/>
    <x v="58"/>
    <n v="26.6"/>
    <n v="30"/>
    <n v="0.10000000149011612"/>
    <x v="15"/>
    <x v="154"/>
    <n v="718.19999881088734"/>
    <x v="1"/>
    <x v="2"/>
    <x v="58"/>
  </r>
  <r>
    <n v="10436"/>
    <x v="48"/>
    <n v="6.2"/>
    <n v="24"/>
    <n v="0.10000000149011612"/>
    <x v="15"/>
    <x v="154"/>
    <n v="133.91999977827072"/>
    <x v="6"/>
    <x v="2"/>
    <x v="48"/>
  </r>
  <r>
    <n v="10437"/>
    <x v="22"/>
    <n v="26.2"/>
    <n v="15"/>
    <n v="0"/>
    <x v="16"/>
    <x v="154"/>
    <n v="393"/>
    <x v="7"/>
    <x v="2"/>
    <x v="22"/>
  </r>
  <r>
    <n v="10438"/>
    <x v="49"/>
    <n v="7.3"/>
    <n v="15"/>
    <n v="0.20000000298023224"/>
    <x v="1"/>
    <x v="155"/>
    <n v="87.59999967366457"/>
    <x v="5"/>
    <x v="2"/>
    <x v="49"/>
  </r>
  <r>
    <n v="10438"/>
    <x v="53"/>
    <n v="11.2"/>
    <n v="20"/>
    <n v="0.20000000298023224"/>
    <x v="1"/>
    <x v="155"/>
    <n v="179.19999933242798"/>
    <x v="6"/>
    <x v="2"/>
    <x v="53"/>
  </r>
  <r>
    <n v="10438"/>
    <x v="8"/>
    <n v="15.6"/>
    <n v="15"/>
    <n v="0.20000000298023224"/>
    <x v="1"/>
    <x v="155"/>
    <n v="187.19999930262566"/>
    <x v="1"/>
    <x v="2"/>
    <x v="8"/>
  </r>
  <r>
    <n v="10439"/>
    <x v="36"/>
    <n v="30.4"/>
    <n v="15"/>
    <n v="0"/>
    <x v="49"/>
    <x v="156"/>
    <n v="456"/>
    <x v="0"/>
    <x v="2"/>
    <x v="36"/>
  </r>
  <r>
    <n v="10439"/>
    <x v="19"/>
    <n v="13.9"/>
    <n v="16"/>
    <n v="0"/>
    <x v="49"/>
    <x v="156"/>
    <n v="222.4"/>
    <x v="5"/>
    <x v="2"/>
    <x v="19"/>
  </r>
  <r>
    <n v="10439"/>
    <x v="58"/>
    <n v="26.6"/>
    <n v="6"/>
    <n v="0"/>
    <x v="49"/>
    <x v="156"/>
    <n v="159.60000000000002"/>
    <x v="1"/>
    <x v="2"/>
    <x v="58"/>
  </r>
  <r>
    <n v="10439"/>
    <x v="17"/>
    <n v="8"/>
    <n v="30"/>
    <n v="0"/>
    <x v="49"/>
    <x v="156"/>
    <n v="240"/>
    <x v="2"/>
    <x v="2"/>
    <x v="17"/>
  </r>
  <r>
    <n v="10440"/>
    <x v="18"/>
    <n v="15.2"/>
    <n v="45"/>
    <n v="0.15000000596046448"/>
    <x v="45"/>
    <x v="157"/>
    <n v="581.3999959230423"/>
    <x v="6"/>
    <x v="2"/>
    <x v="18"/>
  </r>
  <r>
    <n v="10440"/>
    <x v="19"/>
    <n v="13.9"/>
    <n v="49"/>
    <n v="0.15000000596046448"/>
    <x v="45"/>
    <x v="157"/>
    <n v="578.93499594032767"/>
    <x v="5"/>
    <x v="2"/>
    <x v="19"/>
  </r>
  <r>
    <n v="10440"/>
    <x v="39"/>
    <n v="99"/>
    <n v="24"/>
    <n v="0.15000000596046448"/>
    <x v="45"/>
    <x v="157"/>
    <n v="2019.5999858379364"/>
    <x v="7"/>
    <x v="2"/>
    <x v="39"/>
  </r>
  <r>
    <n v="10440"/>
    <x v="75"/>
    <n v="22.8"/>
    <n v="90"/>
    <n v="0.15000000596046448"/>
    <x v="45"/>
    <x v="157"/>
    <n v="1744.1999877691269"/>
    <x v="4"/>
    <x v="2"/>
    <x v="75"/>
  </r>
  <r>
    <n v="10441"/>
    <x v="24"/>
    <n v="35.1"/>
    <n v="50"/>
    <n v="0"/>
    <x v="37"/>
    <x v="157"/>
    <n v="1755"/>
    <x v="5"/>
    <x v="2"/>
    <x v="24"/>
  </r>
  <r>
    <n v="10442"/>
    <x v="0"/>
    <n v="16.8"/>
    <n v="30"/>
    <n v="0"/>
    <x v="9"/>
    <x v="158"/>
    <n v="504"/>
    <x v="0"/>
    <x v="2"/>
    <x v="0"/>
  </r>
  <r>
    <n v="10442"/>
    <x v="55"/>
    <n v="5.9"/>
    <n v="80"/>
    <n v="0"/>
    <x v="9"/>
    <x v="158"/>
    <n v="472"/>
    <x v="7"/>
    <x v="2"/>
    <x v="55"/>
  </r>
  <r>
    <n v="10442"/>
    <x v="61"/>
    <n v="13.6"/>
    <n v="60"/>
    <n v="0"/>
    <x v="9"/>
    <x v="158"/>
    <n v="816"/>
    <x v="4"/>
    <x v="2"/>
    <x v="61"/>
  </r>
  <r>
    <n v="10443"/>
    <x v="0"/>
    <n v="16.8"/>
    <n v="6"/>
    <n v="0.20000000298023224"/>
    <x v="30"/>
    <x v="159"/>
    <n v="80.639999699592593"/>
    <x v="0"/>
    <x v="2"/>
    <x v="0"/>
  </r>
  <r>
    <n v="10443"/>
    <x v="44"/>
    <n v="36.4"/>
    <n v="12"/>
    <n v="0"/>
    <x v="30"/>
    <x v="159"/>
    <n v="436.79999999999995"/>
    <x v="2"/>
    <x v="2"/>
    <x v="44"/>
  </r>
  <r>
    <n v="10444"/>
    <x v="35"/>
    <n v="31.2"/>
    <n v="10"/>
    <n v="0"/>
    <x v="25"/>
    <x v="159"/>
    <n v="312"/>
    <x v="7"/>
    <x v="2"/>
    <x v="35"/>
  </r>
  <r>
    <n v="10444"/>
    <x v="68"/>
    <n v="24.9"/>
    <n v="15"/>
    <n v="0"/>
    <x v="25"/>
    <x v="159"/>
    <n v="373.5"/>
    <x v="5"/>
    <x v="2"/>
    <x v="68"/>
  </r>
  <r>
    <n v="10444"/>
    <x v="31"/>
    <n v="14.4"/>
    <n v="8"/>
    <n v="0"/>
    <x v="25"/>
    <x v="159"/>
    <n v="115.2"/>
    <x v="6"/>
    <x v="2"/>
    <x v="31"/>
  </r>
  <r>
    <n v="10444"/>
    <x v="5"/>
    <n v="7.7"/>
    <n v="30"/>
    <n v="0"/>
    <x v="25"/>
    <x v="159"/>
    <n v="231"/>
    <x v="3"/>
    <x v="2"/>
    <x v="5"/>
  </r>
  <r>
    <n v="10445"/>
    <x v="13"/>
    <n v="14.4"/>
    <n v="6"/>
    <n v="0"/>
    <x v="25"/>
    <x v="160"/>
    <n v="86.4"/>
    <x v="6"/>
    <x v="2"/>
    <x v="13"/>
  </r>
  <r>
    <n v="10445"/>
    <x v="55"/>
    <n v="5.9"/>
    <n v="15"/>
    <n v="0"/>
    <x v="25"/>
    <x v="160"/>
    <n v="88.5"/>
    <x v="7"/>
    <x v="2"/>
    <x v="55"/>
  </r>
  <r>
    <n v="10446"/>
    <x v="49"/>
    <n v="7.3"/>
    <n v="12"/>
    <n v="0.10000000149011612"/>
    <x v="1"/>
    <x v="161"/>
    <n v="78.839999869465828"/>
    <x v="5"/>
    <x v="2"/>
    <x v="49"/>
  </r>
  <r>
    <n v="10446"/>
    <x v="15"/>
    <n v="3.6"/>
    <n v="20"/>
    <n v="0.10000000149011612"/>
    <x v="1"/>
    <x v="161"/>
    <n v="64.799999892711639"/>
    <x v="6"/>
    <x v="2"/>
    <x v="15"/>
  </r>
  <r>
    <n v="10446"/>
    <x v="12"/>
    <n v="10"/>
    <n v="3"/>
    <n v="0.10000000149011612"/>
    <x v="1"/>
    <x v="161"/>
    <n v="26.999999955296516"/>
    <x v="0"/>
    <x v="2"/>
    <x v="12"/>
  </r>
  <r>
    <n v="10446"/>
    <x v="65"/>
    <n v="5.6"/>
    <n v="15"/>
    <n v="0.10000000149011612"/>
    <x v="1"/>
    <x v="161"/>
    <n v="75.599999874830246"/>
    <x v="1"/>
    <x v="2"/>
    <x v="65"/>
  </r>
  <r>
    <n v="10447"/>
    <x v="49"/>
    <n v="7.3"/>
    <n v="40"/>
    <n v="0"/>
    <x v="29"/>
    <x v="161"/>
    <n v="292"/>
    <x v="5"/>
    <x v="2"/>
    <x v="49"/>
  </r>
  <r>
    <n v="10447"/>
    <x v="6"/>
    <n v="16.8"/>
    <n v="35"/>
    <n v="0"/>
    <x v="29"/>
    <x v="161"/>
    <n v="588"/>
    <x v="4"/>
    <x v="2"/>
    <x v="6"/>
  </r>
  <r>
    <n v="10447"/>
    <x v="42"/>
    <n v="17.2"/>
    <n v="2"/>
    <n v="0"/>
    <x v="29"/>
    <x v="161"/>
    <n v="34.4"/>
    <x v="0"/>
    <x v="2"/>
    <x v="42"/>
  </r>
  <r>
    <n v="10448"/>
    <x v="68"/>
    <n v="24.9"/>
    <n v="6"/>
    <n v="0"/>
    <x v="73"/>
    <x v="162"/>
    <n v="149.39999999999998"/>
    <x v="5"/>
    <x v="2"/>
    <x v="68"/>
  </r>
  <r>
    <n v="10448"/>
    <x v="37"/>
    <n v="14.7"/>
    <n v="20"/>
    <n v="0"/>
    <x v="73"/>
    <x v="162"/>
    <n v="294"/>
    <x v="3"/>
    <x v="2"/>
    <x v="37"/>
  </r>
  <r>
    <n v="10449"/>
    <x v="41"/>
    <n v="24.8"/>
    <n v="14"/>
    <n v="0"/>
    <x v="15"/>
    <x v="163"/>
    <n v="347.2"/>
    <x v="3"/>
    <x v="2"/>
    <x v="41"/>
  </r>
  <r>
    <n v="10449"/>
    <x v="65"/>
    <n v="5.6"/>
    <n v="20"/>
    <n v="0"/>
    <x v="15"/>
    <x v="163"/>
    <n v="112"/>
    <x v="1"/>
    <x v="2"/>
    <x v="65"/>
  </r>
  <r>
    <n v="10449"/>
    <x v="29"/>
    <n v="39.4"/>
    <n v="35"/>
    <n v="0"/>
    <x v="15"/>
    <x v="163"/>
    <n v="1379"/>
    <x v="5"/>
    <x v="2"/>
    <x v="29"/>
  </r>
  <r>
    <n v="10450"/>
    <x v="41"/>
    <n v="24.8"/>
    <n v="20"/>
    <n v="0.20000000298023224"/>
    <x v="3"/>
    <x v="164"/>
    <n v="396.79999852180481"/>
    <x v="3"/>
    <x v="2"/>
    <x v="41"/>
  </r>
  <r>
    <n v="10450"/>
    <x v="55"/>
    <n v="5.9"/>
    <n v="6"/>
    <n v="0.20000000298023224"/>
    <x v="3"/>
    <x v="164"/>
    <n v="28.319999894499784"/>
    <x v="7"/>
    <x v="2"/>
    <x v="55"/>
  </r>
  <r>
    <n v="10451"/>
    <x v="16"/>
    <n v="19.2"/>
    <n v="120"/>
    <n v="0.10000000149011612"/>
    <x v="21"/>
    <x v="164"/>
    <n v="2073.5999965667725"/>
    <x v="7"/>
    <x v="2"/>
    <x v="16"/>
  </r>
  <r>
    <n v="10451"/>
    <x v="58"/>
    <n v="26.6"/>
    <n v="35"/>
    <n v="0.10000000149011612"/>
    <x v="21"/>
    <x v="164"/>
    <n v="837.89999861270189"/>
    <x v="1"/>
    <x v="2"/>
    <x v="58"/>
  </r>
  <r>
    <n v="10451"/>
    <x v="6"/>
    <n v="16.8"/>
    <n v="28"/>
    <n v="0.10000000149011612"/>
    <x v="21"/>
    <x v="164"/>
    <n v="423.35999929904943"/>
    <x v="4"/>
    <x v="2"/>
    <x v="6"/>
  </r>
  <r>
    <n v="10451"/>
    <x v="23"/>
    <n v="10.4"/>
    <n v="55"/>
    <n v="0.10000000149011612"/>
    <x v="21"/>
    <x v="164"/>
    <n v="514.79999914765358"/>
    <x v="4"/>
    <x v="2"/>
    <x v="23"/>
  </r>
  <r>
    <n v="10452"/>
    <x v="44"/>
    <n v="36.4"/>
    <n v="15"/>
    <n v="0"/>
    <x v="45"/>
    <x v="165"/>
    <n v="546"/>
    <x v="2"/>
    <x v="2"/>
    <x v="44"/>
  </r>
  <r>
    <n v="10452"/>
    <x v="45"/>
    <n v="15.5"/>
    <n v="100"/>
    <n v="5.000000074505806E-2"/>
    <x v="45"/>
    <x v="165"/>
    <n v="1472.49999884516"/>
    <x v="4"/>
    <x v="2"/>
    <x v="45"/>
  </r>
  <r>
    <n v="10453"/>
    <x v="74"/>
    <n v="10.199999999999999"/>
    <n v="15"/>
    <n v="0.10000000149011612"/>
    <x v="55"/>
    <x v="166"/>
    <n v="137.69999977201223"/>
    <x v="5"/>
    <x v="2"/>
    <x v="74"/>
  </r>
  <r>
    <n v="10453"/>
    <x v="30"/>
    <n v="12"/>
    <n v="25"/>
    <n v="0.10000000149011612"/>
    <x v="55"/>
    <x v="166"/>
    <n v="269.99999955296516"/>
    <x v="6"/>
    <x v="2"/>
    <x v="30"/>
  </r>
  <r>
    <n v="10454"/>
    <x v="19"/>
    <n v="13.9"/>
    <n v="20"/>
    <n v="0.20000000298023224"/>
    <x v="53"/>
    <x v="166"/>
    <n v="222.39999917149544"/>
    <x v="5"/>
    <x v="2"/>
    <x v="19"/>
  </r>
  <r>
    <n v="10454"/>
    <x v="10"/>
    <n v="2"/>
    <n v="20"/>
    <n v="0.20000000298023224"/>
    <x v="53"/>
    <x v="166"/>
    <n v="31.99999988079071"/>
    <x v="0"/>
    <x v="2"/>
    <x v="10"/>
  </r>
  <r>
    <n v="10454"/>
    <x v="54"/>
    <n v="9.6"/>
    <n v="10"/>
    <n v="0.20000000298023224"/>
    <x v="53"/>
    <x v="166"/>
    <n v="76.799999713897705"/>
    <x v="3"/>
    <x v="2"/>
    <x v="54"/>
  </r>
  <r>
    <n v="10455"/>
    <x v="13"/>
    <n v="14.4"/>
    <n v="20"/>
    <n v="0"/>
    <x v="16"/>
    <x v="167"/>
    <n v="288"/>
    <x v="6"/>
    <x v="2"/>
    <x v="13"/>
  </r>
  <r>
    <n v="10455"/>
    <x v="22"/>
    <n v="26.2"/>
    <n v="50"/>
    <n v="0"/>
    <x v="16"/>
    <x v="167"/>
    <n v="1310"/>
    <x v="7"/>
    <x v="2"/>
    <x v="22"/>
  </r>
  <r>
    <n v="10455"/>
    <x v="75"/>
    <n v="22.8"/>
    <n v="25"/>
    <n v="0"/>
    <x v="16"/>
    <x v="167"/>
    <n v="570"/>
    <x v="4"/>
    <x v="2"/>
    <x v="75"/>
  </r>
  <r>
    <n v="10455"/>
    <x v="42"/>
    <n v="17.2"/>
    <n v="30"/>
    <n v="0"/>
    <x v="16"/>
    <x v="167"/>
    <n v="516"/>
    <x v="0"/>
    <x v="2"/>
    <x v="42"/>
  </r>
  <r>
    <n v="10456"/>
    <x v="27"/>
    <n v="8"/>
    <n v="40"/>
    <n v="0.15000000596046448"/>
    <x v="44"/>
    <x v="168"/>
    <n v="271.99999809265137"/>
    <x v="5"/>
    <x v="2"/>
    <x v="27"/>
  </r>
  <r>
    <n v="10456"/>
    <x v="14"/>
    <n v="16"/>
    <n v="21"/>
    <n v="0.15000000596046448"/>
    <x v="44"/>
    <x v="168"/>
    <n v="285.59999799728394"/>
    <x v="5"/>
    <x v="2"/>
    <x v="14"/>
  </r>
  <r>
    <n v="10457"/>
    <x v="21"/>
    <n v="44"/>
    <n v="36"/>
    <n v="0"/>
    <x v="44"/>
    <x v="168"/>
    <n v="1584"/>
    <x v="0"/>
    <x v="2"/>
    <x v="21"/>
  </r>
  <r>
    <n v="10458"/>
    <x v="68"/>
    <n v="24.9"/>
    <n v="30"/>
    <n v="0"/>
    <x v="4"/>
    <x v="169"/>
    <n v="747"/>
    <x v="5"/>
    <x v="2"/>
    <x v="68"/>
  </r>
  <r>
    <n v="10458"/>
    <x v="44"/>
    <n v="36.4"/>
    <n v="30"/>
    <n v="0"/>
    <x v="4"/>
    <x v="169"/>
    <n v="1092"/>
    <x v="2"/>
    <x v="2"/>
    <x v="44"/>
  </r>
  <r>
    <n v="10458"/>
    <x v="40"/>
    <n v="36.799999999999997"/>
    <n v="20"/>
    <n v="0"/>
    <x v="4"/>
    <x v="169"/>
    <n v="736"/>
    <x v="6"/>
    <x v="2"/>
    <x v="40"/>
  </r>
  <r>
    <n v="10458"/>
    <x v="33"/>
    <n v="30.4"/>
    <n v="15"/>
    <n v="0"/>
    <x v="4"/>
    <x v="169"/>
    <n v="456"/>
    <x v="1"/>
    <x v="2"/>
    <x v="33"/>
  </r>
  <r>
    <n v="10458"/>
    <x v="42"/>
    <n v="17.2"/>
    <n v="50"/>
    <n v="0"/>
    <x v="4"/>
    <x v="169"/>
    <n v="860"/>
    <x v="0"/>
    <x v="2"/>
    <x v="42"/>
  </r>
  <r>
    <n v="10459"/>
    <x v="32"/>
    <n v="24"/>
    <n v="16"/>
    <n v="5.000000074505806E-2"/>
    <x v="3"/>
    <x v="170"/>
    <n v="364.79999971389771"/>
    <x v="2"/>
    <x v="2"/>
    <x v="32"/>
  </r>
  <r>
    <n v="10459"/>
    <x v="54"/>
    <n v="9.6"/>
    <n v="20"/>
    <n v="5.000000074505806E-2"/>
    <x v="3"/>
    <x v="170"/>
    <n v="182.39999985694885"/>
    <x v="3"/>
    <x v="2"/>
    <x v="54"/>
  </r>
  <r>
    <n v="10459"/>
    <x v="2"/>
    <n v="27.8"/>
    <n v="40"/>
    <n v="0"/>
    <x v="3"/>
    <x v="170"/>
    <n v="1112"/>
    <x v="0"/>
    <x v="2"/>
    <x v="2"/>
  </r>
  <r>
    <n v="10460"/>
    <x v="56"/>
    <n v="10"/>
    <n v="21"/>
    <n v="0.25"/>
    <x v="14"/>
    <x v="171"/>
    <n v="157.5"/>
    <x v="5"/>
    <x v="2"/>
    <x v="56"/>
  </r>
  <r>
    <n v="10460"/>
    <x v="48"/>
    <n v="6.2"/>
    <n v="4"/>
    <n v="0.25"/>
    <x v="14"/>
    <x v="171"/>
    <n v="18.600000000000001"/>
    <x v="6"/>
    <x v="2"/>
    <x v="48"/>
  </r>
  <r>
    <n v="10461"/>
    <x v="27"/>
    <n v="8"/>
    <n v="40"/>
    <n v="0.25"/>
    <x v="28"/>
    <x v="171"/>
    <n v="240"/>
    <x v="5"/>
    <x v="2"/>
    <x v="27"/>
  </r>
  <r>
    <n v="10461"/>
    <x v="34"/>
    <n v="20.7"/>
    <n v="28"/>
    <n v="0.25"/>
    <x v="28"/>
    <x v="171"/>
    <n v="434.70000000000005"/>
    <x v="3"/>
    <x v="2"/>
    <x v="34"/>
  </r>
  <r>
    <n v="10461"/>
    <x v="16"/>
    <n v="19.2"/>
    <n v="60"/>
    <n v="0.25"/>
    <x v="28"/>
    <x v="171"/>
    <n v="864"/>
    <x v="7"/>
    <x v="2"/>
    <x v="16"/>
  </r>
  <r>
    <n v="10462"/>
    <x v="43"/>
    <n v="4.8"/>
    <n v="1"/>
    <n v="0"/>
    <x v="72"/>
    <x v="172"/>
    <n v="4.8"/>
    <x v="3"/>
    <x v="2"/>
    <x v="43"/>
  </r>
  <r>
    <n v="10462"/>
    <x v="70"/>
    <n v="7.2"/>
    <n v="21"/>
    <n v="0"/>
    <x v="72"/>
    <x v="172"/>
    <n v="151.20000000000002"/>
    <x v="1"/>
    <x v="2"/>
    <x v="70"/>
  </r>
  <r>
    <n v="10463"/>
    <x v="49"/>
    <n v="7.3"/>
    <n v="21"/>
    <n v="0"/>
    <x v="4"/>
    <x v="173"/>
    <n v="153.29999999999998"/>
    <x v="5"/>
    <x v="2"/>
    <x v="49"/>
  </r>
  <r>
    <n v="10463"/>
    <x v="1"/>
    <n v="11.2"/>
    <n v="50"/>
    <n v="0"/>
    <x v="4"/>
    <x v="173"/>
    <n v="560"/>
    <x v="1"/>
    <x v="2"/>
    <x v="1"/>
  </r>
  <r>
    <n v="10464"/>
    <x v="62"/>
    <n v="17.600000000000001"/>
    <n v="16"/>
    <n v="0.20000000298023224"/>
    <x v="47"/>
    <x v="173"/>
    <n v="225.27999916076661"/>
    <x v="4"/>
    <x v="2"/>
    <x v="62"/>
  </r>
  <r>
    <n v="10464"/>
    <x v="40"/>
    <n v="36.799999999999997"/>
    <n v="3"/>
    <n v="0"/>
    <x v="47"/>
    <x v="173"/>
    <n v="110.39999999999999"/>
    <x v="6"/>
    <x v="2"/>
    <x v="40"/>
  </r>
  <r>
    <n v="10464"/>
    <x v="33"/>
    <n v="30.4"/>
    <n v="30"/>
    <n v="0.20000000298023224"/>
    <x v="47"/>
    <x v="173"/>
    <n v="729.5999972820282"/>
    <x v="1"/>
    <x v="2"/>
    <x v="33"/>
  </r>
  <r>
    <n v="10464"/>
    <x v="11"/>
    <n v="27.2"/>
    <n v="20"/>
    <n v="0"/>
    <x v="47"/>
    <x v="173"/>
    <n v="544"/>
    <x v="0"/>
    <x v="2"/>
    <x v="11"/>
  </r>
  <r>
    <n v="10465"/>
    <x v="15"/>
    <n v="3.6"/>
    <n v="25"/>
    <n v="0"/>
    <x v="61"/>
    <x v="174"/>
    <n v="90"/>
    <x v="6"/>
    <x v="2"/>
    <x v="15"/>
  </r>
  <r>
    <n v="10465"/>
    <x v="39"/>
    <n v="99"/>
    <n v="18"/>
    <n v="0.10000000149011612"/>
    <x v="61"/>
    <x v="174"/>
    <n v="1603.7999973446131"/>
    <x v="7"/>
    <x v="2"/>
    <x v="39"/>
  </r>
  <r>
    <n v="10465"/>
    <x v="37"/>
    <n v="14.7"/>
    <n v="20"/>
    <n v="0"/>
    <x v="61"/>
    <x v="174"/>
    <n v="294"/>
    <x v="3"/>
    <x v="2"/>
    <x v="37"/>
  </r>
  <r>
    <n v="10465"/>
    <x v="73"/>
    <n v="7.6"/>
    <n v="30"/>
    <n v="0.10000000149011612"/>
    <x v="61"/>
    <x v="174"/>
    <n v="205.19999966025352"/>
    <x v="3"/>
    <x v="2"/>
    <x v="73"/>
  </r>
  <r>
    <n v="10465"/>
    <x v="72"/>
    <n v="13"/>
    <n v="25"/>
    <n v="0"/>
    <x v="61"/>
    <x v="174"/>
    <n v="325"/>
    <x v="5"/>
    <x v="2"/>
    <x v="72"/>
  </r>
  <r>
    <n v="10466"/>
    <x v="0"/>
    <n v="16.8"/>
    <n v="10"/>
    <n v="0"/>
    <x v="32"/>
    <x v="175"/>
    <n v="168"/>
    <x v="0"/>
    <x v="2"/>
    <x v="0"/>
  </r>
  <r>
    <n v="10466"/>
    <x v="54"/>
    <n v="9.6"/>
    <n v="5"/>
    <n v="0"/>
    <x v="32"/>
    <x v="175"/>
    <n v="48"/>
    <x v="3"/>
    <x v="2"/>
    <x v="54"/>
  </r>
  <r>
    <n v="10467"/>
    <x v="15"/>
    <n v="3.6"/>
    <n v="28"/>
    <n v="0"/>
    <x v="22"/>
    <x v="175"/>
    <n v="100.8"/>
    <x v="6"/>
    <x v="2"/>
    <x v="15"/>
  </r>
  <r>
    <n v="10467"/>
    <x v="66"/>
    <n v="11.2"/>
    <n v="12"/>
    <n v="0"/>
    <x v="22"/>
    <x v="175"/>
    <n v="134.39999999999998"/>
    <x v="5"/>
    <x v="2"/>
    <x v="66"/>
  </r>
  <r>
    <n v="10468"/>
    <x v="34"/>
    <n v="20.7"/>
    <n v="8"/>
    <n v="0"/>
    <x v="44"/>
    <x v="176"/>
    <n v="165.6"/>
    <x v="3"/>
    <x v="2"/>
    <x v="34"/>
  </r>
  <r>
    <n v="10468"/>
    <x v="40"/>
    <n v="36.799999999999997"/>
    <n v="15"/>
    <n v="0"/>
    <x v="44"/>
    <x v="176"/>
    <n v="552"/>
    <x v="6"/>
    <x v="2"/>
    <x v="40"/>
  </r>
  <r>
    <n v="10469"/>
    <x v="18"/>
    <n v="15.2"/>
    <n v="40"/>
    <n v="0.15000000596046448"/>
    <x v="19"/>
    <x v="177"/>
    <n v="516.7999963760376"/>
    <x v="6"/>
    <x v="2"/>
    <x v="18"/>
  </r>
  <r>
    <n v="10469"/>
    <x v="19"/>
    <n v="13.9"/>
    <n v="35"/>
    <n v="0.15000000596046448"/>
    <x v="19"/>
    <x v="177"/>
    <n v="413.52499710023403"/>
    <x v="5"/>
    <x v="2"/>
    <x v="19"/>
  </r>
  <r>
    <n v="10469"/>
    <x v="45"/>
    <n v="15.5"/>
    <n v="2"/>
    <n v="0.15000000596046448"/>
    <x v="19"/>
    <x v="177"/>
    <n v="26.349999815225601"/>
    <x v="4"/>
    <x v="2"/>
    <x v="45"/>
  </r>
  <r>
    <n v="10470"/>
    <x v="59"/>
    <n v="50"/>
    <n v="30"/>
    <n v="0"/>
    <x v="48"/>
    <x v="178"/>
    <n v="1500"/>
    <x v="3"/>
    <x v="2"/>
    <x v="59"/>
  </r>
  <r>
    <n v="10470"/>
    <x v="70"/>
    <n v="7.2"/>
    <n v="15"/>
    <n v="0"/>
    <x v="48"/>
    <x v="178"/>
    <n v="108"/>
    <x v="1"/>
    <x v="2"/>
    <x v="70"/>
  </r>
  <r>
    <n v="10470"/>
    <x v="58"/>
    <n v="26.6"/>
    <n v="8"/>
    <n v="0"/>
    <x v="48"/>
    <x v="178"/>
    <n v="212.8"/>
    <x v="1"/>
    <x v="2"/>
    <x v="58"/>
  </r>
  <r>
    <n v="10471"/>
    <x v="32"/>
    <n v="24"/>
    <n v="30"/>
    <n v="0"/>
    <x v="31"/>
    <x v="178"/>
    <n v="720"/>
    <x v="2"/>
    <x v="2"/>
    <x v="32"/>
  </r>
  <r>
    <n v="10471"/>
    <x v="33"/>
    <n v="30.4"/>
    <n v="20"/>
    <n v="0"/>
    <x v="31"/>
    <x v="178"/>
    <n v="608"/>
    <x v="1"/>
    <x v="2"/>
    <x v="33"/>
  </r>
  <r>
    <n v="10472"/>
    <x v="15"/>
    <n v="3.6"/>
    <n v="80"/>
    <n v="5.000000074505806E-2"/>
    <x v="56"/>
    <x v="179"/>
    <n v="273.59999978542328"/>
    <x v="6"/>
    <x v="2"/>
    <x v="15"/>
  </r>
  <r>
    <n v="10472"/>
    <x v="4"/>
    <n v="42.4"/>
    <n v="18"/>
    <n v="0"/>
    <x v="56"/>
    <x v="179"/>
    <n v="763.19999999999993"/>
    <x v="2"/>
    <x v="2"/>
    <x v="4"/>
  </r>
  <r>
    <n v="10473"/>
    <x v="10"/>
    <n v="2"/>
    <n v="12"/>
    <n v="0"/>
    <x v="42"/>
    <x v="180"/>
    <n v="24"/>
    <x v="0"/>
    <x v="2"/>
    <x v="10"/>
  </r>
  <r>
    <n v="10473"/>
    <x v="42"/>
    <n v="17.2"/>
    <n v="12"/>
    <n v="0"/>
    <x v="42"/>
    <x v="180"/>
    <n v="206.39999999999998"/>
    <x v="0"/>
    <x v="2"/>
    <x v="42"/>
  </r>
  <r>
    <n v="10474"/>
    <x v="3"/>
    <n v="18.600000000000001"/>
    <n v="12"/>
    <n v="0"/>
    <x v="43"/>
    <x v="180"/>
    <n v="223.20000000000002"/>
    <x v="2"/>
    <x v="2"/>
    <x v="3"/>
  </r>
  <r>
    <n v="10474"/>
    <x v="44"/>
    <n v="36.4"/>
    <n v="18"/>
    <n v="0"/>
    <x v="43"/>
    <x v="180"/>
    <n v="655.19999999999993"/>
    <x v="2"/>
    <x v="2"/>
    <x v="44"/>
  </r>
  <r>
    <n v="10474"/>
    <x v="37"/>
    <n v="14.7"/>
    <n v="21"/>
    <n v="0"/>
    <x v="43"/>
    <x v="180"/>
    <n v="308.7"/>
    <x v="3"/>
    <x v="2"/>
    <x v="37"/>
  </r>
  <r>
    <n v="10474"/>
    <x v="48"/>
    <n v="6.2"/>
    <n v="10"/>
    <n v="0"/>
    <x v="43"/>
    <x v="180"/>
    <n v="62"/>
    <x v="6"/>
    <x v="2"/>
    <x v="48"/>
  </r>
  <r>
    <n v="10475"/>
    <x v="12"/>
    <n v="10"/>
    <n v="35"/>
    <n v="0.15000000596046448"/>
    <x v="4"/>
    <x v="181"/>
    <n v="297.49999791383743"/>
    <x v="0"/>
    <x v="2"/>
    <x v="12"/>
  </r>
  <r>
    <n v="10475"/>
    <x v="61"/>
    <n v="13.6"/>
    <n v="60"/>
    <n v="0.15000000596046448"/>
    <x v="4"/>
    <x v="181"/>
    <n v="693.59999513626099"/>
    <x v="4"/>
    <x v="2"/>
    <x v="61"/>
  </r>
  <r>
    <n v="10475"/>
    <x v="38"/>
    <n v="14.4"/>
    <n v="42"/>
    <n v="0.15000000596046448"/>
    <x v="4"/>
    <x v="181"/>
    <n v="514.07999639511115"/>
    <x v="6"/>
    <x v="2"/>
    <x v="38"/>
  </r>
  <r>
    <n v="10476"/>
    <x v="16"/>
    <n v="19.2"/>
    <n v="2"/>
    <n v="5.000000074505806E-2"/>
    <x v="8"/>
    <x v="182"/>
    <n v="36.479999971389766"/>
    <x v="7"/>
    <x v="2"/>
    <x v="16"/>
  </r>
  <r>
    <n v="10476"/>
    <x v="30"/>
    <n v="12"/>
    <n v="12"/>
    <n v="0"/>
    <x v="8"/>
    <x v="182"/>
    <n v="144"/>
    <x v="6"/>
    <x v="2"/>
    <x v="30"/>
  </r>
  <r>
    <n v="10477"/>
    <x v="52"/>
    <n v="14.4"/>
    <n v="15"/>
    <n v="0"/>
    <x v="50"/>
    <x v="182"/>
    <n v="216"/>
    <x v="6"/>
    <x v="2"/>
    <x v="52"/>
  </r>
  <r>
    <n v="10477"/>
    <x v="27"/>
    <n v="8"/>
    <n v="21"/>
    <n v="0.25"/>
    <x v="50"/>
    <x v="182"/>
    <n v="126"/>
    <x v="5"/>
    <x v="2"/>
    <x v="27"/>
  </r>
  <r>
    <n v="10477"/>
    <x v="13"/>
    <n v="14.4"/>
    <n v="20"/>
    <n v="0.25"/>
    <x v="50"/>
    <x v="182"/>
    <n v="216"/>
    <x v="6"/>
    <x v="2"/>
    <x v="13"/>
  </r>
  <r>
    <n v="10478"/>
    <x v="41"/>
    <n v="24.8"/>
    <n v="20"/>
    <n v="5.000000074505806E-2"/>
    <x v="3"/>
    <x v="183"/>
    <n v="471.1999996304512"/>
    <x v="3"/>
    <x v="2"/>
    <x v="41"/>
  </r>
  <r>
    <n v="10479"/>
    <x v="67"/>
    <n v="210.8"/>
    <n v="30"/>
    <n v="0"/>
    <x v="13"/>
    <x v="184"/>
    <n v="6324"/>
    <x v="6"/>
    <x v="2"/>
    <x v="67"/>
  </r>
  <r>
    <n v="10479"/>
    <x v="22"/>
    <n v="26.2"/>
    <n v="28"/>
    <n v="0"/>
    <x v="13"/>
    <x v="184"/>
    <n v="733.6"/>
    <x v="7"/>
    <x v="2"/>
    <x v="22"/>
  </r>
  <r>
    <n v="10479"/>
    <x v="21"/>
    <n v="44"/>
    <n v="60"/>
    <n v="0"/>
    <x v="13"/>
    <x v="184"/>
    <n v="2640"/>
    <x v="0"/>
    <x v="2"/>
    <x v="21"/>
  </r>
  <r>
    <n v="10479"/>
    <x v="58"/>
    <n v="26.6"/>
    <n v="30"/>
    <n v="0"/>
    <x v="13"/>
    <x v="184"/>
    <n v="798"/>
    <x v="1"/>
    <x v="2"/>
    <x v="58"/>
  </r>
  <r>
    <n v="10480"/>
    <x v="69"/>
    <n v="7.6"/>
    <n v="30"/>
    <n v="0"/>
    <x v="68"/>
    <x v="185"/>
    <n v="228"/>
    <x v="5"/>
    <x v="2"/>
    <x v="69"/>
  </r>
  <r>
    <n v="10480"/>
    <x v="21"/>
    <n v="44"/>
    <n v="12"/>
    <n v="0"/>
    <x v="68"/>
    <x v="185"/>
    <n v="528"/>
    <x v="0"/>
    <x v="2"/>
    <x v="21"/>
  </r>
  <r>
    <n v="10481"/>
    <x v="14"/>
    <n v="16"/>
    <n v="24"/>
    <n v="0"/>
    <x v="29"/>
    <x v="185"/>
    <n v="384"/>
    <x v="5"/>
    <x v="2"/>
    <x v="14"/>
  </r>
  <r>
    <n v="10481"/>
    <x v="11"/>
    <n v="27.2"/>
    <n v="40"/>
    <n v="0"/>
    <x v="29"/>
    <x v="185"/>
    <n v="1088"/>
    <x v="0"/>
    <x v="2"/>
    <x v="11"/>
  </r>
  <r>
    <n v="10482"/>
    <x v="37"/>
    <n v="14.7"/>
    <n v="10"/>
    <n v="0"/>
    <x v="74"/>
    <x v="186"/>
    <n v="147"/>
    <x v="3"/>
    <x v="2"/>
    <x v="37"/>
  </r>
  <r>
    <n v="10483"/>
    <x v="53"/>
    <n v="11.2"/>
    <n v="35"/>
    <n v="5.000000074505806E-2"/>
    <x v="19"/>
    <x v="187"/>
    <n v="372.39999970793724"/>
    <x v="6"/>
    <x v="2"/>
    <x v="53"/>
  </r>
  <r>
    <n v="10483"/>
    <x v="23"/>
    <n v="10.4"/>
    <n v="30"/>
    <n v="5.000000074505806E-2"/>
    <x v="19"/>
    <x v="187"/>
    <n v="296.39999976754189"/>
    <x v="4"/>
    <x v="2"/>
    <x v="23"/>
  </r>
  <r>
    <n v="10484"/>
    <x v="27"/>
    <n v="8"/>
    <n v="14"/>
    <n v="0"/>
    <x v="31"/>
    <x v="187"/>
    <n v="112"/>
    <x v="5"/>
    <x v="2"/>
    <x v="27"/>
  </r>
  <r>
    <n v="10484"/>
    <x v="37"/>
    <n v="14.7"/>
    <n v="10"/>
    <n v="0"/>
    <x v="31"/>
    <x v="187"/>
    <n v="147"/>
    <x v="3"/>
    <x v="2"/>
    <x v="37"/>
  </r>
  <r>
    <n v="10484"/>
    <x v="4"/>
    <n v="42.4"/>
    <n v="3"/>
    <n v="0"/>
    <x v="31"/>
    <x v="187"/>
    <n v="127.19999999999999"/>
    <x v="2"/>
    <x v="2"/>
    <x v="4"/>
  </r>
  <r>
    <n v="10485"/>
    <x v="18"/>
    <n v="15.2"/>
    <n v="20"/>
    <n v="0.10000000149011612"/>
    <x v="67"/>
    <x v="188"/>
    <n v="273.5999995470047"/>
    <x v="6"/>
    <x v="2"/>
    <x v="18"/>
  </r>
  <r>
    <n v="10485"/>
    <x v="57"/>
    <n v="8"/>
    <n v="20"/>
    <n v="0.10000000149011612"/>
    <x v="67"/>
    <x v="188"/>
    <n v="143.99999976158142"/>
    <x v="4"/>
    <x v="2"/>
    <x v="57"/>
  </r>
  <r>
    <n v="10485"/>
    <x v="16"/>
    <n v="19.2"/>
    <n v="30"/>
    <n v="0.10000000149011612"/>
    <x v="67"/>
    <x v="188"/>
    <n v="518.39999914169312"/>
    <x v="7"/>
    <x v="2"/>
    <x v="16"/>
  </r>
  <r>
    <n v="10485"/>
    <x v="30"/>
    <n v="12"/>
    <n v="60"/>
    <n v="0.10000000149011612"/>
    <x v="67"/>
    <x v="188"/>
    <n v="647.99999892711639"/>
    <x v="6"/>
    <x v="2"/>
    <x v="30"/>
  </r>
  <r>
    <n v="10486"/>
    <x v="0"/>
    <n v="16.8"/>
    <n v="5"/>
    <n v="0"/>
    <x v="8"/>
    <x v="189"/>
    <n v="84"/>
    <x v="0"/>
    <x v="2"/>
    <x v="0"/>
  </r>
  <r>
    <n v="10486"/>
    <x v="4"/>
    <n v="42.4"/>
    <n v="25"/>
    <n v="0"/>
    <x v="8"/>
    <x v="189"/>
    <n v="1060"/>
    <x v="2"/>
    <x v="2"/>
    <x v="4"/>
  </r>
  <r>
    <n v="10486"/>
    <x v="17"/>
    <n v="8"/>
    <n v="16"/>
    <n v="0"/>
    <x v="8"/>
    <x v="189"/>
    <n v="128"/>
    <x v="2"/>
    <x v="2"/>
    <x v="17"/>
  </r>
  <r>
    <n v="10487"/>
    <x v="49"/>
    <n v="7.3"/>
    <n v="5"/>
    <n v="0"/>
    <x v="62"/>
    <x v="189"/>
    <n v="36.5"/>
    <x v="5"/>
    <x v="2"/>
    <x v="49"/>
  </r>
  <r>
    <n v="10487"/>
    <x v="68"/>
    <n v="24.9"/>
    <n v="30"/>
    <n v="0"/>
    <x v="62"/>
    <x v="189"/>
    <n v="747"/>
    <x v="5"/>
    <x v="2"/>
    <x v="68"/>
  </r>
  <r>
    <n v="10487"/>
    <x v="55"/>
    <n v="5.9"/>
    <n v="24"/>
    <n v="0.25"/>
    <x v="62"/>
    <x v="189"/>
    <n v="106.20000000000002"/>
    <x v="7"/>
    <x v="2"/>
    <x v="55"/>
  </r>
  <r>
    <n v="10488"/>
    <x v="21"/>
    <n v="44"/>
    <n v="30"/>
    <n v="0"/>
    <x v="17"/>
    <x v="190"/>
    <n v="1320"/>
    <x v="0"/>
    <x v="2"/>
    <x v="21"/>
  </r>
  <r>
    <n v="10488"/>
    <x v="47"/>
    <n v="12"/>
    <n v="20"/>
    <n v="0.20000000298023224"/>
    <x v="17"/>
    <x v="190"/>
    <n v="191.99999928474426"/>
    <x v="3"/>
    <x v="2"/>
    <x v="47"/>
  </r>
  <r>
    <n v="10489"/>
    <x v="0"/>
    <n v="16.8"/>
    <n v="15"/>
    <n v="0.25"/>
    <x v="54"/>
    <x v="191"/>
    <n v="189"/>
    <x v="0"/>
    <x v="2"/>
    <x v="0"/>
  </r>
  <r>
    <n v="10489"/>
    <x v="19"/>
    <n v="13.9"/>
    <n v="18"/>
    <n v="0"/>
    <x v="54"/>
    <x v="191"/>
    <n v="250.20000000000002"/>
    <x v="5"/>
    <x v="2"/>
    <x v="19"/>
  </r>
  <r>
    <n v="10490"/>
    <x v="21"/>
    <n v="44"/>
    <n v="60"/>
    <n v="0"/>
    <x v="8"/>
    <x v="192"/>
    <n v="2640"/>
    <x v="0"/>
    <x v="2"/>
    <x v="21"/>
  </r>
  <r>
    <n v="10490"/>
    <x v="56"/>
    <n v="10"/>
    <n v="30"/>
    <n v="0"/>
    <x v="8"/>
    <x v="192"/>
    <n v="300"/>
    <x v="5"/>
    <x v="2"/>
    <x v="56"/>
  </r>
  <r>
    <n v="10490"/>
    <x v="48"/>
    <n v="6.2"/>
    <n v="36"/>
    <n v="0"/>
    <x v="8"/>
    <x v="192"/>
    <n v="223.20000000000002"/>
    <x v="6"/>
    <x v="2"/>
    <x v="48"/>
  </r>
  <r>
    <n v="10491"/>
    <x v="45"/>
    <n v="15.5"/>
    <n v="15"/>
    <n v="0.15000000596046448"/>
    <x v="47"/>
    <x v="192"/>
    <n v="197.62499861419201"/>
    <x v="4"/>
    <x v="2"/>
    <x v="45"/>
  </r>
  <r>
    <n v="10491"/>
    <x v="23"/>
    <n v="10.4"/>
    <n v="7"/>
    <n v="0.15000000596046448"/>
    <x v="47"/>
    <x v="192"/>
    <n v="61.879999566078183"/>
    <x v="4"/>
    <x v="2"/>
    <x v="23"/>
  </r>
  <r>
    <n v="10492"/>
    <x v="66"/>
    <n v="11.2"/>
    <n v="60"/>
    <n v="5.000000074505806E-2"/>
    <x v="66"/>
    <x v="193"/>
    <n v="638.39999949932098"/>
    <x v="5"/>
    <x v="3"/>
    <x v="66"/>
  </r>
  <r>
    <n v="10492"/>
    <x v="1"/>
    <n v="11.2"/>
    <n v="20"/>
    <n v="5.000000074505806E-2"/>
    <x v="66"/>
    <x v="193"/>
    <n v="212.79999983310699"/>
    <x v="1"/>
    <x v="3"/>
    <x v="1"/>
  </r>
  <r>
    <n v="10493"/>
    <x v="6"/>
    <n v="16.8"/>
    <n v="15"/>
    <n v="0.10000000149011612"/>
    <x v="53"/>
    <x v="194"/>
    <n v="226.79999962449074"/>
    <x v="4"/>
    <x v="3"/>
    <x v="6"/>
  </r>
  <r>
    <n v="10493"/>
    <x v="61"/>
    <n v="13.6"/>
    <n v="10"/>
    <n v="0.10000000149011612"/>
    <x v="53"/>
    <x v="194"/>
    <n v="122.39999979734421"/>
    <x v="4"/>
    <x v="3"/>
    <x v="61"/>
  </r>
  <r>
    <n v="10493"/>
    <x v="60"/>
    <n v="28.8"/>
    <n v="10"/>
    <n v="0.10000000149011612"/>
    <x v="53"/>
    <x v="194"/>
    <n v="259.19999957084656"/>
    <x v="0"/>
    <x v="3"/>
    <x v="60"/>
  </r>
  <r>
    <n v="10494"/>
    <x v="33"/>
    <n v="30.4"/>
    <n v="30"/>
    <n v="0"/>
    <x v="32"/>
    <x v="194"/>
    <n v="912"/>
    <x v="1"/>
    <x v="3"/>
    <x v="33"/>
  </r>
  <r>
    <n v="10495"/>
    <x v="70"/>
    <n v="7.2"/>
    <n v="10"/>
    <n v="0"/>
    <x v="75"/>
    <x v="195"/>
    <n v="72"/>
    <x v="1"/>
    <x v="3"/>
    <x v="70"/>
  </r>
  <r>
    <n v="10495"/>
    <x v="5"/>
    <n v="7.7"/>
    <n v="20"/>
    <n v="0"/>
    <x v="75"/>
    <x v="195"/>
    <n v="154"/>
    <x v="3"/>
    <x v="3"/>
    <x v="5"/>
  </r>
  <r>
    <n v="10495"/>
    <x v="23"/>
    <n v="10.4"/>
    <n v="5"/>
    <n v="0"/>
    <x v="75"/>
    <x v="195"/>
    <n v="52"/>
    <x v="4"/>
    <x v="3"/>
    <x v="23"/>
  </r>
  <r>
    <n v="10496"/>
    <x v="12"/>
    <n v="10"/>
    <n v="20"/>
    <n v="5.000000074505806E-2"/>
    <x v="33"/>
    <x v="196"/>
    <n v="189.99999985098839"/>
    <x v="0"/>
    <x v="3"/>
    <x v="12"/>
  </r>
  <r>
    <n v="10497"/>
    <x v="33"/>
    <n v="30.4"/>
    <n v="14"/>
    <n v="0"/>
    <x v="26"/>
    <x v="196"/>
    <n v="425.59999999999997"/>
    <x v="1"/>
    <x v="3"/>
    <x v="33"/>
  </r>
  <r>
    <n v="10497"/>
    <x v="2"/>
    <n v="27.8"/>
    <n v="25"/>
    <n v="0"/>
    <x v="26"/>
    <x v="196"/>
    <n v="695"/>
    <x v="0"/>
    <x v="3"/>
    <x v="2"/>
  </r>
  <r>
    <n v="10497"/>
    <x v="23"/>
    <n v="10.4"/>
    <n v="25"/>
    <n v="0"/>
    <x v="26"/>
    <x v="196"/>
    <n v="260"/>
    <x v="4"/>
    <x v="3"/>
    <x v="23"/>
  </r>
  <r>
    <n v="10498"/>
    <x v="15"/>
    <n v="4.5"/>
    <n v="14"/>
    <n v="0"/>
    <x v="8"/>
    <x v="197"/>
    <n v="63"/>
    <x v="6"/>
    <x v="3"/>
    <x v="15"/>
  </r>
  <r>
    <n v="10498"/>
    <x v="37"/>
    <n v="18.399999999999999"/>
    <n v="5"/>
    <n v="0"/>
    <x v="8"/>
    <x v="197"/>
    <n v="92"/>
    <x v="3"/>
    <x v="3"/>
    <x v="37"/>
  </r>
  <r>
    <n v="10498"/>
    <x v="1"/>
    <n v="14"/>
    <n v="30"/>
    <n v="0"/>
    <x v="8"/>
    <x v="197"/>
    <n v="420"/>
    <x v="1"/>
    <x v="3"/>
    <x v="1"/>
  </r>
  <r>
    <n v="10499"/>
    <x v="44"/>
    <n v="45.6"/>
    <n v="20"/>
    <n v="0"/>
    <x v="28"/>
    <x v="198"/>
    <n v="912"/>
    <x v="2"/>
    <x v="3"/>
    <x v="44"/>
  </r>
  <r>
    <n v="10499"/>
    <x v="14"/>
    <n v="20"/>
    <n v="25"/>
    <n v="0"/>
    <x v="28"/>
    <x v="198"/>
    <n v="500"/>
    <x v="5"/>
    <x v="3"/>
    <x v="14"/>
  </r>
  <r>
    <n v="10500"/>
    <x v="50"/>
    <n v="15.5"/>
    <n v="12"/>
    <n v="5.000000074505806E-2"/>
    <x v="53"/>
    <x v="199"/>
    <n v="176.6999998614192"/>
    <x v="4"/>
    <x v="3"/>
    <x v="50"/>
  </r>
  <r>
    <n v="10500"/>
    <x v="44"/>
    <n v="45.6"/>
    <n v="8"/>
    <n v="5.000000074505806E-2"/>
    <x v="53"/>
    <x v="199"/>
    <n v="346.55999972820285"/>
    <x v="2"/>
    <x v="3"/>
    <x v="44"/>
  </r>
  <r>
    <n v="10501"/>
    <x v="55"/>
    <n v="7.45"/>
    <n v="20"/>
    <n v="0"/>
    <x v="76"/>
    <x v="199"/>
    <n v="149"/>
    <x v="7"/>
    <x v="3"/>
    <x v="55"/>
  </r>
  <r>
    <n v="10502"/>
    <x v="73"/>
    <n v="9.5"/>
    <n v="21"/>
    <n v="0"/>
    <x v="43"/>
    <x v="200"/>
    <n v="199.5"/>
    <x v="3"/>
    <x v="3"/>
    <x v="73"/>
  </r>
  <r>
    <n v="10502"/>
    <x v="22"/>
    <n v="32.799999999999997"/>
    <n v="6"/>
    <n v="0"/>
    <x v="43"/>
    <x v="200"/>
    <n v="196.79999999999998"/>
    <x v="7"/>
    <x v="3"/>
    <x v="22"/>
  </r>
  <r>
    <n v="10502"/>
    <x v="51"/>
    <n v="14"/>
    <n v="30"/>
    <n v="0"/>
    <x v="43"/>
    <x v="200"/>
    <n v="420"/>
    <x v="6"/>
    <x v="3"/>
    <x v="51"/>
  </r>
  <r>
    <n v="10503"/>
    <x v="3"/>
    <n v="23.25"/>
    <n v="70"/>
    <n v="0"/>
    <x v="34"/>
    <x v="201"/>
    <n v="1627.5"/>
    <x v="2"/>
    <x v="3"/>
    <x v="3"/>
  </r>
  <r>
    <n v="10503"/>
    <x v="6"/>
    <n v="21.05"/>
    <n v="20"/>
    <n v="0"/>
    <x v="34"/>
    <x v="201"/>
    <n v="421"/>
    <x v="4"/>
    <x v="3"/>
    <x v="6"/>
  </r>
  <r>
    <n v="10504"/>
    <x v="18"/>
    <n v="19"/>
    <n v="12"/>
    <n v="0"/>
    <x v="19"/>
    <x v="201"/>
    <n v="228"/>
    <x v="6"/>
    <x v="3"/>
    <x v="18"/>
  </r>
  <r>
    <n v="10504"/>
    <x v="27"/>
    <n v="10"/>
    <n v="12"/>
    <n v="0"/>
    <x v="19"/>
    <x v="201"/>
    <n v="120"/>
    <x v="5"/>
    <x v="3"/>
    <x v="27"/>
  </r>
  <r>
    <n v="10504"/>
    <x v="22"/>
    <n v="32.799999999999997"/>
    <n v="10"/>
    <n v="0"/>
    <x v="19"/>
    <x v="201"/>
    <n v="328"/>
    <x v="7"/>
    <x v="3"/>
    <x v="22"/>
  </r>
  <r>
    <n v="10504"/>
    <x v="75"/>
    <n v="28.5"/>
    <n v="25"/>
    <n v="0"/>
    <x v="19"/>
    <x v="201"/>
    <n v="712.5"/>
    <x v="4"/>
    <x v="3"/>
    <x v="75"/>
  </r>
  <r>
    <n v="10505"/>
    <x v="29"/>
    <n v="49.3"/>
    <n v="3"/>
    <n v="0"/>
    <x v="49"/>
    <x v="202"/>
    <n v="147.89999999999998"/>
    <x v="5"/>
    <x v="3"/>
    <x v="29"/>
  </r>
  <r>
    <n v="10506"/>
    <x v="66"/>
    <n v="14"/>
    <n v="18"/>
    <n v="0.10000000149011612"/>
    <x v="44"/>
    <x v="203"/>
    <n v="226.79999962449074"/>
    <x v="5"/>
    <x v="3"/>
    <x v="66"/>
  </r>
  <r>
    <n v="10506"/>
    <x v="30"/>
    <n v="15"/>
    <n v="14"/>
    <n v="0.10000000149011612"/>
    <x v="44"/>
    <x v="203"/>
    <n v="188.99999968707561"/>
    <x v="6"/>
    <x v="3"/>
    <x v="30"/>
  </r>
  <r>
    <n v="10507"/>
    <x v="40"/>
    <n v="46"/>
    <n v="15"/>
    <n v="0.15000000596046448"/>
    <x v="59"/>
    <x v="203"/>
    <n v="586.49999588727951"/>
    <x v="6"/>
    <x v="3"/>
    <x v="40"/>
  </r>
  <r>
    <n v="10507"/>
    <x v="74"/>
    <n v="12.75"/>
    <n v="15"/>
    <n v="0.15000000596046448"/>
    <x v="59"/>
    <x v="203"/>
    <n v="162.56249886006117"/>
    <x v="5"/>
    <x v="3"/>
    <x v="74"/>
  </r>
  <r>
    <n v="10508"/>
    <x v="43"/>
    <n v="6"/>
    <n v="10"/>
    <n v="0"/>
    <x v="11"/>
    <x v="204"/>
    <n v="60"/>
    <x v="3"/>
    <x v="3"/>
    <x v="43"/>
  </r>
  <r>
    <n v="10508"/>
    <x v="13"/>
    <n v="18"/>
    <n v="10"/>
    <n v="0"/>
    <x v="11"/>
    <x v="204"/>
    <n v="180"/>
    <x v="6"/>
    <x v="3"/>
    <x v="13"/>
  </r>
  <r>
    <n v="10509"/>
    <x v="44"/>
    <n v="45.6"/>
    <n v="3"/>
    <n v="0"/>
    <x v="76"/>
    <x v="205"/>
    <n v="136.80000000000001"/>
    <x v="2"/>
    <x v="3"/>
    <x v="44"/>
  </r>
  <r>
    <n v="10510"/>
    <x v="39"/>
    <n v="123.79"/>
    <n v="36"/>
    <n v="0"/>
    <x v="45"/>
    <x v="206"/>
    <n v="4456.4400000000005"/>
    <x v="7"/>
    <x v="3"/>
    <x v="39"/>
  </r>
  <r>
    <n v="10510"/>
    <x v="48"/>
    <n v="7.75"/>
    <n v="36"/>
    <n v="0.10000000149011612"/>
    <x v="45"/>
    <x v="206"/>
    <n v="251.0999995842576"/>
    <x v="6"/>
    <x v="3"/>
    <x v="48"/>
  </r>
  <r>
    <n v="10511"/>
    <x v="62"/>
    <n v="22"/>
    <n v="50"/>
    <n v="0.15000000596046448"/>
    <x v="48"/>
    <x v="206"/>
    <n v="934.99999344348907"/>
    <x v="4"/>
    <x v="3"/>
    <x v="62"/>
  </r>
  <r>
    <n v="10511"/>
    <x v="32"/>
    <n v="30"/>
    <n v="50"/>
    <n v="0.15000000596046448"/>
    <x v="48"/>
    <x v="206"/>
    <n v="1274.9999910593033"/>
    <x v="2"/>
    <x v="3"/>
    <x v="32"/>
  </r>
  <r>
    <n v="10511"/>
    <x v="71"/>
    <n v="40"/>
    <n v="10"/>
    <n v="0.15000000596046448"/>
    <x v="48"/>
    <x v="206"/>
    <n v="339.99999761581421"/>
    <x v="4"/>
    <x v="3"/>
    <x v="71"/>
  </r>
  <r>
    <n v="10512"/>
    <x v="15"/>
    <n v="4.5"/>
    <n v="10"/>
    <n v="0.15000000596046448"/>
    <x v="52"/>
    <x v="207"/>
    <n v="38.249999731779099"/>
    <x v="6"/>
    <x v="3"/>
    <x v="15"/>
  </r>
  <r>
    <n v="10512"/>
    <x v="54"/>
    <n v="12"/>
    <n v="9"/>
    <n v="0.15000000596046448"/>
    <x v="52"/>
    <x v="207"/>
    <n v="91.799999356269836"/>
    <x v="3"/>
    <x v="3"/>
    <x v="54"/>
  </r>
  <r>
    <n v="10512"/>
    <x v="69"/>
    <n v="9.5"/>
    <n v="6"/>
    <n v="0.15000000596046448"/>
    <x v="52"/>
    <x v="207"/>
    <n v="48.449999660253525"/>
    <x v="5"/>
    <x v="3"/>
    <x v="69"/>
  </r>
  <r>
    <n v="10512"/>
    <x v="11"/>
    <n v="34"/>
    <n v="12"/>
    <n v="0.15000000596046448"/>
    <x v="52"/>
    <x v="207"/>
    <n v="346.79999756813049"/>
    <x v="0"/>
    <x v="3"/>
    <x v="11"/>
  </r>
  <r>
    <n v="10513"/>
    <x v="27"/>
    <n v="10"/>
    <n v="40"/>
    <n v="0.20000000298023224"/>
    <x v="35"/>
    <x v="208"/>
    <n v="319.9999988079071"/>
    <x v="5"/>
    <x v="3"/>
    <x v="27"/>
  </r>
  <r>
    <n v="10513"/>
    <x v="26"/>
    <n v="32"/>
    <n v="50"/>
    <n v="0.20000000298023224"/>
    <x v="35"/>
    <x v="208"/>
    <n v="1279.9999952316284"/>
    <x v="0"/>
    <x v="3"/>
    <x v="26"/>
  </r>
  <r>
    <n v="10513"/>
    <x v="75"/>
    <n v="28.5"/>
    <n v="15"/>
    <n v="0.20000000298023224"/>
    <x v="35"/>
    <x v="208"/>
    <n v="341.99999872595072"/>
    <x v="4"/>
    <x v="3"/>
    <x v="75"/>
  </r>
  <r>
    <n v="10514"/>
    <x v="9"/>
    <n v="81"/>
    <n v="39"/>
    <n v="0"/>
    <x v="9"/>
    <x v="208"/>
    <n v="3159"/>
    <x v="5"/>
    <x v="3"/>
    <x v="9"/>
  </r>
  <r>
    <n v="10514"/>
    <x v="44"/>
    <n v="45.6"/>
    <n v="35"/>
    <n v="0"/>
    <x v="9"/>
    <x v="208"/>
    <n v="1596"/>
    <x v="2"/>
    <x v="3"/>
    <x v="44"/>
  </r>
  <r>
    <n v="10514"/>
    <x v="33"/>
    <n v="38"/>
    <n v="70"/>
    <n v="0"/>
    <x v="9"/>
    <x v="208"/>
    <n v="2660"/>
    <x v="1"/>
    <x v="3"/>
    <x v="33"/>
  </r>
  <r>
    <n v="10514"/>
    <x v="6"/>
    <n v="21.05"/>
    <n v="39"/>
    <n v="0"/>
    <x v="9"/>
    <x v="208"/>
    <n v="820.95"/>
    <x v="4"/>
    <x v="3"/>
    <x v="6"/>
  </r>
  <r>
    <n v="10514"/>
    <x v="48"/>
    <n v="7.75"/>
    <n v="50"/>
    <n v="0"/>
    <x v="9"/>
    <x v="208"/>
    <n v="387.5"/>
    <x v="6"/>
    <x v="3"/>
    <x v="48"/>
  </r>
  <r>
    <n v="10515"/>
    <x v="76"/>
    <n v="97"/>
    <n v="16"/>
    <n v="0.15000000596046448"/>
    <x v="21"/>
    <x v="209"/>
    <n v="1319.1999907493591"/>
    <x v="7"/>
    <x v="3"/>
    <x v="76"/>
  </r>
  <r>
    <n v="10515"/>
    <x v="19"/>
    <n v="17.45"/>
    <n v="50"/>
    <n v="0"/>
    <x v="21"/>
    <x v="209"/>
    <n v="872.5"/>
    <x v="5"/>
    <x v="3"/>
    <x v="19"/>
  </r>
  <r>
    <n v="10515"/>
    <x v="24"/>
    <n v="43.9"/>
    <n v="120"/>
    <n v="0"/>
    <x v="21"/>
    <x v="209"/>
    <n v="5268"/>
    <x v="5"/>
    <x v="3"/>
    <x v="24"/>
  </r>
  <r>
    <n v="10515"/>
    <x v="10"/>
    <n v="2.5"/>
    <n v="16"/>
    <n v="0.15000000596046448"/>
    <x v="21"/>
    <x v="209"/>
    <n v="33.999999761581421"/>
    <x v="0"/>
    <x v="3"/>
    <x v="10"/>
  </r>
  <r>
    <n v="10515"/>
    <x v="11"/>
    <n v="34"/>
    <n v="84"/>
    <n v="0.15000000596046448"/>
    <x v="21"/>
    <x v="209"/>
    <n v="2427.5999829769135"/>
    <x v="0"/>
    <x v="3"/>
    <x v="11"/>
  </r>
  <r>
    <n v="10516"/>
    <x v="59"/>
    <n v="62.5"/>
    <n v="25"/>
    <n v="0.10000000149011612"/>
    <x v="34"/>
    <x v="210"/>
    <n v="1406.2499976716936"/>
    <x v="3"/>
    <x v="3"/>
    <x v="59"/>
  </r>
  <r>
    <n v="10516"/>
    <x v="5"/>
    <n v="9.65"/>
    <n v="80"/>
    <n v="0.10000000149011612"/>
    <x v="34"/>
    <x v="210"/>
    <n v="694.79999884963036"/>
    <x v="3"/>
    <x v="3"/>
    <x v="5"/>
  </r>
  <r>
    <n v="10516"/>
    <x v="1"/>
    <n v="14"/>
    <n v="20"/>
    <n v="0"/>
    <x v="34"/>
    <x v="210"/>
    <n v="280"/>
    <x v="1"/>
    <x v="3"/>
    <x v="1"/>
  </r>
  <r>
    <n v="10517"/>
    <x v="65"/>
    <n v="7"/>
    <n v="6"/>
    <n v="0"/>
    <x v="77"/>
    <x v="210"/>
    <n v="42"/>
    <x v="1"/>
    <x v="3"/>
    <x v="65"/>
  </r>
  <r>
    <n v="10517"/>
    <x v="21"/>
    <n v="55"/>
    <n v="4"/>
    <n v="0"/>
    <x v="77"/>
    <x v="210"/>
    <n v="220"/>
    <x v="0"/>
    <x v="3"/>
    <x v="21"/>
  </r>
  <r>
    <n v="10517"/>
    <x v="30"/>
    <n v="15"/>
    <n v="6"/>
    <n v="0"/>
    <x v="77"/>
    <x v="210"/>
    <n v="90"/>
    <x v="6"/>
    <x v="3"/>
    <x v="30"/>
  </r>
  <r>
    <n v="10518"/>
    <x v="15"/>
    <n v="4.5"/>
    <n v="5"/>
    <n v="0"/>
    <x v="23"/>
    <x v="211"/>
    <n v="22.5"/>
    <x v="6"/>
    <x v="3"/>
    <x v="15"/>
  </r>
  <r>
    <n v="10518"/>
    <x v="67"/>
    <n v="263.5"/>
    <n v="15"/>
    <n v="0"/>
    <x v="23"/>
    <x v="211"/>
    <n v="3952.5"/>
    <x v="6"/>
    <x v="3"/>
    <x v="67"/>
  </r>
  <r>
    <n v="10518"/>
    <x v="45"/>
    <n v="19.45"/>
    <n v="9"/>
    <n v="0"/>
    <x v="23"/>
    <x v="211"/>
    <n v="175.04999999999998"/>
    <x v="4"/>
    <x v="3"/>
    <x v="45"/>
  </r>
  <r>
    <n v="10519"/>
    <x v="41"/>
    <n v="31"/>
    <n v="16"/>
    <n v="5.000000074505806E-2"/>
    <x v="5"/>
    <x v="212"/>
    <n v="471.1999996304512"/>
    <x v="3"/>
    <x v="3"/>
    <x v="41"/>
  </r>
  <r>
    <n v="10519"/>
    <x v="33"/>
    <n v="38"/>
    <n v="40"/>
    <n v="0"/>
    <x v="5"/>
    <x v="212"/>
    <n v="1520"/>
    <x v="1"/>
    <x v="3"/>
    <x v="33"/>
  </r>
  <r>
    <n v="10519"/>
    <x v="11"/>
    <n v="34"/>
    <n v="10"/>
    <n v="5.000000074505806E-2"/>
    <x v="5"/>
    <x v="212"/>
    <n v="322.99999974668026"/>
    <x v="0"/>
    <x v="3"/>
    <x v="11"/>
  </r>
  <r>
    <n v="10520"/>
    <x v="15"/>
    <n v="4.5"/>
    <n v="8"/>
    <n v="0"/>
    <x v="65"/>
    <x v="213"/>
    <n v="36"/>
    <x v="6"/>
    <x v="3"/>
    <x v="15"/>
  </r>
  <r>
    <n v="10520"/>
    <x v="22"/>
    <n v="32.799999999999997"/>
    <n v="5"/>
    <n v="0"/>
    <x v="65"/>
    <x v="213"/>
    <n v="164"/>
    <x v="7"/>
    <x v="3"/>
    <x v="22"/>
  </r>
  <r>
    <n v="10521"/>
    <x v="31"/>
    <n v="18"/>
    <n v="3"/>
    <n v="0"/>
    <x v="78"/>
    <x v="213"/>
    <n v="54"/>
    <x v="6"/>
    <x v="3"/>
    <x v="31"/>
  </r>
  <r>
    <n v="10521"/>
    <x v="5"/>
    <n v="9.65"/>
    <n v="10"/>
    <n v="0"/>
    <x v="78"/>
    <x v="213"/>
    <n v="96.5"/>
    <x v="3"/>
    <x v="3"/>
    <x v="5"/>
  </r>
  <r>
    <n v="10521"/>
    <x v="56"/>
    <n v="12.5"/>
    <n v="6"/>
    <n v="0"/>
    <x v="78"/>
    <x v="213"/>
    <n v="75"/>
    <x v="5"/>
    <x v="3"/>
    <x v="56"/>
  </r>
  <r>
    <n v="10522"/>
    <x v="52"/>
    <n v="18"/>
    <n v="40"/>
    <n v="0.20000000298023224"/>
    <x v="26"/>
    <x v="214"/>
    <n v="575.99999785423279"/>
    <x v="6"/>
    <x v="3"/>
    <x v="52"/>
  </r>
  <r>
    <n v="10522"/>
    <x v="71"/>
    <n v="40"/>
    <n v="24"/>
    <n v="0"/>
    <x v="26"/>
    <x v="214"/>
    <n v="960"/>
    <x v="4"/>
    <x v="3"/>
    <x v="71"/>
  </r>
  <r>
    <n v="10522"/>
    <x v="34"/>
    <n v="25.89"/>
    <n v="20"/>
    <n v="0.20000000298023224"/>
    <x v="26"/>
    <x v="214"/>
    <n v="414.23999845683574"/>
    <x v="3"/>
    <x v="3"/>
    <x v="34"/>
  </r>
  <r>
    <n v="10522"/>
    <x v="37"/>
    <n v="18.399999999999999"/>
    <n v="25"/>
    <n v="0.20000000298023224"/>
    <x v="26"/>
    <x v="214"/>
    <n v="367.99999862909311"/>
    <x v="3"/>
    <x v="3"/>
    <x v="37"/>
  </r>
  <r>
    <n v="10523"/>
    <x v="35"/>
    <n v="39"/>
    <n v="25"/>
    <n v="0.10000000149011612"/>
    <x v="56"/>
    <x v="215"/>
    <n v="877.49999854713678"/>
    <x v="7"/>
    <x v="3"/>
    <x v="35"/>
  </r>
  <r>
    <n v="10523"/>
    <x v="9"/>
    <n v="81"/>
    <n v="15"/>
    <n v="0.10000000149011612"/>
    <x v="56"/>
    <x v="215"/>
    <n v="1093.4999981895089"/>
    <x v="5"/>
    <x v="3"/>
    <x v="9"/>
  </r>
  <r>
    <n v="10523"/>
    <x v="28"/>
    <n v="26"/>
    <n v="18"/>
    <n v="0.10000000149011612"/>
    <x v="56"/>
    <x v="215"/>
    <n v="421.19999930262566"/>
    <x v="3"/>
    <x v="3"/>
    <x v="28"/>
  </r>
  <r>
    <n v="10523"/>
    <x v="5"/>
    <n v="9.65"/>
    <n v="6"/>
    <n v="0.10000000149011612"/>
    <x v="56"/>
    <x v="215"/>
    <n v="52.109999913722284"/>
    <x v="3"/>
    <x v="3"/>
    <x v="5"/>
  </r>
  <r>
    <n v="10524"/>
    <x v="41"/>
    <n v="31"/>
    <n v="2"/>
    <n v="0"/>
    <x v="25"/>
    <x v="215"/>
    <n v="62"/>
    <x v="3"/>
    <x v="3"/>
    <x v="41"/>
  </r>
  <r>
    <n v="10524"/>
    <x v="34"/>
    <n v="25.89"/>
    <n v="10"/>
    <n v="0"/>
    <x v="25"/>
    <x v="215"/>
    <n v="258.89999999999998"/>
    <x v="3"/>
    <x v="3"/>
    <x v="34"/>
  </r>
  <r>
    <n v="10524"/>
    <x v="40"/>
    <n v="46"/>
    <n v="60"/>
    <n v="0"/>
    <x v="25"/>
    <x v="215"/>
    <n v="2760"/>
    <x v="6"/>
    <x v="3"/>
    <x v="40"/>
  </r>
  <r>
    <n v="10524"/>
    <x v="55"/>
    <n v="7.45"/>
    <n v="15"/>
    <n v="0"/>
    <x v="25"/>
    <x v="215"/>
    <n v="111.75"/>
    <x v="7"/>
    <x v="3"/>
    <x v="55"/>
  </r>
  <r>
    <n v="10525"/>
    <x v="20"/>
    <n v="19"/>
    <n v="30"/>
    <n v="0"/>
    <x v="48"/>
    <x v="216"/>
    <n v="570"/>
    <x v="3"/>
    <x v="3"/>
    <x v="20"/>
  </r>
  <r>
    <n v="10525"/>
    <x v="37"/>
    <n v="18.399999999999999"/>
    <n v="15"/>
    <n v="0.10000000149011612"/>
    <x v="48"/>
    <x v="216"/>
    <n v="248.39999958872795"/>
    <x v="3"/>
    <x v="3"/>
    <x v="37"/>
  </r>
  <r>
    <n v="10526"/>
    <x v="52"/>
    <n v="18"/>
    <n v="8"/>
    <n v="0.15000000596046448"/>
    <x v="16"/>
    <x v="217"/>
    <n v="122.39999914169312"/>
    <x v="6"/>
    <x v="3"/>
    <x v="52"/>
  </r>
  <r>
    <n v="10526"/>
    <x v="43"/>
    <n v="6"/>
    <n v="10"/>
    <n v="0"/>
    <x v="16"/>
    <x v="217"/>
    <n v="60"/>
    <x v="3"/>
    <x v="3"/>
    <x v="43"/>
  </r>
  <r>
    <n v="10526"/>
    <x v="33"/>
    <n v="38"/>
    <n v="30"/>
    <n v="0.15000000596046448"/>
    <x v="16"/>
    <x v="217"/>
    <n v="968.9999932050705"/>
    <x v="1"/>
    <x v="3"/>
    <x v="33"/>
  </r>
  <r>
    <n v="10527"/>
    <x v="62"/>
    <n v="22"/>
    <n v="50"/>
    <n v="0.10000000149011612"/>
    <x v="21"/>
    <x v="217"/>
    <n v="989.99999836087227"/>
    <x v="4"/>
    <x v="3"/>
    <x v="62"/>
  </r>
  <r>
    <n v="10527"/>
    <x v="20"/>
    <n v="19"/>
    <n v="30"/>
    <n v="0.10000000149011612"/>
    <x v="21"/>
    <x v="217"/>
    <n v="512.99999915063381"/>
    <x v="3"/>
    <x v="3"/>
    <x v="20"/>
  </r>
  <r>
    <n v="10528"/>
    <x v="0"/>
    <n v="21"/>
    <n v="3"/>
    <n v="0"/>
    <x v="79"/>
    <x v="218"/>
    <n v="63"/>
    <x v="0"/>
    <x v="3"/>
    <x v="0"/>
  </r>
  <r>
    <n v="10528"/>
    <x v="10"/>
    <n v="2.5"/>
    <n v="8"/>
    <n v="0.20000000298023224"/>
    <x v="79"/>
    <x v="218"/>
    <n v="15.999999940395355"/>
    <x v="0"/>
    <x v="3"/>
    <x v="10"/>
  </r>
  <r>
    <n v="10528"/>
    <x v="2"/>
    <n v="34.799999999999997"/>
    <n v="9"/>
    <n v="0"/>
    <x v="79"/>
    <x v="218"/>
    <n v="313.2"/>
    <x v="0"/>
    <x v="3"/>
    <x v="2"/>
  </r>
  <r>
    <n v="10529"/>
    <x v="16"/>
    <n v="24"/>
    <n v="14"/>
    <n v="0"/>
    <x v="80"/>
    <x v="219"/>
    <n v="336"/>
    <x v="7"/>
    <x v="3"/>
    <x v="16"/>
  </r>
  <r>
    <n v="10529"/>
    <x v="56"/>
    <n v="12.5"/>
    <n v="20"/>
    <n v="0"/>
    <x v="80"/>
    <x v="219"/>
    <n v="250"/>
    <x v="5"/>
    <x v="3"/>
    <x v="56"/>
  </r>
  <r>
    <n v="10529"/>
    <x v="60"/>
    <n v="36"/>
    <n v="10"/>
    <n v="0"/>
    <x v="80"/>
    <x v="219"/>
    <n v="360"/>
    <x v="0"/>
    <x v="3"/>
    <x v="60"/>
  </r>
  <r>
    <n v="10530"/>
    <x v="35"/>
    <n v="39"/>
    <n v="40"/>
    <n v="0"/>
    <x v="54"/>
    <x v="220"/>
    <n v="1560"/>
    <x v="7"/>
    <x v="3"/>
    <x v="35"/>
  </r>
  <r>
    <n v="10530"/>
    <x v="40"/>
    <n v="46"/>
    <n v="25"/>
    <n v="0"/>
    <x v="54"/>
    <x v="220"/>
    <n v="1150"/>
    <x v="6"/>
    <x v="3"/>
    <x v="40"/>
  </r>
  <r>
    <n v="10530"/>
    <x v="75"/>
    <n v="28.5"/>
    <n v="20"/>
    <n v="0"/>
    <x v="54"/>
    <x v="220"/>
    <n v="570"/>
    <x v="4"/>
    <x v="3"/>
    <x v="75"/>
  </r>
  <r>
    <n v="10530"/>
    <x v="38"/>
    <n v="18"/>
    <n v="50"/>
    <n v="0"/>
    <x v="54"/>
    <x v="220"/>
    <n v="900"/>
    <x v="6"/>
    <x v="3"/>
    <x v="38"/>
  </r>
  <r>
    <n v="10531"/>
    <x v="21"/>
    <n v="55"/>
    <n v="2"/>
    <n v="0"/>
    <x v="69"/>
    <x v="220"/>
    <n v="110"/>
    <x v="0"/>
    <x v="3"/>
    <x v="21"/>
  </r>
  <r>
    <n v="10532"/>
    <x v="34"/>
    <n v="25.89"/>
    <n v="15"/>
    <n v="0"/>
    <x v="58"/>
    <x v="221"/>
    <n v="388.35"/>
    <x v="3"/>
    <x v="3"/>
    <x v="34"/>
  </r>
  <r>
    <n v="10532"/>
    <x v="61"/>
    <n v="17"/>
    <n v="24"/>
    <n v="0"/>
    <x v="58"/>
    <x v="221"/>
    <n v="408"/>
    <x v="4"/>
    <x v="3"/>
    <x v="61"/>
  </r>
  <r>
    <n v="10533"/>
    <x v="62"/>
    <n v="22"/>
    <n v="50"/>
    <n v="5.000000074505806E-2"/>
    <x v="14"/>
    <x v="222"/>
    <n v="1044.9999991804361"/>
    <x v="4"/>
    <x v="3"/>
    <x v="62"/>
  </r>
  <r>
    <n v="10533"/>
    <x v="2"/>
    <n v="34.799999999999997"/>
    <n v="24"/>
    <n v="0"/>
    <x v="14"/>
    <x v="222"/>
    <n v="835.19999999999993"/>
    <x v="0"/>
    <x v="3"/>
    <x v="2"/>
  </r>
  <r>
    <n v="10533"/>
    <x v="47"/>
    <n v="15"/>
    <n v="24"/>
    <n v="5.000000074505806E-2"/>
    <x v="14"/>
    <x v="222"/>
    <n v="341.9999997317791"/>
    <x v="3"/>
    <x v="3"/>
    <x v="47"/>
  </r>
  <r>
    <n v="10534"/>
    <x v="34"/>
    <n v="25.89"/>
    <n v="10"/>
    <n v="0"/>
    <x v="26"/>
    <x v="222"/>
    <n v="258.89999999999998"/>
    <x v="3"/>
    <x v="3"/>
    <x v="34"/>
  </r>
  <r>
    <n v="10534"/>
    <x v="37"/>
    <n v="18.399999999999999"/>
    <n v="10"/>
    <n v="0.20000000298023224"/>
    <x v="26"/>
    <x v="222"/>
    <n v="147.19999945163727"/>
    <x v="3"/>
    <x v="3"/>
    <x v="37"/>
  </r>
  <r>
    <n v="10534"/>
    <x v="55"/>
    <n v="7.45"/>
    <n v="10"/>
    <n v="0.20000000298023224"/>
    <x v="26"/>
    <x v="222"/>
    <n v="59.599999777972698"/>
    <x v="7"/>
    <x v="3"/>
    <x v="55"/>
  </r>
  <r>
    <n v="10535"/>
    <x v="0"/>
    <n v="21"/>
    <n v="50"/>
    <n v="0.10000000149011612"/>
    <x v="59"/>
    <x v="223"/>
    <n v="944.99999843537807"/>
    <x v="0"/>
    <x v="3"/>
    <x v="0"/>
  </r>
  <r>
    <n v="10535"/>
    <x v="37"/>
    <n v="18.399999999999999"/>
    <n v="10"/>
    <n v="0.10000000149011612"/>
    <x v="59"/>
    <x v="223"/>
    <n v="165.59999972581863"/>
    <x v="3"/>
    <x v="3"/>
    <x v="37"/>
  </r>
  <r>
    <n v="10535"/>
    <x v="8"/>
    <n v="19.5"/>
    <n v="5"/>
    <n v="0.10000000149011612"/>
    <x v="59"/>
    <x v="223"/>
    <n v="87.749999854713678"/>
    <x v="1"/>
    <x v="3"/>
    <x v="8"/>
  </r>
  <r>
    <n v="10535"/>
    <x v="21"/>
    <n v="55"/>
    <n v="15"/>
    <n v="0.10000000149011612"/>
    <x v="59"/>
    <x v="223"/>
    <n v="742.4999987706542"/>
    <x v="0"/>
    <x v="3"/>
    <x v="21"/>
  </r>
  <r>
    <n v="10536"/>
    <x v="36"/>
    <n v="38"/>
    <n v="15"/>
    <n v="0.25"/>
    <x v="26"/>
    <x v="224"/>
    <n v="427.5"/>
    <x v="0"/>
    <x v="3"/>
    <x v="36"/>
  </r>
  <r>
    <n v="10536"/>
    <x v="12"/>
    <n v="12.5"/>
    <n v="20"/>
    <n v="0"/>
    <x v="26"/>
    <x v="224"/>
    <n v="250"/>
    <x v="0"/>
    <x v="3"/>
    <x v="12"/>
  </r>
  <r>
    <n v="10536"/>
    <x v="10"/>
    <n v="2.5"/>
    <n v="30"/>
    <n v="0"/>
    <x v="26"/>
    <x v="224"/>
    <n v="75"/>
    <x v="0"/>
    <x v="3"/>
    <x v="10"/>
  </r>
  <r>
    <n v="10536"/>
    <x v="11"/>
    <n v="34"/>
    <n v="35"/>
    <n v="0.25"/>
    <x v="26"/>
    <x v="224"/>
    <n v="892.5"/>
    <x v="0"/>
    <x v="3"/>
    <x v="11"/>
  </r>
  <r>
    <n v="10537"/>
    <x v="12"/>
    <n v="12.5"/>
    <n v="30"/>
    <n v="0"/>
    <x v="6"/>
    <x v="224"/>
    <n v="375"/>
    <x v="0"/>
    <x v="3"/>
    <x v="12"/>
  </r>
  <r>
    <n v="10537"/>
    <x v="4"/>
    <n v="53"/>
    <n v="6"/>
    <n v="0"/>
    <x v="6"/>
    <x v="224"/>
    <n v="318"/>
    <x v="2"/>
    <x v="3"/>
    <x v="4"/>
  </r>
  <r>
    <n v="10537"/>
    <x v="64"/>
    <n v="13.25"/>
    <n v="20"/>
    <n v="0"/>
    <x v="6"/>
    <x v="224"/>
    <n v="265"/>
    <x v="3"/>
    <x v="3"/>
    <x v="64"/>
  </r>
  <r>
    <n v="10537"/>
    <x v="2"/>
    <n v="34.799999999999997"/>
    <n v="21"/>
    <n v="0"/>
    <x v="6"/>
    <x v="224"/>
    <n v="730.8"/>
    <x v="0"/>
    <x v="3"/>
    <x v="2"/>
  </r>
  <r>
    <n v="10537"/>
    <x v="47"/>
    <n v="15"/>
    <n v="9"/>
    <n v="0"/>
    <x v="6"/>
    <x v="224"/>
    <n v="135"/>
    <x v="3"/>
    <x v="3"/>
    <x v="47"/>
  </r>
  <r>
    <n v="10538"/>
    <x v="30"/>
    <n v="15"/>
    <n v="7"/>
    <n v="0"/>
    <x v="31"/>
    <x v="225"/>
    <n v="105"/>
    <x v="6"/>
    <x v="3"/>
    <x v="30"/>
  </r>
  <r>
    <n v="10538"/>
    <x v="2"/>
    <n v="34.799999999999997"/>
    <n v="1"/>
    <n v="0"/>
    <x v="31"/>
    <x v="225"/>
    <n v="34.799999999999997"/>
    <x v="0"/>
    <x v="3"/>
    <x v="2"/>
  </r>
  <r>
    <n v="10539"/>
    <x v="43"/>
    <n v="6"/>
    <n v="8"/>
    <n v="0"/>
    <x v="31"/>
    <x v="226"/>
    <n v="48"/>
    <x v="3"/>
    <x v="3"/>
    <x v="43"/>
  </r>
  <r>
    <n v="10539"/>
    <x v="27"/>
    <n v="10"/>
    <n v="15"/>
    <n v="0"/>
    <x v="31"/>
    <x v="226"/>
    <n v="150"/>
    <x v="5"/>
    <x v="3"/>
    <x v="27"/>
  </r>
  <r>
    <n v="10539"/>
    <x v="10"/>
    <n v="2.5"/>
    <n v="15"/>
    <n v="0"/>
    <x v="31"/>
    <x v="226"/>
    <n v="37.5"/>
    <x v="0"/>
    <x v="3"/>
    <x v="10"/>
  </r>
  <r>
    <n v="10539"/>
    <x v="14"/>
    <n v="20"/>
    <n v="6"/>
    <n v="0"/>
    <x v="31"/>
    <x v="226"/>
    <n v="120"/>
    <x v="5"/>
    <x v="3"/>
    <x v="14"/>
  </r>
  <r>
    <n v="10540"/>
    <x v="57"/>
    <n v="10"/>
    <n v="60"/>
    <n v="0"/>
    <x v="21"/>
    <x v="227"/>
    <n v="600"/>
    <x v="4"/>
    <x v="3"/>
    <x v="57"/>
  </r>
  <r>
    <n v="10540"/>
    <x v="68"/>
    <n v="31.23"/>
    <n v="40"/>
    <n v="0"/>
    <x v="21"/>
    <x v="227"/>
    <n v="1249.2"/>
    <x v="5"/>
    <x v="3"/>
    <x v="68"/>
  </r>
  <r>
    <n v="10540"/>
    <x v="67"/>
    <n v="263.5"/>
    <n v="30"/>
    <n v="0"/>
    <x v="21"/>
    <x v="227"/>
    <n v="7905"/>
    <x v="6"/>
    <x v="3"/>
    <x v="67"/>
  </r>
  <r>
    <n v="10540"/>
    <x v="56"/>
    <n v="12.5"/>
    <n v="35"/>
    <n v="0"/>
    <x v="21"/>
    <x v="227"/>
    <n v="437.5"/>
    <x v="5"/>
    <x v="3"/>
    <x v="56"/>
  </r>
  <r>
    <n v="10541"/>
    <x v="15"/>
    <n v="4.5"/>
    <n v="35"/>
    <n v="0.10000000149011612"/>
    <x v="2"/>
    <x v="227"/>
    <n v="141.74999976530671"/>
    <x v="6"/>
    <x v="3"/>
    <x v="15"/>
  </r>
  <r>
    <n v="10541"/>
    <x v="67"/>
    <n v="263.5"/>
    <n v="4"/>
    <n v="0.10000000149011612"/>
    <x v="2"/>
    <x v="227"/>
    <n v="948.59999842941761"/>
    <x v="6"/>
    <x v="3"/>
    <x v="67"/>
  </r>
  <r>
    <n v="10541"/>
    <x v="6"/>
    <n v="21.05"/>
    <n v="36"/>
    <n v="0.10000000149011612"/>
    <x v="2"/>
    <x v="227"/>
    <n v="682.01999887079012"/>
    <x v="4"/>
    <x v="3"/>
    <x v="6"/>
  </r>
  <r>
    <n v="10541"/>
    <x v="42"/>
    <n v="21.5"/>
    <n v="9"/>
    <n v="0.10000000149011612"/>
    <x v="2"/>
    <x v="227"/>
    <n v="174.14999971166253"/>
    <x v="0"/>
    <x v="3"/>
    <x v="42"/>
  </r>
  <r>
    <n v="10542"/>
    <x v="0"/>
    <n v="21"/>
    <n v="15"/>
    <n v="5.000000074505806E-2"/>
    <x v="44"/>
    <x v="228"/>
    <n v="299.24999976530671"/>
    <x v="0"/>
    <x v="3"/>
    <x v="0"/>
  </r>
  <r>
    <n v="10542"/>
    <x v="55"/>
    <n v="7.45"/>
    <n v="24"/>
    <n v="5.000000074505806E-2"/>
    <x v="44"/>
    <x v="228"/>
    <n v="169.85999986678362"/>
    <x v="7"/>
    <x v="3"/>
    <x v="55"/>
  </r>
  <r>
    <n v="10543"/>
    <x v="36"/>
    <n v="38"/>
    <n v="30"/>
    <n v="0.15000000596046448"/>
    <x v="28"/>
    <x v="229"/>
    <n v="968.9999932050705"/>
    <x v="0"/>
    <x v="3"/>
    <x v="36"/>
  </r>
  <r>
    <n v="10543"/>
    <x v="70"/>
    <n v="9"/>
    <n v="70"/>
    <n v="0.15000000596046448"/>
    <x v="28"/>
    <x v="229"/>
    <n v="535.49999624490738"/>
    <x v="1"/>
    <x v="3"/>
    <x v="70"/>
  </r>
  <r>
    <n v="10544"/>
    <x v="44"/>
    <n v="45.6"/>
    <n v="7"/>
    <n v="0"/>
    <x v="38"/>
    <x v="229"/>
    <n v="319.2"/>
    <x v="2"/>
    <x v="3"/>
    <x v="44"/>
  </r>
  <r>
    <n v="10544"/>
    <x v="51"/>
    <n v="14"/>
    <n v="7"/>
    <n v="0"/>
    <x v="38"/>
    <x v="229"/>
    <n v="98"/>
    <x v="6"/>
    <x v="3"/>
    <x v="51"/>
  </r>
  <r>
    <n v="10545"/>
    <x v="0"/>
    <n v="21"/>
    <n v="10"/>
    <n v="0"/>
    <x v="74"/>
    <x v="230"/>
    <n v="210"/>
    <x v="0"/>
    <x v="3"/>
    <x v="0"/>
  </r>
  <r>
    <n v="10546"/>
    <x v="32"/>
    <n v="30"/>
    <n v="10"/>
    <n v="0"/>
    <x v="3"/>
    <x v="231"/>
    <n v="300"/>
    <x v="2"/>
    <x v="3"/>
    <x v="32"/>
  </r>
  <r>
    <n v="10546"/>
    <x v="31"/>
    <n v="18"/>
    <n v="30"/>
    <n v="0"/>
    <x v="3"/>
    <x v="231"/>
    <n v="540"/>
    <x v="6"/>
    <x v="3"/>
    <x v="31"/>
  </r>
  <r>
    <n v="10546"/>
    <x v="29"/>
    <n v="49.3"/>
    <n v="40"/>
    <n v="0"/>
    <x v="3"/>
    <x v="231"/>
    <n v="1972"/>
    <x v="5"/>
    <x v="3"/>
    <x v="29"/>
  </r>
  <r>
    <n v="10547"/>
    <x v="26"/>
    <n v="32"/>
    <n v="24"/>
    <n v="0.15000000596046448"/>
    <x v="56"/>
    <x v="231"/>
    <n v="652.79999542236328"/>
    <x v="0"/>
    <x v="3"/>
    <x v="26"/>
  </r>
  <r>
    <n v="10547"/>
    <x v="20"/>
    <n v="19"/>
    <n v="60"/>
    <n v="0"/>
    <x v="56"/>
    <x v="231"/>
    <n v="1140"/>
    <x v="3"/>
    <x v="3"/>
    <x v="20"/>
  </r>
  <r>
    <n v="10548"/>
    <x v="53"/>
    <n v="14"/>
    <n v="10"/>
    <n v="0.25"/>
    <x v="1"/>
    <x v="232"/>
    <n v="105"/>
    <x v="6"/>
    <x v="3"/>
    <x v="53"/>
  </r>
  <r>
    <n v="10548"/>
    <x v="5"/>
    <n v="9.65"/>
    <n v="14"/>
    <n v="0"/>
    <x v="1"/>
    <x v="232"/>
    <n v="135.1"/>
    <x v="3"/>
    <x v="3"/>
    <x v="5"/>
  </r>
  <r>
    <n v="10549"/>
    <x v="12"/>
    <n v="12.5"/>
    <n v="55"/>
    <n v="0.15000000596046448"/>
    <x v="21"/>
    <x v="233"/>
    <n v="584.37499590218067"/>
    <x v="0"/>
    <x v="3"/>
    <x v="12"/>
  </r>
  <r>
    <n v="10549"/>
    <x v="73"/>
    <n v="9.5"/>
    <n v="100"/>
    <n v="0.15000000596046448"/>
    <x v="21"/>
    <x v="233"/>
    <n v="807.49999433755875"/>
    <x v="3"/>
    <x v="3"/>
    <x v="73"/>
  </r>
  <r>
    <n v="10549"/>
    <x v="4"/>
    <n v="53"/>
    <n v="48"/>
    <n v="0.15000000596046448"/>
    <x v="21"/>
    <x v="233"/>
    <n v="2162.3999848365784"/>
    <x v="2"/>
    <x v="3"/>
    <x v="4"/>
  </r>
  <r>
    <n v="10550"/>
    <x v="35"/>
    <n v="39"/>
    <n v="8"/>
    <n v="0.10000000149011612"/>
    <x v="36"/>
    <x v="234"/>
    <n v="280.79999953508377"/>
    <x v="7"/>
    <x v="3"/>
    <x v="35"/>
  </r>
  <r>
    <n v="10550"/>
    <x v="49"/>
    <n v="9.1999999999999993"/>
    <n v="10"/>
    <n v="0"/>
    <x v="36"/>
    <x v="234"/>
    <n v="92"/>
    <x v="5"/>
    <x v="3"/>
    <x v="49"/>
  </r>
  <r>
    <n v="10550"/>
    <x v="27"/>
    <n v="10"/>
    <n v="6"/>
    <n v="0.10000000149011612"/>
    <x v="36"/>
    <x v="234"/>
    <n v="53.999999910593033"/>
    <x v="5"/>
    <x v="3"/>
    <x v="27"/>
  </r>
  <r>
    <n v="10550"/>
    <x v="75"/>
    <n v="28.5"/>
    <n v="10"/>
    <n v="0.10000000149011612"/>
    <x v="36"/>
    <x v="234"/>
    <n v="256.49999957531691"/>
    <x v="4"/>
    <x v="3"/>
    <x v="75"/>
  </r>
  <r>
    <n v="10551"/>
    <x v="19"/>
    <n v="17.45"/>
    <n v="40"/>
    <n v="0.15000000596046448"/>
    <x v="47"/>
    <x v="234"/>
    <n v="593.29999583959579"/>
    <x v="5"/>
    <x v="3"/>
    <x v="19"/>
  </r>
  <r>
    <n v="10551"/>
    <x v="31"/>
    <n v="18"/>
    <n v="20"/>
    <n v="0.15000000596046448"/>
    <x v="47"/>
    <x v="234"/>
    <n v="305.99999785423279"/>
    <x v="6"/>
    <x v="3"/>
    <x v="31"/>
  </r>
  <r>
    <n v="10551"/>
    <x v="45"/>
    <n v="19.45"/>
    <n v="40"/>
    <n v="0"/>
    <x v="47"/>
    <x v="234"/>
    <n v="778"/>
    <x v="4"/>
    <x v="3"/>
    <x v="45"/>
  </r>
  <r>
    <n v="10552"/>
    <x v="60"/>
    <n v="36"/>
    <n v="18"/>
    <n v="0"/>
    <x v="8"/>
    <x v="235"/>
    <n v="648"/>
    <x v="0"/>
    <x v="3"/>
    <x v="60"/>
  </r>
  <r>
    <n v="10552"/>
    <x v="48"/>
    <n v="7.75"/>
    <n v="30"/>
    <n v="0"/>
    <x v="8"/>
    <x v="235"/>
    <n v="232.5"/>
    <x v="6"/>
    <x v="3"/>
    <x v="48"/>
  </r>
  <r>
    <n v="10553"/>
    <x v="0"/>
    <n v="21"/>
    <n v="15"/>
    <n v="0"/>
    <x v="16"/>
    <x v="236"/>
    <n v="315"/>
    <x v="0"/>
    <x v="3"/>
    <x v="0"/>
  </r>
  <r>
    <n v="10553"/>
    <x v="19"/>
    <n v="17.45"/>
    <n v="14"/>
    <n v="0"/>
    <x v="16"/>
    <x v="236"/>
    <n v="244.29999999999998"/>
    <x v="5"/>
    <x v="3"/>
    <x v="19"/>
  </r>
  <r>
    <n v="10553"/>
    <x v="7"/>
    <n v="21"/>
    <n v="24"/>
    <n v="0"/>
    <x v="16"/>
    <x v="236"/>
    <n v="504"/>
    <x v="1"/>
    <x v="3"/>
    <x v="7"/>
  </r>
  <r>
    <n v="10553"/>
    <x v="12"/>
    <n v="12.5"/>
    <n v="30"/>
    <n v="0"/>
    <x v="16"/>
    <x v="236"/>
    <n v="375"/>
    <x v="0"/>
    <x v="3"/>
    <x v="12"/>
  </r>
  <r>
    <n v="10553"/>
    <x v="31"/>
    <n v="18"/>
    <n v="6"/>
    <n v="0"/>
    <x v="16"/>
    <x v="236"/>
    <n v="108"/>
    <x v="6"/>
    <x v="3"/>
    <x v="31"/>
  </r>
  <r>
    <n v="10554"/>
    <x v="19"/>
    <n v="17.45"/>
    <n v="30"/>
    <n v="5.000000074505806E-2"/>
    <x v="11"/>
    <x v="236"/>
    <n v="497.32499960996211"/>
    <x v="5"/>
    <x v="3"/>
    <x v="19"/>
  </r>
  <r>
    <n v="10554"/>
    <x v="70"/>
    <n v="9"/>
    <n v="20"/>
    <n v="5.000000074505806E-2"/>
    <x v="11"/>
    <x v="236"/>
    <n v="170.99999986588955"/>
    <x v="1"/>
    <x v="3"/>
    <x v="70"/>
  </r>
  <r>
    <n v="10554"/>
    <x v="29"/>
    <n v="49.3"/>
    <n v="20"/>
    <n v="5.000000074505806E-2"/>
    <x v="11"/>
    <x v="236"/>
    <n v="936.69999926537275"/>
    <x v="5"/>
    <x v="3"/>
    <x v="29"/>
  </r>
  <r>
    <n v="10554"/>
    <x v="23"/>
    <n v="13"/>
    <n v="10"/>
    <n v="5.000000074505806E-2"/>
    <x v="11"/>
    <x v="236"/>
    <n v="123.49999990314245"/>
    <x v="4"/>
    <x v="3"/>
    <x v="23"/>
  </r>
  <r>
    <n v="10555"/>
    <x v="3"/>
    <n v="23.25"/>
    <n v="30"/>
    <n v="0.20000000298023224"/>
    <x v="45"/>
    <x v="237"/>
    <n v="557.99999792128801"/>
    <x v="2"/>
    <x v="3"/>
    <x v="3"/>
  </r>
  <r>
    <n v="10555"/>
    <x v="49"/>
    <n v="9.1999999999999993"/>
    <n v="35"/>
    <n v="0.20000000298023224"/>
    <x v="45"/>
    <x v="237"/>
    <n v="257.59999904036522"/>
    <x v="5"/>
    <x v="3"/>
    <x v="49"/>
  </r>
  <r>
    <n v="10555"/>
    <x v="15"/>
    <n v="4.5"/>
    <n v="18"/>
    <n v="0.20000000298023224"/>
    <x v="45"/>
    <x v="237"/>
    <n v="64.799999758601189"/>
    <x v="6"/>
    <x v="3"/>
    <x v="15"/>
  </r>
  <r>
    <n v="10555"/>
    <x v="4"/>
    <n v="53"/>
    <n v="20"/>
    <n v="0.20000000298023224"/>
    <x v="45"/>
    <x v="237"/>
    <n v="847.99999684095383"/>
    <x v="2"/>
    <x v="3"/>
    <x v="4"/>
  </r>
  <r>
    <n v="10555"/>
    <x v="33"/>
    <n v="38"/>
    <n v="40"/>
    <n v="0.20000000298023224"/>
    <x v="45"/>
    <x v="237"/>
    <n v="1215.999995470047"/>
    <x v="1"/>
    <x v="3"/>
    <x v="33"/>
  </r>
  <r>
    <n v="10556"/>
    <x v="2"/>
    <n v="34.799999999999997"/>
    <n v="24"/>
    <n v="0"/>
    <x v="51"/>
    <x v="238"/>
    <n v="835.19999999999993"/>
    <x v="0"/>
    <x v="3"/>
    <x v="2"/>
  </r>
  <r>
    <n v="10557"/>
    <x v="58"/>
    <n v="33.25"/>
    <n v="30"/>
    <n v="0"/>
    <x v="26"/>
    <x v="238"/>
    <n v="997.5"/>
    <x v="1"/>
    <x v="3"/>
    <x v="58"/>
  </r>
  <r>
    <n v="10557"/>
    <x v="48"/>
    <n v="7.75"/>
    <n v="20"/>
    <n v="0"/>
    <x v="26"/>
    <x v="238"/>
    <n v="155"/>
    <x v="6"/>
    <x v="3"/>
    <x v="48"/>
  </r>
  <r>
    <n v="10558"/>
    <x v="69"/>
    <n v="9.5"/>
    <n v="25"/>
    <n v="0"/>
    <x v="55"/>
    <x v="239"/>
    <n v="237.5"/>
    <x v="5"/>
    <x v="3"/>
    <x v="69"/>
  </r>
  <r>
    <n v="10558"/>
    <x v="4"/>
    <n v="53"/>
    <n v="20"/>
    <n v="0"/>
    <x v="55"/>
    <x v="239"/>
    <n v="1060"/>
    <x v="2"/>
    <x v="3"/>
    <x v="4"/>
  </r>
  <r>
    <n v="10558"/>
    <x v="65"/>
    <n v="7"/>
    <n v="30"/>
    <n v="0"/>
    <x v="55"/>
    <x v="239"/>
    <n v="210"/>
    <x v="1"/>
    <x v="3"/>
    <x v="65"/>
  </r>
  <r>
    <n v="10558"/>
    <x v="22"/>
    <n v="32.799999999999997"/>
    <n v="18"/>
    <n v="0"/>
    <x v="55"/>
    <x v="239"/>
    <n v="590.4"/>
    <x v="7"/>
    <x v="3"/>
    <x v="22"/>
  </r>
  <r>
    <n v="10558"/>
    <x v="47"/>
    <n v="15"/>
    <n v="3"/>
    <n v="0"/>
    <x v="55"/>
    <x v="239"/>
    <n v="45"/>
    <x v="3"/>
    <x v="3"/>
    <x v="47"/>
  </r>
  <r>
    <n v="10559"/>
    <x v="5"/>
    <n v="9.65"/>
    <n v="12"/>
    <n v="5.000000074505806E-2"/>
    <x v="15"/>
    <x v="240"/>
    <n v="110.00999991372228"/>
    <x v="3"/>
    <x v="3"/>
    <x v="5"/>
  </r>
  <r>
    <n v="10559"/>
    <x v="16"/>
    <n v="24"/>
    <n v="18"/>
    <n v="5.000000074505806E-2"/>
    <x v="15"/>
    <x v="240"/>
    <n v="410.39999967813492"/>
    <x v="7"/>
    <x v="3"/>
    <x v="16"/>
  </r>
  <r>
    <n v="10560"/>
    <x v="34"/>
    <n v="25.89"/>
    <n v="20"/>
    <n v="0"/>
    <x v="17"/>
    <x v="241"/>
    <n v="517.79999999999995"/>
    <x v="3"/>
    <x v="3"/>
    <x v="34"/>
  </r>
  <r>
    <n v="10560"/>
    <x v="29"/>
    <n v="49.3"/>
    <n v="15"/>
    <n v="0.25"/>
    <x v="17"/>
    <x v="241"/>
    <n v="554.625"/>
    <x v="5"/>
    <x v="3"/>
    <x v="29"/>
  </r>
  <r>
    <n v="10561"/>
    <x v="45"/>
    <n v="19.45"/>
    <n v="10"/>
    <n v="0"/>
    <x v="14"/>
    <x v="241"/>
    <n v="194.5"/>
    <x v="4"/>
    <x v="3"/>
    <x v="45"/>
  </r>
  <r>
    <n v="10561"/>
    <x v="4"/>
    <n v="53"/>
    <n v="50"/>
    <n v="0"/>
    <x v="14"/>
    <x v="241"/>
    <n v="2650"/>
    <x v="2"/>
    <x v="3"/>
    <x v="4"/>
  </r>
  <r>
    <n v="10562"/>
    <x v="10"/>
    <n v="2.5"/>
    <n v="20"/>
    <n v="0.10000000149011612"/>
    <x v="30"/>
    <x v="242"/>
    <n v="44.999999925494194"/>
    <x v="0"/>
    <x v="3"/>
    <x v="10"/>
  </r>
  <r>
    <n v="10562"/>
    <x v="29"/>
    <n v="49.3"/>
    <n v="10"/>
    <n v="0.10000000149011612"/>
    <x v="30"/>
    <x v="242"/>
    <n v="443.69999926537275"/>
    <x v="5"/>
    <x v="3"/>
    <x v="29"/>
  </r>
  <r>
    <n v="10563"/>
    <x v="20"/>
    <n v="19"/>
    <n v="25"/>
    <n v="0"/>
    <x v="29"/>
    <x v="243"/>
    <n v="475"/>
    <x v="3"/>
    <x v="3"/>
    <x v="20"/>
  </r>
  <r>
    <n v="10563"/>
    <x v="65"/>
    <n v="7"/>
    <n v="70"/>
    <n v="0"/>
    <x v="29"/>
    <x v="243"/>
    <n v="490"/>
    <x v="1"/>
    <x v="3"/>
    <x v="65"/>
  </r>
  <r>
    <n v="10564"/>
    <x v="35"/>
    <n v="39"/>
    <n v="16"/>
    <n v="5.000000074505806E-2"/>
    <x v="13"/>
    <x v="243"/>
    <n v="592.79999953508377"/>
    <x v="7"/>
    <x v="3"/>
    <x v="35"/>
  </r>
  <r>
    <n v="10564"/>
    <x v="12"/>
    <n v="12.5"/>
    <n v="6"/>
    <n v="5.000000074505806E-2"/>
    <x v="13"/>
    <x v="243"/>
    <n v="71.249999944120646"/>
    <x v="0"/>
    <x v="3"/>
    <x v="12"/>
  </r>
  <r>
    <n v="10564"/>
    <x v="16"/>
    <n v="24"/>
    <n v="25"/>
    <n v="5.000000074505806E-2"/>
    <x v="13"/>
    <x v="243"/>
    <n v="569.99999955296516"/>
    <x v="7"/>
    <x v="3"/>
    <x v="16"/>
  </r>
  <r>
    <n v="10565"/>
    <x v="15"/>
    <n v="4.5"/>
    <n v="25"/>
    <n v="0.10000000149011612"/>
    <x v="49"/>
    <x v="244"/>
    <n v="101.24999983236194"/>
    <x v="6"/>
    <x v="3"/>
    <x v="15"/>
  </r>
  <r>
    <n v="10565"/>
    <x v="58"/>
    <n v="33.25"/>
    <n v="18"/>
    <n v="0.10000000149011612"/>
    <x v="49"/>
    <x v="244"/>
    <n v="538.6499991081655"/>
    <x v="1"/>
    <x v="3"/>
    <x v="58"/>
  </r>
  <r>
    <n v="10566"/>
    <x v="0"/>
    <n v="21"/>
    <n v="35"/>
    <n v="0.15000000596046448"/>
    <x v="15"/>
    <x v="245"/>
    <n v="624.74999561905861"/>
    <x v="0"/>
    <x v="3"/>
    <x v="0"/>
  </r>
  <r>
    <n v="10566"/>
    <x v="59"/>
    <n v="62.5"/>
    <n v="18"/>
    <n v="0.15000000596046448"/>
    <x v="15"/>
    <x v="245"/>
    <n v="956.24999329447746"/>
    <x v="3"/>
    <x v="3"/>
    <x v="59"/>
  </r>
  <r>
    <n v="10566"/>
    <x v="38"/>
    <n v="18"/>
    <n v="10"/>
    <n v="0"/>
    <x v="15"/>
    <x v="245"/>
    <n v="180"/>
    <x v="6"/>
    <x v="3"/>
    <x v="38"/>
  </r>
  <r>
    <n v="10567"/>
    <x v="12"/>
    <n v="12.5"/>
    <n v="60"/>
    <n v="0.20000000298023224"/>
    <x v="34"/>
    <x v="245"/>
    <n v="599.99999776482582"/>
    <x v="0"/>
    <x v="3"/>
    <x v="12"/>
  </r>
  <r>
    <n v="10567"/>
    <x v="4"/>
    <n v="53"/>
    <n v="3"/>
    <n v="0"/>
    <x v="34"/>
    <x v="245"/>
    <n v="159"/>
    <x v="2"/>
    <x v="3"/>
    <x v="4"/>
  </r>
  <r>
    <n v="10567"/>
    <x v="21"/>
    <n v="55"/>
    <n v="40"/>
    <n v="0.20000000298023224"/>
    <x v="34"/>
    <x v="245"/>
    <n v="1759.9999934434891"/>
    <x v="0"/>
    <x v="3"/>
    <x v="21"/>
  </r>
  <r>
    <n v="10568"/>
    <x v="41"/>
    <n v="31"/>
    <n v="5"/>
    <n v="0"/>
    <x v="60"/>
    <x v="246"/>
    <n v="155"/>
    <x v="3"/>
    <x v="3"/>
    <x v="41"/>
  </r>
  <r>
    <n v="10569"/>
    <x v="12"/>
    <n v="12.5"/>
    <n v="35"/>
    <n v="0.20000000298023224"/>
    <x v="13"/>
    <x v="247"/>
    <n v="349.9999986961484"/>
    <x v="0"/>
    <x v="3"/>
    <x v="12"/>
  </r>
  <r>
    <n v="10569"/>
    <x v="38"/>
    <n v="18"/>
    <n v="30"/>
    <n v="0"/>
    <x v="13"/>
    <x v="247"/>
    <n v="540"/>
    <x v="6"/>
    <x v="3"/>
    <x v="38"/>
  </r>
  <r>
    <n v="10570"/>
    <x v="0"/>
    <n v="21"/>
    <n v="15"/>
    <n v="5.000000074505806E-2"/>
    <x v="49"/>
    <x v="248"/>
    <n v="299.24999976530671"/>
    <x v="0"/>
    <x v="3"/>
    <x v="0"/>
  </r>
  <r>
    <n v="10570"/>
    <x v="33"/>
    <n v="38"/>
    <n v="60"/>
    <n v="5.000000074505806E-2"/>
    <x v="49"/>
    <x v="248"/>
    <n v="2165.9999983012676"/>
    <x v="1"/>
    <x v="3"/>
    <x v="33"/>
  </r>
  <r>
    <n v="10571"/>
    <x v="3"/>
    <n v="23.25"/>
    <n v="11"/>
    <n v="0.15000000596046448"/>
    <x v="9"/>
    <x v="248"/>
    <n v="217.38749847561121"/>
    <x v="2"/>
    <x v="3"/>
    <x v="3"/>
  </r>
  <r>
    <n v="10571"/>
    <x v="1"/>
    <n v="14"/>
    <n v="28"/>
    <n v="0.15000000596046448"/>
    <x v="9"/>
    <x v="248"/>
    <n v="333.19999766349792"/>
    <x v="1"/>
    <x v="3"/>
    <x v="1"/>
  </r>
  <r>
    <n v="10572"/>
    <x v="19"/>
    <n v="17.45"/>
    <n v="12"/>
    <n v="0.10000000149011612"/>
    <x v="25"/>
    <x v="249"/>
    <n v="188.45999968796966"/>
    <x v="5"/>
    <x v="3"/>
    <x v="19"/>
  </r>
  <r>
    <n v="10572"/>
    <x v="26"/>
    <n v="32"/>
    <n v="10"/>
    <n v="0.10000000149011612"/>
    <x v="25"/>
    <x v="249"/>
    <n v="287.99999952316284"/>
    <x v="0"/>
    <x v="3"/>
    <x v="26"/>
  </r>
  <r>
    <n v="10572"/>
    <x v="37"/>
    <n v="18.399999999999999"/>
    <n v="50"/>
    <n v="0"/>
    <x v="25"/>
    <x v="249"/>
    <n v="919.99999999999989"/>
    <x v="3"/>
    <x v="3"/>
    <x v="37"/>
  </r>
  <r>
    <n v="10572"/>
    <x v="48"/>
    <n v="7.75"/>
    <n v="15"/>
    <n v="0.10000000149011612"/>
    <x v="25"/>
    <x v="249"/>
    <n v="104.624999826774"/>
    <x v="6"/>
    <x v="3"/>
    <x v="48"/>
  </r>
  <r>
    <n v="10573"/>
    <x v="35"/>
    <n v="39"/>
    <n v="18"/>
    <n v="0"/>
    <x v="59"/>
    <x v="250"/>
    <n v="702"/>
    <x v="7"/>
    <x v="3"/>
    <x v="35"/>
  </r>
  <r>
    <n v="10573"/>
    <x v="53"/>
    <n v="14"/>
    <n v="40"/>
    <n v="0"/>
    <x v="59"/>
    <x v="250"/>
    <n v="560"/>
    <x v="6"/>
    <x v="3"/>
    <x v="53"/>
  </r>
  <r>
    <n v="10573"/>
    <x v="22"/>
    <n v="32.799999999999997"/>
    <n v="25"/>
    <n v="0"/>
    <x v="59"/>
    <x v="250"/>
    <n v="819.99999999999989"/>
    <x v="7"/>
    <x v="3"/>
    <x v="22"/>
  </r>
  <r>
    <n v="10574"/>
    <x v="10"/>
    <n v="2.5"/>
    <n v="14"/>
    <n v="0"/>
    <x v="81"/>
    <x v="250"/>
    <n v="35"/>
    <x v="0"/>
    <x v="3"/>
    <x v="10"/>
  </r>
  <r>
    <n v="10574"/>
    <x v="37"/>
    <n v="18.399999999999999"/>
    <n v="2"/>
    <n v="0"/>
    <x v="81"/>
    <x v="250"/>
    <n v="36.799999999999997"/>
    <x v="3"/>
    <x v="3"/>
    <x v="37"/>
  </r>
  <r>
    <n v="10574"/>
    <x v="29"/>
    <n v="49.3"/>
    <n v="10"/>
    <n v="0"/>
    <x v="81"/>
    <x v="250"/>
    <n v="493"/>
    <x v="5"/>
    <x v="3"/>
    <x v="29"/>
  </r>
  <r>
    <n v="10574"/>
    <x v="58"/>
    <n v="33.25"/>
    <n v="6"/>
    <n v="0"/>
    <x v="81"/>
    <x v="250"/>
    <n v="199.5"/>
    <x v="1"/>
    <x v="3"/>
    <x v="58"/>
  </r>
  <r>
    <n v="10575"/>
    <x v="21"/>
    <n v="55"/>
    <n v="12"/>
    <n v="0"/>
    <x v="24"/>
    <x v="251"/>
    <n v="660"/>
    <x v="0"/>
    <x v="3"/>
    <x v="21"/>
  </r>
  <r>
    <n v="10575"/>
    <x v="46"/>
    <n v="43.9"/>
    <n v="6"/>
    <n v="0"/>
    <x v="24"/>
    <x v="251"/>
    <n v="263.39999999999998"/>
    <x v="4"/>
    <x v="3"/>
    <x v="46"/>
  </r>
  <r>
    <n v="10575"/>
    <x v="2"/>
    <n v="34.799999999999997"/>
    <n v="30"/>
    <n v="0"/>
    <x v="24"/>
    <x v="251"/>
    <n v="1044"/>
    <x v="0"/>
    <x v="3"/>
    <x v="2"/>
  </r>
  <r>
    <n v="10575"/>
    <x v="38"/>
    <n v="18"/>
    <n v="10"/>
    <n v="0"/>
    <x v="24"/>
    <x v="251"/>
    <n v="180"/>
    <x v="6"/>
    <x v="3"/>
    <x v="38"/>
  </r>
  <r>
    <n v="10576"/>
    <x v="52"/>
    <n v="18"/>
    <n v="10"/>
    <n v="0"/>
    <x v="23"/>
    <x v="252"/>
    <n v="180"/>
    <x v="6"/>
    <x v="3"/>
    <x v="52"/>
  </r>
  <r>
    <n v="10576"/>
    <x v="12"/>
    <n v="12.5"/>
    <n v="20"/>
    <n v="0"/>
    <x v="23"/>
    <x v="252"/>
    <n v="250"/>
    <x v="0"/>
    <x v="3"/>
    <x v="12"/>
  </r>
  <r>
    <n v="10576"/>
    <x v="45"/>
    <n v="19.45"/>
    <n v="21"/>
    <n v="0"/>
    <x v="23"/>
    <x v="252"/>
    <n v="408.45"/>
    <x v="4"/>
    <x v="3"/>
    <x v="45"/>
  </r>
  <r>
    <n v="10577"/>
    <x v="13"/>
    <n v="18"/>
    <n v="10"/>
    <n v="0"/>
    <x v="81"/>
    <x v="252"/>
    <n v="180"/>
    <x v="6"/>
    <x v="3"/>
    <x v="13"/>
  </r>
  <r>
    <n v="10577"/>
    <x v="48"/>
    <n v="7.75"/>
    <n v="20"/>
    <n v="0"/>
    <x v="81"/>
    <x v="252"/>
    <n v="155"/>
    <x v="6"/>
    <x v="3"/>
    <x v="48"/>
  </r>
  <r>
    <n v="10577"/>
    <x v="23"/>
    <n v="13"/>
    <n v="18"/>
    <n v="0"/>
    <x v="81"/>
    <x v="252"/>
    <n v="234"/>
    <x v="4"/>
    <x v="3"/>
    <x v="23"/>
  </r>
  <r>
    <n v="10578"/>
    <x v="31"/>
    <n v="18"/>
    <n v="20"/>
    <n v="0"/>
    <x v="31"/>
    <x v="253"/>
    <n v="360"/>
    <x v="6"/>
    <x v="3"/>
    <x v="31"/>
  </r>
  <r>
    <n v="10578"/>
    <x v="8"/>
    <n v="19.5"/>
    <n v="6"/>
    <n v="0"/>
    <x v="31"/>
    <x v="253"/>
    <n v="117"/>
    <x v="1"/>
    <x v="3"/>
    <x v="8"/>
  </r>
  <r>
    <n v="10579"/>
    <x v="50"/>
    <n v="15.5"/>
    <n v="10"/>
    <n v="0"/>
    <x v="82"/>
    <x v="254"/>
    <n v="155"/>
    <x v="4"/>
    <x v="3"/>
    <x v="50"/>
  </r>
  <r>
    <n v="10579"/>
    <x v="48"/>
    <n v="7.75"/>
    <n v="21"/>
    <n v="0"/>
    <x v="82"/>
    <x v="254"/>
    <n v="162.75"/>
    <x v="6"/>
    <x v="3"/>
    <x v="48"/>
  </r>
  <r>
    <n v="10580"/>
    <x v="3"/>
    <n v="23.25"/>
    <n v="15"/>
    <n v="5.000000074505806E-2"/>
    <x v="11"/>
    <x v="255"/>
    <n v="331.312499740161"/>
    <x v="2"/>
    <x v="3"/>
    <x v="3"/>
  </r>
  <r>
    <n v="10580"/>
    <x v="5"/>
    <n v="9.65"/>
    <n v="9"/>
    <n v="5.000000074505806E-2"/>
    <x v="11"/>
    <x v="255"/>
    <n v="82.507499935291719"/>
    <x v="3"/>
    <x v="3"/>
    <x v="5"/>
  </r>
  <r>
    <n v="10580"/>
    <x v="6"/>
    <n v="21.05"/>
    <n v="30"/>
    <n v="5.000000074505806E-2"/>
    <x v="11"/>
    <x v="255"/>
    <n v="599.92499952949584"/>
    <x v="4"/>
    <x v="3"/>
    <x v="6"/>
  </r>
  <r>
    <n v="10581"/>
    <x v="48"/>
    <n v="7.75"/>
    <n v="50"/>
    <n v="0.20000000298023224"/>
    <x v="52"/>
    <x v="255"/>
    <n v="309.99999884516001"/>
    <x v="6"/>
    <x v="3"/>
    <x v="48"/>
  </r>
  <r>
    <n v="10582"/>
    <x v="8"/>
    <n v="19.5"/>
    <n v="4"/>
    <n v="0"/>
    <x v="76"/>
    <x v="256"/>
    <n v="78"/>
    <x v="1"/>
    <x v="3"/>
    <x v="8"/>
  </r>
  <r>
    <n v="10582"/>
    <x v="38"/>
    <n v="18"/>
    <n v="14"/>
    <n v="0"/>
    <x v="76"/>
    <x v="256"/>
    <n v="252"/>
    <x v="6"/>
    <x v="3"/>
    <x v="38"/>
  </r>
  <r>
    <n v="10583"/>
    <x v="39"/>
    <n v="123.79"/>
    <n v="10"/>
    <n v="0"/>
    <x v="16"/>
    <x v="257"/>
    <n v="1237.9000000000001"/>
    <x v="7"/>
    <x v="3"/>
    <x v="39"/>
  </r>
  <r>
    <n v="10583"/>
    <x v="11"/>
    <n v="34"/>
    <n v="24"/>
    <n v="0.15000000596046448"/>
    <x v="16"/>
    <x v="257"/>
    <n v="693.59999513626099"/>
    <x v="0"/>
    <x v="3"/>
    <x v="11"/>
  </r>
  <r>
    <n v="10583"/>
    <x v="60"/>
    <n v="36"/>
    <n v="10"/>
    <n v="0.15000000596046448"/>
    <x v="16"/>
    <x v="257"/>
    <n v="305.99999785423279"/>
    <x v="0"/>
    <x v="3"/>
    <x v="60"/>
  </r>
  <r>
    <n v="10584"/>
    <x v="12"/>
    <n v="12.5"/>
    <n v="50"/>
    <n v="5.000000074505806E-2"/>
    <x v="15"/>
    <x v="257"/>
    <n v="593.74999953433871"/>
    <x v="0"/>
    <x v="3"/>
    <x v="12"/>
  </r>
  <r>
    <n v="10585"/>
    <x v="69"/>
    <n v="9.5"/>
    <n v="15"/>
    <n v="0"/>
    <x v="7"/>
    <x v="258"/>
    <n v="142.5"/>
    <x v="5"/>
    <x v="0"/>
    <x v="69"/>
  </r>
  <r>
    <n v="10586"/>
    <x v="65"/>
    <n v="7"/>
    <n v="4"/>
    <n v="0.15000000596046448"/>
    <x v="30"/>
    <x v="259"/>
    <n v="23.799999833106995"/>
    <x v="1"/>
    <x v="0"/>
    <x v="65"/>
  </r>
  <r>
    <n v="10587"/>
    <x v="68"/>
    <n v="31.23"/>
    <n v="6"/>
    <n v="0"/>
    <x v="12"/>
    <x v="259"/>
    <n v="187.38"/>
    <x v="5"/>
    <x v="0"/>
    <x v="68"/>
  </r>
  <r>
    <n v="10587"/>
    <x v="31"/>
    <n v="18"/>
    <n v="20"/>
    <n v="0"/>
    <x v="12"/>
    <x v="259"/>
    <n v="360"/>
    <x v="6"/>
    <x v="0"/>
    <x v="31"/>
  </r>
  <r>
    <n v="10587"/>
    <x v="23"/>
    <n v="13"/>
    <n v="20"/>
    <n v="0"/>
    <x v="12"/>
    <x v="259"/>
    <n v="260"/>
    <x v="4"/>
    <x v="0"/>
    <x v="23"/>
  </r>
  <r>
    <n v="10588"/>
    <x v="59"/>
    <n v="62.5"/>
    <n v="40"/>
    <n v="0.20000000298023224"/>
    <x v="21"/>
    <x v="260"/>
    <n v="1999.9999925494194"/>
    <x v="3"/>
    <x v="0"/>
    <x v="59"/>
  </r>
  <r>
    <n v="10588"/>
    <x v="1"/>
    <n v="14"/>
    <n v="100"/>
    <n v="0.20000000298023224"/>
    <x v="21"/>
    <x v="260"/>
    <n v="1119.9999958276749"/>
    <x v="1"/>
    <x v="0"/>
    <x v="1"/>
  </r>
  <r>
    <n v="10589"/>
    <x v="31"/>
    <n v="18"/>
    <n v="4"/>
    <n v="0"/>
    <x v="79"/>
    <x v="261"/>
    <n v="72"/>
    <x v="6"/>
    <x v="0"/>
    <x v="31"/>
  </r>
  <r>
    <n v="10590"/>
    <x v="52"/>
    <n v="18"/>
    <n v="20"/>
    <n v="0"/>
    <x v="49"/>
    <x v="262"/>
    <n v="360"/>
    <x v="6"/>
    <x v="0"/>
    <x v="52"/>
  </r>
  <r>
    <n v="10590"/>
    <x v="23"/>
    <n v="13"/>
    <n v="60"/>
    <n v="5.000000074505806E-2"/>
    <x v="49"/>
    <x v="262"/>
    <n v="740.99999941885471"/>
    <x v="4"/>
    <x v="0"/>
    <x v="23"/>
  </r>
  <r>
    <n v="10591"/>
    <x v="57"/>
    <n v="10"/>
    <n v="14"/>
    <n v="0"/>
    <x v="61"/>
    <x v="262"/>
    <n v="140"/>
    <x v="4"/>
    <x v="0"/>
    <x v="57"/>
  </r>
  <r>
    <n v="10591"/>
    <x v="32"/>
    <n v="30"/>
    <n v="10"/>
    <n v="0"/>
    <x v="61"/>
    <x v="262"/>
    <n v="300"/>
    <x v="2"/>
    <x v="0"/>
    <x v="32"/>
  </r>
  <r>
    <n v="10591"/>
    <x v="55"/>
    <n v="7.45"/>
    <n v="50"/>
    <n v="0"/>
    <x v="61"/>
    <x v="262"/>
    <n v="372.5"/>
    <x v="7"/>
    <x v="0"/>
    <x v="55"/>
  </r>
  <r>
    <n v="10592"/>
    <x v="50"/>
    <n v="15.5"/>
    <n v="25"/>
    <n v="5.000000074505806E-2"/>
    <x v="26"/>
    <x v="263"/>
    <n v="368.12499971129"/>
    <x v="4"/>
    <x v="0"/>
    <x v="50"/>
  </r>
  <r>
    <n v="10592"/>
    <x v="68"/>
    <n v="31.23"/>
    <n v="5"/>
    <n v="5.000000074505806E-2"/>
    <x v="26"/>
    <x v="263"/>
    <n v="148.3424998836592"/>
    <x v="5"/>
    <x v="0"/>
    <x v="68"/>
  </r>
  <r>
    <n v="10593"/>
    <x v="9"/>
    <n v="81"/>
    <n v="21"/>
    <n v="0.20000000298023224"/>
    <x v="26"/>
    <x v="264"/>
    <n v="1360.799994930625"/>
    <x v="5"/>
    <x v="0"/>
    <x v="9"/>
  </r>
  <r>
    <n v="10593"/>
    <x v="60"/>
    <n v="36"/>
    <n v="20"/>
    <n v="0.20000000298023224"/>
    <x v="26"/>
    <x v="264"/>
    <n v="575.99999785423279"/>
    <x v="0"/>
    <x v="0"/>
    <x v="60"/>
  </r>
  <r>
    <n v="10593"/>
    <x v="38"/>
    <n v="18"/>
    <n v="4"/>
    <n v="0.20000000298023224"/>
    <x v="26"/>
    <x v="264"/>
    <n v="57.599999785423279"/>
    <x v="6"/>
    <x v="0"/>
    <x v="38"/>
  </r>
  <r>
    <n v="10594"/>
    <x v="65"/>
    <n v="7"/>
    <n v="24"/>
    <n v="0"/>
    <x v="37"/>
    <x v="264"/>
    <n v="168"/>
    <x v="1"/>
    <x v="0"/>
    <x v="65"/>
  </r>
  <r>
    <n v="10594"/>
    <x v="64"/>
    <n v="13.25"/>
    <n v="30"/>
    <n v="0"/>
    <x v="37"/>
    <x v="264"/>
    <n v="397.5"/>
    <x v="3"/>
    <x v="0"/>
    <x v="64"/>
  </r>
  <r>
    <n v="10595"/>
    <x v="31"/>
    <n v="18"/>
    <n v="30"/>
    <n v="0.25"/>
    <x v="9"/>
    <x v="265"/>
    <n v="405"/>
    <x v="6"/>
    <x v="0"/>
    <x v="31"/>
  </r>
  <r>
    <n v="10595"/>
    <x v="75"/>
    <n v="28.5"/>
    <n v="120"/>
    <n v="0.25"/>
    <x v="9"/>
    <x v="265"/>
    <n v="2565"/>
    <x v="4"/>
    <x v="0"/>
    <x v="75"/>
  </r>
  <r>
    <n v="10595"/>
    <x v="60"/>
    <n v="36"/>
    <n v="65"/>
    <n v="0.25"/>
    <x v="9"/>
    <x v="265"/>
    <n v="1755"/>
    <x v="0"/>
    <x v="0"/>
    <x v="60"/>
  </r>
  <r>
    <n v="10596"/>
    <x v="33"/>
    <n v="38"/>
    <n v="5"/>
    <n v="0.20000000298023224"/>
    <x v="19"/>
    <x v="266"/>
    <n v="151.99999943375587"/>
    <x v="1"/>
    <x v="0"/>
    <x v="33"/>
  </r>
  <r>
    <n v="10596"/>
    <x v="46"/>
    <n v="43.9"/>
    <n v="24"/>
    <n v="0.20000000298023224"/>
    <x v="19"/>
    <x v="266"/>
    <n v="842.87999686002729"/>
    <x v="4"/>
    <x v="0"/>
    <x v="46"/>
  </r>
  <r>
    <n v="10596"/>
    <x v="48"/>
    <n v="7.75"/>
    <n v="30"/>
    <n v="0.20000000298023224"/>
    <x v="19"/>
    <x v="266"/>
    <n v="185.999999307096"/>
    <x v="6"/>
    <x v="0"/>
    <x v="48"/>
  </r>
  <r>
    <n v="10597"/>
    <x v="15"/>
    <n v="4.5"/>
    <n v="35"/>
    <n v="0.20000000298023224"/>
    <x v="54"/>
    <x v="266"/>
    <n v="125.99999953061342"/>
    <x v="6"/>
    <x v="0"/>
    <x v="15"/>
  </r>
  <r>
    <n v="10597"/>
    <x v="8"/>
    <n v="19.5"/>
    <n v="20"/>
    <n v="0"/>
    <x v="54"/>
    <x v="266"/>
    <n v="390"/>
    <x v="1"/>
    <x v="0"/>
    <x v="8"/>
  </r>
  <r>
    <n v="10597"/>
    <x v="6"/>
    <n v="21.05"/>
    <n v="12"/>
    <n v="0.20000000298023224"/>
    <x v="54"/>
    <x v="266"/>
    <n v="202.07999924719334"/>
    <x v="4"/>
    <x v="0"/>
    <x v="6"/>
  </r>
  <r>
    <n v="10598"/>
    <x v="24"/>
    <n v="43.9"/>
    <n v="50"/>
    <n v="0"/>
    <x v="13"/>
    <x v="267"/>
    <n v="2195"/>
    <x v="5"/>
    <x v="0"/>
    <x v="24"/>
  </r>
  <r>
    <n v="10598"/>
    <x v="42"/>
    <n v="21.5"/>
    <n v="9"/>
    <n v="0"/>
    <x v="13"/>
    <x v="267"/>
    <n v="193.5"/>
    <x v="0"/>
    <x v="0"/>
    <x v="42"/>
  </r>
  <r>
    <n v="10599"/>
    <x v="29"/>
    <n v="49.3"/>
    <n v="10"/>
    <n v="0"/>
    <x v="31"/>
    <x v="268"/>
    <n v="493"/>
    <x v="5"/>
    <x v="0"/>
    <x v="29"/>
  </r>
  <r>
    <n v="10600"/>
    <x v="55"/>
    <n v="7.45"/>
    <n v="4"/>
    <n v="0"/>
    <x v="64"/>
    <x v="269"/>
    <n v="29.8"/>
    <x v="7"/>
    <x v="0"/>
    <x v="55"/>
  </r>
  <r>
    <n v="10600"/>
    <x v="47"/>
    <n v="15"/>
    <n v="30"/>
    <n v="0"/>
    <x v="64"/>
    <x v="269"/>
    <n v="450"/>
    <x v="3"/>
    <x v="0"/>
    <x v="47"/>
  </r>
  <r>
    <n v="10601"/>
    <x v="43"/>
    <n v="6"/>
    <n v="60"/>
    <n v="0"/>
    <x v="8"/>
    <x v="269"/>
    <n v="360"/>
    <x v="3"/>
    <x v="0"/>
    <x v="43"/>
  </r>
  <r>
    <n v="10601"/>
    <x v="21"/>
    <n v="55"/>
    <n v="35"/>
    <n v="0"/>
    <x v="8"/>
    <x v="269"/>
    <n v="1925"/>
    <x v="0"/>
    <x v="0"/>
    <x v="21"/>
  </r>
  <r>
    <n v="10602"/>
    <x v="23"/>
    <n v="13"/>
    <n v="5"/>
    <n v="0.25"/>
    <x v="61"/>
    <x v="270"/>
    <n v="48.75"/>
    <x v="4"/>
    <x v="0"/>
    <x v="23"/>
  </r>
  <r>
    <n v="10603"/>
    <x v="7"/>
    <n v="21"/>
    <n v="48"/>
    <n v="0"/>
    <x v="45"/>
    <x v="271"/>
    <n v="1008"/>
    <x v="1"/>
    <x v="0"/>
    <x v="7"/>
  </r>
  <r>
    <n v="10603"/>
    <x v="14"/>
    <n v="20"/>
    <n v="25"/>
    <n v="5.000000074505806E-2"/>
    <x v="45"/>
    <x v="271"/>
    <n v="474.99999962747097"/>
    <x v="5"/>
    <x v="0"/>
    <x v="14"/>
  </r>
  <r>
    <n v="10604"/>
    <x v="74"/>
    <n v="12.75"/>
    <n v="6"/>
    <n v="0.10000000149011612"/>
    <x v="47"/>
    <x v="271"/>
    <n v="68.849999886006117"/>
    <x v="5"/>
    <x v="0"/>
    <x v="74"/>
  </r>
  <r>
    <n v="10604"/>
    <x v="38"/>
    <n v="18"/>
    <n v="10"/>
    <n v="0.10000000149011612"/>
    <x v="47"/>
    <x v="271"/>
    <n v="161.9999997317791"/>
    <x v="6"/>
    <x v="0"/>
    <x v="38"/>
  </r>
  <r>
    <n v="10605"/>
    <x v="19"/>
    <n v="17.45"/>
    <n v="30"/>
    <n v="5.000000074505806E-2"/>
    <x v="49"/>
    <x v="272"/>
    <n v="497.32499960996211"/>
    <x v="5"/>
    <x v="0"/>
    <x v="19"/>
  </r>
  <r>
    <n v="10605"/>
    <x v="21"/>
    <n v="55"/>
    <n v="20"/>
    <n v="5.000000074505806E-2"/>
    <x v="49"/>
    <x v="272"/>
    <n v="1044.9999991804361"/>
    <x v="0"/>
    <x v="0"/>
    <x v="21"/>
  </r>
  <r>
    <n v="10605"/>
    <x v="11"/>
    <n v="34"/>
    <n v="70"/>
    <n v="5.000000074505806E-2"/>
    <x v="49"/>
    <x v="272"/>
    <n v="2260.9999982267618"/>
    <x v="0"/>
    <x v="0"/>
    <x v="11"/>
  </r>
  <r>
    <n v="10605"/>
    <x v="42"/>
    <n v="21.5"/>
    <n v="15"/>
    <n v="5.000000074505806E-2"/>
    <x v="49"/>
    <x v="272"/>
    <n v="306.37499975971878"/>
    <x v="0"/>
    <x v="0"/>
    <x v="42"/>
  </r>
  <r>
    <n v="10606"/>
    <x v="62"/>
    <n v="22"/>
    <n v="20"/>
    <n v="0.20000000298023224"/>
    <x v="33"/>
    <x v="273"/>
    <n v="351.99999868869781"/>
    <x v="4"/>
    <x v="0"/>
    <x v="62"/>
  </r>
  <r>
    <n v="10606"/>
    <x v="16"/>
    <n v="24"/>
    <n v="20"/>
    <n v="0.20000000298023224"/>
    <x v="33"/>
    <x v="273"/>
    <n v="383.99999856948853"/>
    <x v="7"/>
    <x v="0"/>
    <x v="16"/>
  </r>
  <r>
    <n v="10606"/>
    <x v="29"/>
    <n v="49.3"/>
    <n v="10"/>
    <n v="0.20000000298023224"/>
    <x v="33"/>
    <x v="273"/>
    <n v="394.39999853074551"/>
    <x v="5"/>
    <x v="0"/>
    <x v="29"/>
  </r>
  <r>
    <n v="10607"/>
    <x v="32"/>
    <n v="30"/>
    <n v="45"/>
    <n v="0"/>
    <x v="45"/>
    <x v="273"/>
    <n v="1350"/>
    <x v="2"/>
    <x v="0"/>
    <x v="32"/>
  </r>
  <r>
    <n v="10607"/>
    <x v="35"/>
    <n v="39"/>
    <n v="100"/>
    <n v="0"/>
    <x v="45"/>
    <x v="273"/>
    <n v="3900"/>
    <x v="7"/>
    <x v="0"/>
    <x v="35"/>
  </r>
  <r>
    <n v="10607"/>
    <x v="10"/>
    <n v="2.5"/>
    <n v="14"/>
    <n v="0"/>
    <x v="45"/>
    <x v="273"/>
    <n v="35"/>
    <x v="0"/>
    <x v="0"/>
    <x v="10"/>
  </r>
  <r>
    <n v="10607"/>
    <x v="37"/>
    <n v="18.399999999999999"/>
    <n v="42"/>
    <n v="0"/>
    <x v="45"/>
    <x v="273"/>
    <n v="772.8"/>
    <x v="3"/>
    <x v="0"/>
    <x v="37"/>
  </r>
  <r>
    <n v="10607"/>
    <x v="2"/>
    <n v="34.799999999999997"/>
    <n v="12"/>
    <n v="0"/>
    <x v="45"/>
    <x v="273"/>
    <n v="417.59999999999997"/>
    <x v="0"/>
    <x v="0"/>
    <x v="2"/>
  </r>
  <r>
    <n v="10608"/>
    <x v="33"/>
    <n v="38"/>
    <n v="28"/>
    <n v="0"/>
    <x v="1"/>
    <x v="274"/>
    <n v="1064"/>
    <x v="1"/>
    <x v="0"/>
    <x v="33"/>
  </r>
  <r>
    <n v="10609"/>
    <x v="52"/>
    <n v="18"/>
    <n v="3"/>
    <n v="0"/>
    <x v="41"/>
    <x v="275"/>
    <n v="54"/>
    <x v="6"/>
    <x v="0"/>
    <x v="52"/>
  </r>
  <r>
    <n v="10609"/>
    <x v="41"/>
    <n v="31"/>
    <n v="10"/>
    <n v="0"/>
    <x v="41"/>
    <x v="275"/>
    <n v="310"/>
    <x v="3"/>
    <x v="0"/>
    <x v="41"/>
  </r>
  <r>
    <n v="10609"/>
    <x v="27"/>
    <n v="10"/>
    <n v="6"/>
    <n v="0"/>
    <x v="41"/>
    <x v="275"/>
    <n v="60"/>
    <x v="5"/>
    <x v="0"/>
    <x v="27"/>
  </r>
  <r>
    <n v="10610"/>
    <x v="20"/>
    <n v="19"/>
    <n v="21"/>
    <n v="0.25"/>
    <x v="53"/>
    <x v="276"/>
    <n v="299.25"/>
    <x v="3"/>
    <x v="0"/>
    <x v="20"/>
  </r>
  <r>
    <n v="10611"/>
    <x v="52"/>
    <n v="18"/>
    <n v="6"/>
    <n v="0"/>
    <x v="63"/>
    <x v="276"/>
    <n v="108"/>
    <x v="6"/>
    <x v="0"/>
    <x v="52"/>
  </r>
  <r>
    <n v="10611"/>
    <x v="18"/>
    <n v="19"/>
    <n v="10"/>
    <n v="0"/>
    <x v="63"/>
    <x v="276"/>
    <n v="190"/>
    <x v="6"/>
    <x v="0"/>
    <x v="18"/>
  </r>
  <r>
    <n v="10611"/>
    <x v="11"/>
    <n v="34"/>
    <n v="15"/>
    <n v="0"/>
    <x v="63"/>
    <x v="276"/>
    <n v="510"/>
    <x v="0"/>
    <x v="0"/>
    <x v="11"/>
  </r>
  <r>
    <n v="10612"/>
    <x v="41"/>
    <n v="31"/>
    <n v="70"/>
    <n v="0"/>
    <x v="45"/>
    <x v="277"/>
    <n v="2170"/>
    <x v="3"/>
    <x v="0"/>
    <x v="41"/>
  </r>
  <r>
    <n v="10612"/>
    <x v="20"/>
    <n v="19"/>
    <n v="55"/>
    <n v="0"/>
    <x v="45"/>
    <x v="277"/>
    <n v="1045"/>
    <x v="3"/>
    <x v="0"/>
    <x v="20"/>
  </r>
  <r>
    <n v="10612"/>
    <x v="14"/>
    <n v="20"/>
    <n v="18"/>
    <n v="0"/>
    <x v="45"/>
    <x v="277"/>
    <n v="360"/>
    <x v="5"/>
    <x v="0"/>
    <x v="14"/>
  </r>
  <r>
    <n v="10612"/>
    <x v="11"/>
    <n v="34"/>
    <n v="40"/>
    <n v="0"/>
    <x v="45"/>
    <x v="277"/>
    <n v="1360"/>
    <x v="0"/>
    <x v="0"/>
    <x v="11"/>
  </r>
  <r>
    <n v="10612"/>
    <x v="38"/>
    <n v="18"/>
    <n v="80"/>
    <n v="0"/>
    <x v="45"/>
    <x v="277"/>
    <n v="1440"/>
    <x v="6"/>
    <x v="0"/>
    <x v="38"/>
  </r>
  <r>
    <n v="10613"/>
    <x v="43"/>
    <n v="6"/>
    <n v="8"/>
    <n v="0.10000000149011612"/>
    <x v="8"/>
    <x v="278"/>
    <n v="43.199999928474426"/>
    <x v="3"/>
    <x v="0"/>
    <x v="43"/>
  </r>
  <r>
    <n v="10613"/>
    <x v="48"/>
    <n v="7.75"/>
    <n v="40"/>
    <n v="0"/>
    <x v="8"/>
    <x v="278"/>
    <n v="310"/>
    <x v="6"/>
    <x v="0"/>
    <x v="48"/>
  </r>
  <r>
    <n v="10614"/>
    <x v="0"/>
    <n v="21"/>
    <n v="14"/>
    <n v="0"/>
    <x v="76"/>
    <x v="278"/>
    <n v="294"/>
    <x v="0"/>
    <x v="0"/>
    <x v="0"/>
  </r>
  <r>
    <n v="10614"/>
    <x v="27"/>
    <n v="10"/>
    <n v="8"/>
    <n v="0"/>
    <x v="76"/>
    <x v="278"/>
    <n v="80"/>
    <x v="5"/>
    <x v="0"/>
    <x v="27"/>
  </r>
  <r>
    <n v="10614"/>
    <x v="13"/>
    <n v="18"/>
    <n v="5"/>
    <n v="0"/>
    <x v="76"/>
    <x v="278"/>
    <n v="90"/>
    <x v="6"/>
    <x v="0"/>
    <x v="13"/>
  </r>
  <r>
    <n v="10615"/>
    <x v="16"/>
    <n v="24"/>
    <n v="5"/>
    <n v="0"/>
    <x v="83"/>
    <x v="279"/>
    <n v="120"/>
    <x v="7"/>
    <x v="0"/>
    <x v="16"/>
  </r>
  <r>
    <n v="10616"/>
    <x v="67"/>
    <n v="263.5"/>
    <n v="15"/>
    <n v="5.000000074505806E-2"/>
    <x v="79"/>
    <x v="280"/>
    <n v="3754.874997055158"/>
    <x v="6"/>
    <x v="0"/>
    <x v="67"/>
  </r>
  <r>
    <n v="10616"/>
    <x v="33"/>
    <n v="38"/>
    <n v="14"/>
    <n v="0"/>
    <x v="79"/>
    <x v="280"/>
    <n v="532"/>
    <x v="1"/>
    <x v="0"/>
    <x v="33"/>
  </r>
  <r>
    <n v="10616"/>
    <x v="30"/>
    <n v="15"/>
    <n v="15"/>
    <n v="5.000000074505806E-2"/>
    <x v="79"/>
    <x v="280"/>
    <n v="213.74999983236194"/>
    <x v="6"/>
    <x v="0"/>
    <x v="30"/>
  </r>
  <r>
    <n v="10616"/>
    <x v="42"/>
    <n v="21.5"/>
    <n v="15"/>
    <n v="5.000000074505806E-2"/>
    <x v="79"/>
    <x v="280"/>
    <n v="306.37499975971878"/>
    <x v="0"/>
    <x v="0"/>
    <x v="42"/>
  </r>
  <r>
    <n v="10617"/>
    <x v="21"/>
    <n v="55"/>
    <n v="30"/>
    <n v="0.15000000596046448"/>
    <x v="79"/>
    <x v="280"/>
    <n v="1402.4999901652336"/>
    <x v="0"/>
    <x v="0"/>
    <x v="21"/>
  </r>
  <r>
    <n v="10618"/>
    <x v="63"/>
    <n v="25"/>
    <n v="70"/>
    <n v="0"/>
    <x v="49"/>
    <x v="281"/>
    <n v="1750"/>
    <x v="4"/>
    <x v="0"/>
    <x v="63"/>
  </r>
  <r>
    <n v="10618"/>
    <x v="33"/>
    <n v="38"/>
    <n v="20"/>
    <n v="0"/>
    <x v="49"/>
    <x v="281"/>
    <n v="760"/>
    <x v="1"/>
    <x v="0"/>
    <x v="33"/>
  </r>
  <r>
    <n v="10618"/>
    <x v="56"/>
    <n v="12.5"/>
    <n v="15"/>
    <n v="0"/>
    <x v="49"/>
    <x v="281"/>
    <n v="187.5"/>
    <x v="5"/>
    <x v="0"/>
    <x v="56"/>
  </r>
  <r>
    <n v="10619"/>
    <x v="27"/>
    <n v="10"/>
    <n v="42"/>
    <n v="0"/>
    <x v="49"/>
    <x v="282"/>
    <n v="420"/>
    <x v="5"/>
    <x v="0"/>
    <x v="27"/>
  </r>
  <r>
    <n v="10619"/>
    <x v="7"/>
    <n v="21"/>
    <n v="40"/>
    <n v="0"/>
    <x v="49"/>
    <x v="282"/>
    <n v="840"/>
    <x v="1"/>
    <x v="0"/>
    <x v="7"/>
  </r>
  <r>
    <n v="10620"/>
    <x v="15"/>
    <n v="4.5"/>
    <n v="5"/>
    <n v="0"/>
    <x v="75"/>
    <x v="283"/>
    <n v="22.5"/>
    <x v="6"/>
    <x v="0"/>
    <x v="15"/>
  </r>
  <r>
    <n v="10620"/>
    <x v="65"/>
    <n v="7"/>
    <n v="5"/>
    <n v="0"/>
    <x v="75"/>
    <x v="283"/>
    <n v="35"/>
    <x v="1"/>
    <x v="0"/>
    <x v="65"/>
  </r>
  <r>
    <n v="10621"/>
    <x v="49"/>
    <n v="9.1999999999999993"/>
    <n v="5"/>
    <n v="0"/>
    <x v="42"/>
    <x v="283"/>
    <n v="46"/>
    <x v="5"/>
    <x v="0"/>
    <x v="49"/>
  </r>
  <r>
    <n v="10621"/>
    <x v="70"/>
    <n v="9"/>
    <n v="10"/>
    <n v="0"/>
    <x v="42"/>
    <x v="283"/>
    <n v="90"/>
    <x v="1"/>
    <x v="0"/>
    <x v="70"/>
  </r>
  <r>
    <n v="10621"/>
    <x v="30"/>
    <n v="15"/>
    <n v="20"/>
    <n v="0"/>
    <x v="42"/>
    <x v="283"/>
    <n v="300"/>
    <x v="6"/>
    <x v="0"/>
    <x v="30"/>
  </r>
  <r>
    <n v="10621"/>
    <x v="42"/>
    <n v="21.5"/>
    <n v="15"/>
    <n v="0"/>
    <x v="42"/>
    <x v="283"/>
    <n v="322.5"/>
    <x v="0"/>
    <x v="0"/>
    <x v="42"/>
  </r>
  <r>
    <n v="10622"/>
    <x v="18"/>
    <n v="19"/>
    <n v="20"/>
    <n v="0"/>
    <x v="29"/>
    <x v="284"/>
    <n v="380"/>
    <x v="6"/>
    <x v="0"/>
    <x v="18"/>
  </r>
  <r>
    <n v="10622"/>
    <x v="56"/>
    <n v="12.5"/>
    <n v="18"/>
    <n v="0.20000000298023224"/>
    <x v="29"/>
    <x v="284"/>
    <n v="179.99999932944775"/>
    <x v="5"/>
    <x v="0"/>
    <x v="56"/>
  </r>
  <r>
    <n v="10623"/>
    <x v="3"/>
    <n v="23.25"/>
    <n v="21"/>
    <n v="0"/>
    <x v="17"/>
    <x v="285"/>
    <n v="488.25"/>
    <x v="2"/>
    <x v="0"/>
    <x v="3"/>
  </r>
  <r>
    <n v="10623"/>
    <x v="49"/>
    <n v="9.1999999999999993"/>
    <n v="15"/>
    <n v="0.10000000149011612"/>
    <x v="17"/>
    <x v="285"/>
    <n v="124.19999979436398"/>
    <x v="5"/>
    <x v="0"/>
    <x v="49"/>
  </r>
  <r>
    <n v="10623"/>
    <x v="27"/>
    <n v="10"/>
    <n v="25"/>
    <n v="0.10000000149011612"/>
    <x v="17"/>
    <x v="285"/>
    <n v="224.99999962747097"/>
    <x v="5"/>
    <x v="0"/>
    <x v="27"/>
  </r>
  <r>
    <n v="10623"/>
    <x v="15"/>
    <n v="4.5"/>
    <n v="3"/>
    <n v="0"/>
    <x v="17"/>
    <x v="285"/>
    <n v="13.5"/>
    <x v="6"/>
    <x v="0"/>
    <x v="15"/>
  </r>
  <r>
    <n v="10623"/>
    <x v="31"/>
    <n v="18"/>
    <n v="30"/>
    <n v="0.10000000149011612"/>
    <x v="17"/>
    <x v="285"/>
    <n v="485.9999991953373"/>
    <x v="6"/>
    <x v="0"/>
    <x v="31"/>
  </r>
  <r>
    <n v="10624"/>
    <x v="44"/>
    <n v="45.6"/>
    <n v="10"/>
    <n v="0"/>
    <x v="84"/>
    <x v="285"/>
    <n v="456"/>
    <x v="2"/>
    <x v="0"/>
    <x v="44"/>
  </r>
  <r>
    <n v="10624"/>
    <x v="39"/>
    <n v="123.79"/>
    <n v="6"/>
    <n v="0"/>
    <x v="84"/>
    <x v="285"/>
    <n v="742.74"/>
    <x v="7"/>
    <x v="0"/>
    <x v="39"/>
  </r>
  <r>
    <n v="10624"/>
    <x v="45"/>
    <n v="19.45"/>
    <n v="10"/>
    <n v="0"/>
    <x v="84"/>
    <x v="285"/>
    <n v="194.5"/>
    <x v="4"/>
    <x v="0"/>
    <x v="45"/>
  </r>
  <r>
    <n v="10625"/>
    <x v="3"/>
    <n v="23.25"/>
    <n v="3"/>
    <n v="0"/>
    <x v="39"/>
    <x v="286"/>
    <n v="69.75"/>
    <x v="2"/>
    <x v="0"/>
    <x v="3"/>
  </r>
  <r>
    <n v="10625"/>
    <x v="1"/>
    <n v="14"/>
    <n v="5"/>
    <n v="0"/>
    <x v="39"/>
    <x v="286"/>
    <n v="70"/>
    <x v="1"/>
    <x v="0"/>
    <x v="1"/>
  </r>
  <r>
    <n v="10625"/>
    <x v="11"/>
    <n v="34"/>
    <n v="10"/>
    <n v="0"/>
    <x v="39"/>
    <x v="286"/>
    <n v="340"/>
    <x v="0"/>
    <x v="0"/>
    <x v="11"/>
  </r>
  <r>
    <n v="10626"/>
    <x v="22"/>
    <n v="32.799999999999997"/>
    <n v="12"/>
    <n v="0"/>
    <x v="25"/>
    <x v="287"/>
    <n v="393.59999999999997"/>
    <x v="7"/>
    <x v="0"/>
    <x v="22"/>
  </r>
  <r>
    <n v="10626"/>
    <x v="11"/>
    <n v="34"/>
    <n v="20"/>
    <n v="0"/>
    <x v="25"/>
    <x v="287"/>
    <n v="680"/>
    <x v="0"/>
    <x v="0"/>
    <x v="11"/>
  </r>
  <r>
    <n v="10626"/>
    <x v="42"/>
    <n v="21.5"/>
    <n v="20"/>
    <n v="0"/>
    <x v="25"/>
    <x v="287"/>
    <n v="430"/>
    <x v="0"/>
    <x v="0"/>
    <x v="42"/>
  </r>
  <r>
    <n v="10627"/>
    <x v="29"/>
    <n v="49.3"/>
    <n v="15"/>
    <n v="0"/>
    <x v="45"/>
    <x v="287"/>
    <n v="739.5"/>
    <x v="5"/>
    <x v="0"/>
    <x v="29"/>
  </r>
  <r>
    <n v="10627"/>
    <x v="47"/>
    <n v="15"/>
    <n v="35"/>
    <n v="0.15000000596046448"/>
    <x v="45"/>
    <x v="287"/>
    <n v="446.24999687075615"/>
    <x v="3"/>
    <x v="0"/>
    <x v="47"/>
  </r>
  <r>
    <n v="10628"/>
    <x v="52"/>
    <n v="18"/>
    <n v="25"/>
    <n v="0"/>
    <x v="15"/>
    <x v="288"/>
    <n v="450"/>
    <x v="6"/>
    <x v="0"/>
    <x v="52"/>
  </r>
  <r>
    <n v="10629"/>
    <x v="39"/>
    <n v="123.79"/>
    <n v="20"/>
    <n v="0"/>
    <x v="36"/>
    <x v="288"/>
    <n v="2475.8000000000002"/>
    <x v="7"/>
    <x v="0"/>
    <x v="39"/>
  </r>
  <r>
    <n v="10629"/>
    <x v="58"/>
    <n v="33.25"/>
    <n v="9"/>
    <n v="0"/>
    <x v="36"/>
    <x v="288"/>
    <n v="299.25"/>
    <x v="1"/>
    <x v="0"/>
    <x v="58"/>
  </r>
  <r>
    <n v="10630"/>
    <x v="16"/>
    <n v="24"/>
    <n v="12"/>
    <n v="5.000000074505806E-2"/>
    <x v="44"/>
    <x v="289"/>
    <n v="273.59999978542328"/>
    <x v="7"/>
    <x v="0"/>
    <x v="16"/>
  </r>
  <r>
    <n v="10630"/>
    <x v="38"/>
    <n v="18"/>
    <n v="35"/>
    <n v="0"/>
    <x v="44"/>
    <x v="289"/>
    <n v="630"/>
    <x v="6"/>
    <x v="0"/>
    <x v="38"/>
  </r>
  <r>
    <n v="10631"/>
    <x v="48"/>
    <n v="7.75"/>
    <n v="8"/>
    <n v="0.10000000149011612"/>
    <x v="53"/>
    <x v="290"/>
    <n v="55.799999907612801"/>
    <x v="6"/>
    <x v="0"/>
    <x v="48"/>
  </r>
  <r>
    <n v="10632"/>
    <x v="18"/>
    <n v="19"/>
    <n v="30"/>
    <n v="5.000000074505806E-2"/>
    <x v="35"/>
    <x v="290"/>
    <n v="541.49999957531691"/>
    <x v="6"/>
    <x v="0"/>
    <x v="18"/>
  </r>
  <r>
    <n v="10632"/>
    <x v="10"/>
    <n v="2.5"/>
    <n v="20"/>
    <n v="5.000000074505806E-2"/>
    <x v="35"/>
    <x v="290"/>
    <n v="47.499999962747097"/>
    <x v="0"/>
    <x v="0"/>
    <x v="10"/>
  </r>
  <r>
    <n v="10633"/>
    <x v="36"/>
    <n v="38"/>
    <n v="36"/>
    <n v="0.15000000596046448"/>
    <x v="9"/>
    <x v="291"/>
    <n v="1162.7999918460846"/>
    <x v="0"/>
    <x v="0"/>
    <x v="36"/>
  </r>
  <r>
    <n v="10633"/>
    <x v="43"/>
    <n v="6"/>
    <n v="13"/>
    <n v="0.15000000596046448"/>
    <x v="9"/>
    <x v="291"/>
    <n v="66.299999535083771"/>
    <x v="3"/>
    <x v="0"/>
    <x v="43"/>
  </r>
  <r>
    <n v="10633"/>
    <x v="68"/>
    <n v="31.23"/>
    <n v="35"/>
    <n v="0.15000000596046448"/>
    <x v="9"/>
    <x v="291"/>
    <n v="929.09249348491426"/>
    <x v="5"/>
    <x v="0"/>
    <x v="68"/>
  </r>
  <r>
    <n v="10633"/>
    <x v="29"/>
    <n v="49.3"/>
    <n v="80"/>
    <n v="0.15000000596046448"/>
    <x v="9"/>
    <x v="291"/>
    <n v="3352.3999764919281"/>
    <x v="5"/>
    <x v="0"/>
    <x v="29"/>
  </r>
  <r>
    <n v="10634"/>
    <x v="32"/>
    <n v="30"/>
    <n v="35"/>
    <n v="0"/>
    <x v="68"/>
    <x v="291"/>
    <n v="1050"/>
    <x v="2"/>
    <x v="0"/>
    <x v="32"/>
  </r>
  <r>
    <n v="10634"/>
    <x v="59"/>
    <n v="62.5"/>
    <n v="50"/>
    <n v="0"/>
    <x v="68"/>
    <x v="291"/>
    <n v="3125"/>
    <x v="3"/>
    <x v="0"/>
    <x v="59"/>
  </r>
  <r>
    <n v="10634"/>
    <x v="4"/>
    <n v="53"/>
    <n v="15"/>
    <n v="0"/>
    <x v="68"/>
    <x v="291"/>
    <n v="795"/>
    <x v="2"/>
    <x v="0"/>
    <x v="4"/>
  </r>
  <r>
    <n v="10634"/>
    <x v="48"/>
    <n v="7.75"/>
    <n v="2"/>
    <n v="0"/>
    <x v="68"/>
    <x v="291"/>
    <n v="15.5"/>
    <x v="6"/>
    <x v="0"/>
    <x v="48"/>
  </r>
  <r>
    <n v="10635"/>
    <x v="62"/>
    <n v="22"/>
    <n v="10"/>
    <n v="0.10000000149011612"/>
    <x v="22"/>
    <x v="292"/>
    <n v="197.99999967217445"/>
    <x v="4"/>
    <x v="0"/>
    <x v="62"/>
  </r>
  <r>
    <n v="10635"/>
    <x v="25"/>
    <n v="21.35"/>
    <n v="15"/>
    <n v="0.10000000149011612"/>
    <x v="22"/>
    <x v="292"/>
    <n v="288.22499952279031"/>
    <x v="4"/>
    <x v="0"/>
    <x v="25"/>
  </r>
  <r>
    <n v="10635"/>
    <x v="7"/>
    <n v="21"/>
    <n v="40"/>
    <n v="0"/>
    <x v="22"/>
    <x v="292"/>
    <n v="840"/>
    <x v="1"/>
    <x v="0"/>
    <x v="7"/>
  </r>
  <r>
    <n v="10636"/>
    <x v="62"/>
    <n v="22"/>
    <n v="25"/>
    <n v="0"/>
    <x v="16"/>
    <x v="293"/>
    <n v="550"/>
    <x v="4"/>
    <x v="0"/>
    <x v="62"/>
  </r>
  <r>
    <n v="10636"/>
    <x v="64"/>
    <n v="13.25"/>
    <n v="6"/>
    <n v="0"/>
    <x v="16"/>
    <x v="293"/>
    <n v="79.5"/>
    <x v="3"/>
    <x v="0"/>
    <x v="64"/>
  </r>
  <r>
    <n v="10637"/>
    <x v="0"/>
    <n v="21"/>
    <n v="10"/>
    <n v="0"/>
    <x v="62"/>
    <x v="293"/>
    <n v="210"/>
    <x v="0"/>
    <x v="0"/>
    <x v="0"/>
  </r>
  <r>
    <n v="10637"/>
    <x v="72"/>
    <n v="16.25"/>
    <n v="25"/>
    <n v="5.000000074505806E-2"/>
    <x v="62"/>
    <x v="293"/>
    <n v="385.93749969732016"/>
    <x v="5"/>
    <x v="0"/>
    <x v="72"/>
  </r>
  <r>
    <n v="10637"/>
    <x v="33"/>
    <n v="38"/>
    <n v="60"/>
    <n v="5.000000074505806E-2"/>
    <x v="62"/>
    <x v="293"/>
    <n v="2165.9999983012676"/>
    <x v="1"/>
    <x v="0"/>
    <x v="33"/>
  </r>
  <r>
    <n v="10638"/>
    <x v="73"/>
    <n v="9.5"/>
    <n v="20"/>
    <n v="0"/>
    <x v="67"/>
    <x v="294"/>
    <n v="190"/>
    <x v="3"/>
    <x v="0"/>
    <x v="73"/>
  </r>
  <r>
    <n v="10638"/>
    <x v="6"/>
    <n v="21.05"/>
    <n v="21"/>
    <n v="0"/>
    <x v="67"/>
    <x v="294"/>
    <n v="442.05"/>
    <x v="4"/>
    <x v="0"/>
    <x v="6"/>
  </r>
  <r>
    <n v="10638"/>
    <x v="2"/>
    <n v="34.799999999999997"/>
    <n v="60"/>
    <n v="0"/>
    <x v="67"/>
    <x v="294"/>
    <n v="2088"/>
    <x v="0"/>
    <x v="0"/>
    <x v="2"/>
  </r>
  <r>
    <n v="10639"/>
    <x v="59"/>
    <n v="62.5"/>
    <n v="8"/>
    <n v="0"/>
    <x v="65"/>
    <x v="294"/>
    <n v="500"/>
    <x v="3"/>
    <x v="0"/>
    <x v="59"/>
  </r>
  <r>
    <n v="10640"/>
    <x v="60"/>
    <n v="36"/>
    <n v="20"/>
    <n v="0.25"/>
    <x v="35"/>
    <x v="295"/>
    <n v="540"/>
    <x v="0"/>
    <x v="0"/>
    <x v="60"/>
  </r>
  <r>
    <n v="10640"/>
    <x v="30"/>
    <n v="15"/>
    <n v="15"/>
    <n v="0.25"/>
    <x v="35"/>
    <x v="295"/>
    <n v="168.75"/>
    <x v="6"/>
    <x v="0"/>
    <x v="30"/>
  </r>
  <r>
    <n v="10641"/>
    <x v="18"/>
    <n v="19"/>
    <n v="50"/>
    <n v="0"/>
    <x v="8"/>
    <x v="296"/>
    <n v="950"/>
    <x v="6"/>
    <x v="0"/>
    <x v="18"/>
  </r>
  <r>
    <n v="10641"/>
    <x v="37"/>
    <n v="18.399999999999999"/>
    <n v="60"/>
    <n v="0"/>
    <x v="8"/>
    <x v="296"/>
    <n v="1104"/>
    <x v="3"/>
    <x v="0"/>
    <x v="37"/>
  </r>
  <r>
    <n v="10642"/>
    <x v="27"/>
    <n v="10"/>
    <n v="30"/>
    <n v="0.20000000298023224"/>
    <x v="51"/>
    <x v="296"/>
    <n v="239.99999910593033"/>
    <x v="5"/>
    <x v="0"/>
    <x v="27"/>
  </r>
  <r>
    <n v="10642"/>
    <x v="75"/>
    <n v="28.5"/>
    <n v="20"/>
    <n v="0.20000000298023224"/>
    <x v="51"/>
    <x v="296"/>
    <n v="455.99999830126762"/>
    <x v="4"/>
    <x v="0"/>
    <x v="75"/>
  </r>
  <r>
    <n v="10643"/>
    <x v="44"/>
    <n v="45.6"/>
    <n v="15"/>
    <n v="0.25"/>
    <x v="85"/>
    <x v="297"/>
    <n v="513"/>
    <x v="2"/>
    <x v="0"/>
    <x v="44"/>
  </r>
  <r>
    <n v="10643"/>
    <x v="13"/>
    <n v="18"/>
    <n v="21"/>
    <n v="0.25"/>
    <x v="85"/>
    <x v="297"/>
    <n v="283.5"/>
    <x v="6"/>
    <x v="0"/>
    <x v="13"/>
  </r>
  <r>
    <n v="10643"/>
    <x v="54"/>
    <n v="12"/>
    <n v="2"/>
    <n v="0.25"/>
    <x v="85"/>
    <x v="297"/>
    <n v="18"/>
    <x v="3"/>
    <x v="0"/>
    <x v="54"/>
  </r>
  <r>
    <n v="10644"/>
    <x v="59"/>
    <n v="62.5"/>
    <n v="4"/>
    <n v="0.10000000149011612"/>
    <x v="7"/>
    <x v="297"/>
    <n v="224.99999962747097"/>
    <x v="3"/>
    <x v="0"/>
    <x v="59"/>
  </r>
  <r>
    <n v="10644"/>
    <x v="40"/>
    <n v="46"/>
    <n v="20"/>
    <n v="0"/>
    <x v="7"/>
    <x v="297"/>
    <n v="920"/>
    <x v="6"/>
    <x v="0"/>
    <x v="40"/>
  </r>
  <r>
    <n v="10644"/>
    <x v="54"/>
    <n v="12"/>
    <n v="21"/>
    <n v="0.10000000149011612"/>
    <x v="7"/>
    <x v="297"/>
    <n v="226.79999962449074"/>
    <x v="3"/>
    <x v="0"/>
    <x v="54"/>
  </r>
  <r>
    <n v="10645"/>
    <x v="59"/>
    <n v="62.5"/>
    <n v="20"/>
    <n v="0"/>
    <x v="2"/>
    <x v="298"/>
    <n v="1250"/>
    <x v="3"/>
    <x v="0"/>
    <x v="59"/>
  </r>
  <r>
    <n v="10645"/>
    <x v="20"/>
    <n v="19"/>
    <n v="15"/>
    <n v="0"/>
    <x v="2"/>
    <x v="298"/>
    <n v="285"/>
    <x v="3"/>
    <x v="0"/>
    <x v="20"/>
  </r>
  <r>
    <n v="10646"/>
    <x v="52"/>
    <n v="18"/>
    <n v="15"/>
    <n v="0.25"/>
    <x v="34"/>
    <x v="299"/>
    <n v="202.5"/>
    <x v="6"/>
    <x v="0"/>
    <x v="52"/>
  </r>
  <r>
    <n v="10646"/>
    <x v="41"/>
    <n v="31"/>
    <n v="18"/>
    <n v="0.25"/>
    <x v="34"/>
    <x v="299"/>
    <n v="418.5"/>
    <x v="3"/>
    <x v="0"/>
    <x v="41"/>
  </r>
  <r>
    <n v="10646"/>
    <x v="42"/>
    <n v="21.5"/>
    <n v="30"/>
    <n v="0.25"/>
    <x v="34"/>
    <x v="299"/>
    <n v="483.75"/>
    <x v="0"/>
    <x v="0"/>
    <x v="42"/>
  </r>
  <r>
    <n v="10646"/>
    <x v="23"/>
    <n v="13"/>
    <n v="35"/>
    <n v="0.25"/>
    <x v="34"/>
    <x v="299"/>
    <n v="341.25"/>
    <x v="4"/>
    <x v="0"/>
    <x v="23"/>
  </r>
  <r>
    <n v="10647"/>
    <x v="49"/>
    <n v="9.1999999999999993"/>
    <n v="30"/>
    <n v="0"/>
    <x v="12"/>
    <x v="299"/>
    <n v="276"/>
    <x v="5"/>
    <x v="0"/>
    <x v="49"/>
  </r>
  <r>
    <n v="10647"/>
    <x v="13"/>
    <n v="18"/>
    <n v="20"/>
    <n v="0"/>
    <x v="12"/>
    <x v="299"/>
    <n v="360"/>
    <x v="6"/>
    <x v="0"/>
    <x v="13"/>
  </r>
  <r>
    <n v="10648"/>
    <x v="7"/>
    <n v="21"/>
    <n v="15"/>
    <n v="0"/>
    <x v="29"/>
    <x v="300"/>
    <n v="315"/>
    <x v="1"/>
    <x v="0"/>
    <x v="7"/>
  </r>
  <r>
    <n v="10648"/>
    <x v="15"/>
    <n v="4.5"/>
    <n v="15"/>
    <n v="0.15000000596046448"/>
    <x v="29"/>
    <x v="300"/>
    <n v="57.374999597668648"/>
    <x v="6"/>
    <x v="0"/>
    <x v="15"/>
  </r>
  <r>
    <n v="10649"/>
    <x v="44"/>
    <n v="45.6"/>
    <n v="20"/>
    <n v="0"/>
    <x v="80"/>
    <x v="300"/>
    <n v="912"/>
    <x v="2"/>
    <x v="0"/>
    <x v="44"/>
  </r>
  <r>
    <n v="10649"/>
    <x v="2"/>
    <n v="34.799999999999997"/>
    <n v="15"/>
    <n v="0"/>
    <x v="80"/>
    <x v="300"/>
    <n v="522"/>
    <x v="0"/>
    <x v="0"/>
    <x v="2"/>
  </r>
  <r>
    <n v="10650"/>
    <x v="34"/>
    <n v="25.89"/>
    <n v="30"/>
    <n v="0"/>
    <x v="52"/>
    <x v="301"/>
    <n v="776.7"/>
    <x v="3"/>
    <x v="0"/>
    <x v="34"/>
  </r>
  <r>
    <n v="10650"/>
    <x v="22"/>
    <n v="32.799999999999997"/>
    <n v="25"/>
    <n v="5.000000074505806E-2"/>
    <x v="52"/>
    <x v="301"/>
    <n v="778.99999938905228"/>
    <x v="7"/>
    <x v="0"/>
    <x v="22"/>
  </r>
  <r>
    <n v="10650"/>
    <x v="55"/>
    <n v="7.45"/>
    <n v="30"/>
    <n v="0"/>
    <x v="52"/>
    <x v="301"/>
    <n v="223.5"/>
    <x v="7"/>
    <x v="0"/>
    <x v="55"/>
  </r>
  <r>
    <n v="10651"/>
    <x v="49"/>
    <n v="9.1999999999999993"/>
    <n v="12"/>
    <n v="0.25"/>
    <x v="35"/>
    <x v="302"/>
    <n v="82.8"/>
    <x v="5"/>
    <x v="0"/>
    <x v="49"/>
  </r>
  <r>
    <n v="10651"/>
    <x v="7"/>
    <n v="21"/>
    <n v="20"/>
    <n v="0.25"/>
    <x v="35"/>
    <x v="302"/>
    <n v="315"/>
    <x v="1"/>
    <x v="0"/>
    <x v="7"/>
  </r>
  <r>
    <n v="10652"/>
    <x v="34"/>
    <n v="25.89"/>
    <n v="2"/>
    <n v="0.25"/>
    <x v="71"/>
    <x v="302"/>
    <n v="38.835000000000001"/>
    <x v="3"/>
    <x v="0"/>
    <x v="34"/>
  </r>
  <r>
    <n v="10652"/>
    <x v="1"/>
    <n v="14"/>
    <n v="20"/>
    <n v="0"/>
    <x v="71"/>
    <x v="302"/>
    <n v="280"/>
    <x v="1"/>
    <x v="0"/>
    <x v="1"/>
  </r>
  <r>
    <n v="10653"/>
    <x v="19"/>
    <n v="17.45"/>
    <n v="30"/>
    <n v="0.10000000149011612"/>
    <x v="17"/>
    <x v="303"/>
    <n v="471.14999921992421"/>
    <x v="5"/>
    <x v="0"/>
    <x v="19"/>
  </r>
  <r>
    <n v="10653"/>
    <x v="11"/>
    <n v="34"/>
    <n v="20"/>
    <n v="0.10000000149011612"/>
    <x v="17"/>
    <x v="303"/>
    <n v="611.99999898672104"/>
    <x v="0"/>
    <x v="0"/>
    <x v="11"/>
  </r>
  <r>
    <n v="10654"/>
    <x v="62"/>
    <n v="22"/>
    <n v="12"/>
    <n v="0.10000000149011612"/>
    <x v="25"/>
    <x v="303"/>
    <n v="237.59999960660934"/>
    <x v="4"/>
    <x v="0"/>
    <x v="62"/>
  </r>
  <r>
    <n v="10654"/>
    <x v="13"/>
    <n v="18"/>
    <n v="20"/>
    <n v="0.10000000149011612"/>
    <x v="25"/>
    <x v="303"/>
    <n v="323.9999994635582"/>
    <x v="6"/>
    <x v="0"/>
    <x v="13"/>
  </r>
  <r>
    <n v="10654"/>
    <x v="55"/>
    <n v="7.45"/>
    <n v="6"/>
    <n v="0.10000000149011612"/>
    <x v="25"/>
    <x v="303"/>
    <n v="40.229999933391809"/>
    <x v="7"/>
    <x v="0"/>
    <x v="55"/>
  </r>
  <r>
    <n v="10655"/>
    <x v="5"/>
    <n v="9.65"/>
    <n v="20"/>
    <n v="0.20000000298023224"/>
    <x v="30"/>
    <x v="304"/>
    <n v="154.39999942481518"/>
    <x v="3"/>
    <x v="0"/>
    <x v="5"/>
  </r>
  <r>
    <n v="10656"/>
    <x v="3"/>
    <n v="23.25"/>
    <n v="3"/>
    <n v="0.10000000149011612"/>
    <x v="79"/>
    <x v="305"/>
    <n v="62.774999896064401"/>
    <x v="2"/>
    <x v="0"/>
    <x v="3"/>
  </r>
  <r>
    <n v="10656"/>
    <x v="45"/>
    <n v="19.45"/>
    <n v="28"/>
    <n v="0.10000000149011612"/>
    <x v="79"/>
    <x v="305"/>
    <n v="490.13999918848276"/>
    <x v="4"/>
    <x v="0"/>
    <x v="45"/>
  </r>
  <r>
    <n v="10656"/>
    <x v="69"/>
    <n v="9.5"/>
    <n v="6"/>
    <n v="0.10000000149011612"/>
    <x v="79"/>
    <x v="305"/>
    <n v="51.299999915063381"/>
    <x v="5"/>
    <x v="0"/>
    <x v="69"/>
  </r>
  <r>
    <n v="10657"/>
    <x v="50"/>
    <n v="15.5"/>
    <n v="50"/>
    <n v="0"/>
    <x v="45"/>
    <x v="305"/>
    <n v="775"/>
    <x v="4"/>
    <x v="0"/>
    <x v="50"/>
  </r>
  <r>
    <n v="10657"/>
    <x v="5"/>
    <n v="9.65"/>
    <n v="24"/>
    <n v="0"/>
    <x v="45"/>
    <x v="305"/>
    <n v="231.60000000000002"/>
    <x v="3"/>
    <x v="0"/>
    <x v="5"/>
  </r>
  <r>
    <n v="10657"/>
    <x v="54"/>
    <n v="12"/>
    <n v="45"/>
    <n v="0"/>
    <x v="45"/>
    <x v="305"/>
    <n v="540"/>
    <x v="3"/>
    <x v="0"/>
    <x v="54"/>
  </r>
  <r>
    <n v="10657"/>
    <x v="69"/>
    <n v="9.5"/>
    <n v="10"/>
    <n v="0"/>
    <x v="45"/>
    <x v="305"/>
    <n v="95"/>
    <x v="5"/>
    <x v="0"/>
    <x v="69"/>
  </r>
  <r>
    <n v="10657"/>
    <x v="33"/>
    <n v="38"/>
    <n v="45"/>
    <n v="0"/>
    <x v="45"/>
    <x v="305"/>
    <n v="1710"/>
    <x v="1"/>
    <x v="0"/>
    <x v="33"/>
  </r>
  <r>
    <n v="10657"/>
    <x v="11"/>
    <n v="34"/>
    <n v="30"/>
    <n v="0"/>
    <x v="45"/>
    <x v="305"/>
    <n v="1020"/>
    <x v="0"/>
    <x v="0"/>
    <x v="11"/>
  </r>
  <r>
    <n v="10658"/>
    <x v="27"/>
    <n v="10"/>
    <n v="60"/>
    <n v="0"/>
    <x v="21"/>
    <x v="306"/>
    <n v="600"/>
    <x v="5"/>
    <x v="0"/>
    <x v="27"/>
  </r>
  <r>
    <n v="10658"/>
    <x v="37"/>
    <n v="18.399999999999999"/>
    <n v="70"/>
    <n v="5.000000074505806E-2"/>
    <x v="21"/>
    <x v="306"/>
    <n v="1223.5999990403652"/>
    <x v="3"/>
    <x v="0"/>
    <x v="37"/>
  </r>
  <r>
    <n v="10658"/>
    <x v="11"/>
    <n v="34"/>
    <n v="55"/>
    <n v="5.000000074505806E-2"/>
    <x v="21"/>
    <x v="306"/>
    <n v="1776.4999986067414"/>
    <x v="0"/>
    <x v="0"/>
    <x v="11"/>
  </r>
  <r>
    <n v="10658"/>
    <x v="23"/>
    <n v="13"/>
    <n v="70"/>
    <n v="5.000000074505806E-2"/>
    <x v="21"/>
    <x v="306"/>
    <n v="864.49999932199717"/>
    <x v="4"/>
    <x v="0"/>
    <x v="23"/>
  </r>
  <r>
    <n v="10659"/>
    <x v="12"/>
    <n v="12.5"/>
    <n v="20"/>
    <n v="5.000000074505806E-2"/>
    <x v="62"/>
    <x v="306"/>
    <n v="237.49999981373549"/>
    <x v="0"/>
    <x v="0"/>
    <x v="12"/>
  </r>
  <r>
    <n v="10659"/>
    <x v="37"/>
    <n v="18.399999999999999"/>
    <n v="24"/>
    <n v="5.000000074505806E-2"/>
    <x v="62"/>
    <x v="306"/>
    <n v="419.51999967098232"/>
    <x v="3"/>
    <x v="0"/>
    <x v="37"/>
  </r>
  <r>
    <n v="10659"/>
    <x v="30"/>
    <n v="15"/>
    <n v="40"/>
    <n v="5.000000074505806E-2"/>
    <x v="62"/>
    <x v="306"/>
    <n v="569.99999955296516"/>
    <x v="6"/>
    <x v="0"/>
    <x v="30"/>
  </r>
  <r>
    <n v="10660"/>
    <x v="9"/>
    <n v="81"/>
    <n v="21"/>
    <n v="0"/>
    <x v="64"/>
    <x v="307"/>
    <n v="1701"/>
    <x v="5"/>
    <x v="0"/>
    <x v="9"/>
  </r>
  <r>
    <n v="10661"/>
    <x v="13"/>
    <n v="18"/>
    <n v="3"/>
    <n v="0.20000000298023224"/>
    <x v="34"/>
    <x v="308"/>
    <n v="43.199999839067459"/>
    <x v="6"/>
    <x v="0"/>
    <x v="13"/>
  </r>
  <r>
    <n v="10661"/>
    <x v="64"/>
    <n v="13.25"/>
    <n v="49"/>
    <n v="0.20000000298023224"/>
    <x v="34"/>
    <x v="308"/>
    <n v="519.39999806508422"/>
    <x v="3"/>
    <x v="0"/>
    <x v="64"/>
  </r>
  <r>
    <n v="10662"/>
    <x v="56"/>
    <n v="12.5"/>
    <n v="10"/>
    <n v="0"/>
    <x v="38"/>
    <x v="308"/>
    <n v="125"/>
    <x v="5"/>
    <x v="0"/>
    <x v="56"/>
  </r>
  <r>
    <n v="10663"/>
    <x v="37"/>
    <n v="18.399999999999999"/>
    <n v="30"/>
    <n v="5.000000074505806E-2"/>
    <x v="48"/>
    <x v="309"/>
    <n v="524.39999958872795"/>
    <x v="3"/>
    <x v="0"/>
    <x v="37"/>
  </r>
  <r>
    <n v="10663"/>
    <x v="1"/>
    <n v="14"/>
    <n v="30"/>
    <n v="5.000000074505806E-2"/>
    <x v="48"/>
    <x v="309"/>
    <n v="398.99999968707561"/>
    <x v="1"/>
    <x v="0"/>
    <x v="1"/>
  </r>
  <r>
    <n v="10663"/>
    <x v="4"/>
    <n v="53"/>
    <n v="20"/>
    <n v="5.000000074505806E-2"/>
    <x v="48"/>
    <x v="309"/>
    <n v="1006.9999992102385"/>
    <x v="2"/>
    <x v="0"/>
    <x v="4"/>
  </r>
  <r>
    <n v="10664"/>
    <x v="41"/>
    <n v="31"/>
    <n v="24"/>
    <n v="0.15000000596046448"/>
    <x v="47"/>
    <x v="309"/>
    <n v="632.39999556541443"/>
    <x v="3"/>
    <x v="0"/>
    <x v="41"/>
  </r>
  <r>
    <n v="10664"/>
    <x v="33"/>
    <n v="38"/>
    <n v="12"/>
    <n v="0.15000000596046448"/>
    <x v="47"/>
    <x v="309"/>
    <n v="387.5999972820282"/>
    <x v="1"/>
    <x v="0"/>
    <x v="33"/>
  </r>
  <r>
    <n v="10664"/>
    <x v="6"/>
    <n v="21.05"/>
    <n v="15"/>
    <n v="0.15000000596046448"/>
    <x v="47"/>
    <x v="309"/>
    <n v="268.38749811798334"/>
    <x v="4"/>
    <x v="0"/>
    <x v="6"/>
  </r>
  <r>
    <n v="10665"/>
    <x v="4"/>
    <n v="53"/>
    <n v="20"/>
    <n v="0"/>
    <x v="38"/>
    <x v="310"/>
    <n v="1060"/>
    <x v="2"/>
    <x v="0"/>
    <x v="4"/>
  </r>
  <r>
    <n v="10665"/>
    <x v="21"/>
    <n v="55"/>
    <n v="1"/>
    <n v="0"/>
    <x v="38"/>
    <x v="310"/>
    <n v="55"/>
    <x v="0"/>
    <x v="0"/>
    <x v="21"/>
  </r>
  <r>
    <n v="10665"/>
    <x v="38"/>
    <n v="18"/>
    <n v="10"/>
    <n v="0"/>
    <x v="38"/>
    <x v="310"/>
    <n v="180"/>
    <x v="6"/>
    <x v="0"/>
    <x v="38"/>
  </r>
  <r>
    <n v="10666"/>
    <x v="39"/>
    <n v="123.79"/>
    <n v="36"/>
    <n v="0"/>
    <x v="6"/>
    <x v="311"/>
    <n v="4456.4400000000005"/>
    <x v="7"/>
    <x v="0"/>
    <x v="39"/>
  </r>
  <r>
    <n v="10666"/>
    <x v="6"/>
    <n v="21.05"/>
    <n v="10"/>
    <n v="0"/>
    <x v="6"/>
    <x v="311"/>
    <n v="210.5"/>
    <x v="4"/>
    <x v="0"/>
    <x v="6"/>
  </r>
  <r>
    <n v="10667"/>
    <x v="60"/>
    <n v="36"/>
    <n v="45"/>
    <n v="0.20000000298023224"/>
    <x v="9"/>
    <x v="311"/>
    <n v="1295.9999951720238"/>
    <x v="0"/>
    <x v="0"/>
    <x v="60"/>
  </r>
  <r>
    <n v="10667"/>
    <x v="42"/>
    <n v="21.5"/>
    <n v="14"/>
    <n v="0.20000000298023224"/>
    <x v="9"/>
    <x v="311"/>
    <n v="240.7999991029501"/>
    <x v="0"/>
    <x v="0"/>
    <x v="42"/>
  </r>
  <r>
    <n v="10668"/>
    <x v="12"/>
    <n v="12.5"/>
    <n v="8"/>
    <n v="0.10000000149011612"/>
    <x v="35"/>
    <x v="312"/>
    <n v="89.999999850988388"/>
    <x v="0"/>
    <x v="0"/>
    <x v="12"/>
  </r>
  <r>
    <n v="10668"/>
    <x v="16"/>
    <n v="24"/>
    <n v="4"/>
    <n v="0.10000000149011612"/>
    <x v="35"/>
    <x v="312"/>
    <n v="86.399999856948853"/>
    <x v="7"/>
    <x v="0"/>
    <x v="16"/>
  </r>
  <r>
    <n v="10668"/>
    <x v="58"/>
    <n v="33.25"/>
    <n v="15"/>
    <n v="0.10000000149011612"/>
    <x v="35"/>
    <x v="312"/>
    <n v="448.87499925680459"/>
    <x v="1"/>
    <x v="0"/>
    <x v="58"/>
  </r>
  <r>
    <n v="10669"/>
    <x v="20"/>
    <n v="19"/>
    <n v="30"/>
    <n v="0"/>
    <x v="51"/>
    <x v="312"/>
    <n v="570"/>
    <x v="3"/>
    <x v="0"/>
    <x v="20"/>
  </r>
  <r>
    <n v="10670"/>
    <x v="70"/>
    <n v="9"/>
    <n v="32"/>
    <n v="0"/>
    <x v="17"/>
    <x v="313"/>
    <n v="288"/>
    <x v="1"/>
    <x v="0"/>
    <x v="70"/>
  </r>
  <r>
    <n v="10670"/>
    <x v="54"/>
    <n v="12"/>
    <n v="60"/>
    <n v="0"/>
    <x v="17"/>
    <x v="313"/>
    <n v="720"/>
    <x v="3"/>
    <x v="0"/>
    <x v="54"/>
  </r>
  <r>
    <n v="10670"/>
    <x v="51"/>
    <n v="14"/>
    <n v="25"/>
    <n v="0"/>
    <x v="17"/>
    <x v="313"/>
    <n v="350"/>
    <x v="6"/>
    <x v="0"/>
    <x v="51"/>
  </r>
  <r>
    <n v="10670"/>
    <x v="47"/>
    <n v="15"/>
    <n v="50"/>
    <n v="0"/>
    <x v="17"/>
    <x v="313"/>
    <n v="750"/>
    <x v="3"/>
    <x v="0"/>
    <x v="47"/>
  </r>
  <r>
    <n v="10670"/>
    <x v="48"/>
    <n v="7.75"/>
    <n v="25"/>
    <n v="0"/>
    <x v="17"/>
    <x v="313"/>
    <n v="193.75"/>
    <x v="6"/>
    <x v="0"/>
    <x v="48"/>
  </r>
  <r>
    <n v="10671"/>
    <x v="19"/>
    <n v="17.45"/>
    <n v="10"/>
    <n v="0"/>
    <x v="86"/>
    <x v="314"/>
    <n v="174.5"/>
    <x v="5"/>
    <x v="0"/>
    <x v="19"/>
  </r>
  <r>
    <n v="10671"/>
    <x v="29"/>
    <n v="49.3"/>
    <n v="10"/>
    <n v="0"/>
    <x v="86"/>
    <x v="314"/>
    <n v="493"/>
    <x v="5"/>
    <x v="0"/>
    <x v="29"/>
  </r>
  <r>
    <n v="10671"/>
    <x v="6"/>
    <n v="21.05"/>
    <n v="12"/>
    <n v="0"/>
    <x v="86"/>
    <x v="314"/>
    <n v="252.60000000000002"/>
    <x v="4"/>
    <x v="0"/>
    <x v="6"/>
  </r>
  <r>
    <n v="10672"/>
    <x v="67"/>
    <n v="263.5"/>
    <n v="15"/>
    <n v="0.10000000149011612"/>
    <x v="25"/>
    <x v="314"/>
    <n v="3557.249994110316"/>
    <x v="6"/>
    <x v="0"/>
    <x v="67"/>
  </r>
  <r>
    <n v="10672"/>
    <x v="42"/>
    <n v="21.5"/>
    <n v="12"/>
    <n v="0"/>
    <x v="25"/>
    <x v="314"/>
    <n v="258"/>
    <x v="0"/>
    <x v="0"/>
    <x v="42"/>
  </r>
  <r>
    <n v="10673"/>
    <x v="19"/>
    <n v="17.45"/>
    <n v="3"/>
    <n v="0"/>
    <x v="83"/>
    <x v="315"/>
    <n v="52.349999999999994"/>
    <x v="5"/>
    <x v="0"/>
    <x v="19"/>
  </r>
  <r>
    <n v="10673"/>
    <x v="1"/>
    <n v="14"/>
    <n v="6"/>
    <n v="0"/>
    <x v="83"/>
    <x v="315"/>
    <n v="84"/>
    <x v="1"/>
    <x v="0"/>
    <x v="1"/>
  </r>
  <r>
    <n v="10673"/>
    <x v="40"/>
    <n v="46"/>
    <n v="6"/>
    <n v="0"/>
    <x v="83"/>
    <x v="315"/>
    <n v="276"/>
    <x v="6"/>
    <x v="0"/>
    <x v="40"/>
  </r>
  <r>
    <n v="10674"/>
    <x v="70"/>
    <n v="9"/>
    <n v="5"/>
    <n v="0"/>
    <x v="42"/>
    <x v="315"/>
    <n v="45"/>
    <x v="1"/>
    <x v="0"/>
    <x v="70"/>
  </r>
  <r>
    <n v="10675"/>
    <x v="3"/>
    <n v="23.25"/>
    <n v="30"/>
    <n v="0"/>
    <x v="17"/>
    <x v="316"/>
    <n v="697.5"/>
    <x v="2"/>
    <x v="0"/>
    <x v="3"/>
  </r>
  <r>
    <n v="10675"/>
    <x v="22"/>
    <n v="32.799999999999997"/>
    <n v="10"/>
    <n v="0"/>
    <x v="17"/>
    <x v="316"/>
    <n v="328"/>
    <x v="7"/>
    <x v="0"/>
    <x v="22"/>
  </r>
  <r>
    <n v="10675"/>
    <x v="64"/>
    <n v="13.25"/>
    <n v="30"/>
    <n v="0"/>
    <x v="17"/>
    <x v="316"/>
    <n v="397.5"/>
    <x v="3"/>
    <x v="0"/>
    <x v="64"/>
  </r>
  <r>
    <n v="10676"/>
    <x v="41"/>
    <n v="31"/>
    <n v="2"/>
    <n v="0"/>
    <x v="23"/>
    <x v="317"/>
    <n v="62"/>
    <x v="3"/>
    <x v="0"/>
    <x v="41"/>
  </r>
  <r>
    <n v="10676"/>
    <x v="49"/>
    <n v="9.1999999999999993"/>
    <n v="7"/>
    <n v="0"/>
    <x v="23"/>
    <x v="317"/>
    <n v="64.399999999999991"/>
    <x v="5"/>
    <x v="0"/>
    <x v="49"/>
  </r>
  <r>
    <n v="10676"/>
    <x v="45"/>
    <n v="19.45"/>
    <n v="21"/>
    <n v="0"/>
    <x v="23"/>
    <x v="317"/>
    <n v="408.45"/>
    <x v="4"/>
    <x v="0"/>
    <x v="45"/>
  </r>
  <r>
    <n v="10677"/>
    <x v="68"/>
    <n v="31.23"/>
    <n v="30"/>
    <n v="0.15000000596046448"/>
    <x v="59"/>
    <x v="317"/>
    <n v="796.36499441564081"/>
    <x v="5"/>
    <x v="0"/>
    <x v="68"/>
  </r>
  <r>
    <n v="10677"/>
    <x v="10"/>
    <n v="2.5"/>
    <n v="8"/>
    <n v="0.15000000596046448"/>
    <x v="59"/>
    <x v="317"/>
    <n v="16.99999988079071"/>
    <x v="0"/>
    <x v="0"/>
    <x v="10"/>
  </r>
  <r>
    <n v="10678"/>
    <x v="36"/>
    <n v="38"/>
    <n v="100"/>
    <n v="0"/>
    <x v="45"/>
    <x v="318"/>
    <n v="3800"/>
    <x v="0"/>
    <x v="0"/>
    <x v="36"/>
  </r>
  <r>
    <n v="10678"/>
    <x v="10"/>
    <n v="2.5"/>
    <n v="30"/>
    <n v="0"/>
    <x v="45"/>
    <x v="318"/>
    <n v="75"/>
    <x v="0"/>
    <x v="0"/>
    <x v="10"/>
  </r>
  <r>
    <n v="10678"/>
    <x v="5"/>
    <n v="9.65"/>
    <n v="120"/>
    <n v="0"/>
    <x v="45"/>
    <x v="318"/>
    <n v="1158"/>
    <x v="3"/>
    <x v="0"/>
    <x v="5"/>
  </r>
  <r>
    <n v="10678"/>
    <x v="55"/>
    <n v="7.45"/>
    <n v="30"/>
    <n v="0"/>
    <x v="45"/>
    <x v="318"/>
    <n v="223.5"/>
    <x v="7"/>
    <x v="0"/>
    <x v="55"/>
  </r>
  <r>
    <n v="10679"/>
    <x v="21"/>
    <n v="55"/>
    <n v="12"/>
    <n v="0"/>
    <x v="15"/>
    <x v="318"/>
    <n v="660"/>
    <x v="0"/>
    <x v="0"/>
    <x v="21"/>
  </r>
  <r>
    <n v="10680"/>
    <x v="19"/>
    <n v="17.45"/>
    <n v="50"/>
    <n v="0.25"/>
    <x v="37"/>
    <x v="319"/>
    <n v="654.375"/>
    <x v="5"/>
    <x v="0"/>
    <x v="19"/>
  </r>
  <r>
    <n v="10680"/>
    <x v="12"/>
    <n v="12.5"/>
    <n v="20"/>
    <n v="0.25"/>
    <x v="37"/>
    <x v="319"/>
    <n v="187.5"/>
    <x v="0"/>
    <x v="0"/>
    <x v="12"/>
  </r>
  <r>
    <n v="10680"/>
    <x v="1"/>
    <n v="14"/>
    <n v="40"/>
    <n v="0.25"/>
    <x v="37"/>
    <x v="319"/>
    <n v="420"/>
    <x v="1"/>
    <x v="0"/>
    <x v="1"/>
  </r>
  <r>
    <n v="10681"/>
    <x v="49"/>
    <n v="9.1999999999999993"/>
    <n v="30"/>
    <n v="0.10000000149011612"/>
    <x v="79"/>
    <x v="320"/>
    <n v="248.39999958872795"/>
    <x v="5"/>
    <x v="0"/>
    <x v="49"/>
  </r>
  <r>
    <n v="10681"/>
    <x v="27"/>
    <n v="10"/>
    <n v="12"/>
    <n v="0.10000000149011612"/>
    <x v="79"/>
    <x v="320"/>
    <n v="107.99999982118607"/>
    <x v="5"/>
    <x v="0"/>
    <x v="27"/>
  </r>
  <r>
    <n v="10681"/>
    <x v="58"/>
    <n v="33.25"/>
    <n v="28"/>
    <n v="0"/>
    <x v="79"/>
    <x v="320"/>
    <n v="931"/>
    <x v="1"/>
    <x v="0"/>
    <x v="58"/>
  </r>
  <r>
    <n v="10682"/>
    <x v="10"/>
    <n v="2.5"/>
    <n v="30"/>
    <n v="0"/>
    <x v="59"/>
    <x v="320"/>
    <n v="75"/>
    <x v="0"/>
    <x v="0"/>
    <x v="10"/>
  </r>
  <r>
    <n v="10682"/>
    <x v="61"/>
    <n v="17"/>
    <n v="4"/>
    <n v="0"/>
    <x v="59"/>
    <x v="320"/>
    <n v="68"/>
    <x v="4"/>
    <x v="0"/>
    <x v="61"/>
  </r>
  <r>
    <n v="10682"/>
    <x v="48"/>
    <n v="7.75"/>
    <n v="30"/>
    <n v="0"/>
    <x v="59"/>
    <x v="320"/>
    <n v="232.5"/>
    <x v="6"/>
    <x v="0"/>
    <x v="48"/>
  </r>
  <r>
    <n v="10683"/>
    <x v="65"/>
    <n v="7"/>
    <n v="9"/>
    <n v="0"/>
    <x v="41"/>
    <x v="321"/>
    <n v="63"/>
    <x v="1"/>
    <x v="0"/>
    <x v="65"/>
  </r>
  <r>
    <n v="10684"/>
    <x v="37"/>
    <n v="18.399999999999999"/>
    <n v="20"/>
    <n v="0"/>
    <x v="11"/>
    <x v="321"/>
    <n v="368"/>
    <x v="3"/>
    <x v="0"/>
    <x v="37"/>
  </r>
  <r>
    <n v="10684"/>
    <x v="69"/>
    <n v="9.5"/>
    <n v="40"/>
    <n v="0"/>
    <x v="11"/>
    <x v="321"/>
    <n v="380"/>
    <x v="5"/>
    <x v="0"/>
    <x v="69"/>
  </r>
  <r>
    <n v="10684"/>
    <x v="11"/>
    <n v="34"/>
    <n v="30"/>
    <n v="0"/>
    <x v="11"/>
    <x v="321"/>
    <n v="1020"/>
    <x v="0"/>
    <x v="0"/>
    <x v="11"/>
  </r>
  <r>
    <n v="10685"/>
    <x v="41"/>
    <n v="31"/>
    <n v="20"/>
    <n v="0"/>
    <x v="71"/>
    <x v="322"/>
    <n v="620"/>
    <x v="3"/>
    <x v="0"/>
    <x v="41"/>
  </r>
  <r>
    <n v="10685"/>
    <x v="5"/>
    <n v="9.65"/>
    <n v="4"/>
    <n v="0"/>
    <x v="71"/>
    <x v="322"/>
    <n v="38.6"/>
    <x v="3"/>
    <x v="0"/>
    <x v="5"/>
  </r>
  <r>
    <n v="10685"/>
    <x v="69"/>
    <n v="9.5"/>
    <n v="15"/>
    <n v="0"/>
    <x v="71"/>
    <x v="322"/>
    <n v="142.5"/>
    <x v="5"/>
    <x v="0"/>
    <x v="69"/>
  </r>
  <r>
    <n v="10686"/>
    <x v="35"/>
    <n v="39"/>
    <n v="30"/>
    <n v="0.20000000298023224"/>
    <x v="54"/>
    <x v="323"/>
    <n v="935.99999651312828"/>
    <x v="7"/>
    <x v="0"/>
    <x v="35"/>
  </r>
  <r>
    <n v="10686"/>
    <x v="68"/>
    <n v="31.23"/>
    <n v="15"/>
    <n v="0"/>
    <x v="54"/>
    <x v="323"/>
    <n v="468.45"/>
    <x v="5"/>
    <x v="0"/>
    <x v="68"/>
  </r>
  <r>
    <n v="10687"/>
    <x v="76"/>
    <n v="97"/>
    <n v="50"/>
    <n v="0.25"/>
    <x v="34"/>
    <x v="323"/>
    <n v="3637.5"/>
    <x v="7"/>
    <x v="0"/>
    <x v="76"/>
  </r>
  <r>
    <n v="10687"/>
    <x v="39"/>
    <n v="123.79"/>
    <n v="10"/>
    <n v="0"/>
    <x v="34"/>
    <x v="323"/>
    <n v="1237.9000000000001"/>
    <x v="7"/>
    <x v="0"/>
    <x v="39"/>
  </r>
  <r>
    <n v="10687"/>
    <x v="20"/>
    <n v="19"/>
    <n v="6"/>
    <n v="0.25"/>
    <x v="34"/>
    <x v="323"/>
    <n v="85.5"/>
    <x v="3"/>
    <x v="0"/>
    <x v="20"/>
  </r>
  <r>
    <n v="10688"/>
    <x v="41"/>
    <n v="31"/>
    <n v="18"/>
    <n v="0.10000000149011612"/>
    <x v="61"/>
    <x v="324"/>
    <n v="502.19999916851521"/>
    <x v="3"/>
    <x v="1"/>
    <x v="41"/>
  </r>
  <r>
    <n v="10688"/>
    <x v="44"/>
    <n v="45.6"/>
    <n v="60"/>
    <n v="0.10000000149011612"/>
    <x v="61"/>
    <x v="324"/>
    <n v="2462.3999959230423"/>
    <x v="2"/>
    <x v="1"/>
    <x v="44"/>
  </r>
  <r>
    <n v="10688"/>
    <x v="53"/>
    <n v="14"/>
    <n v="14"/>
    <n v="0"/>
    <x v="61"/>
    <x v="324"/>
    <n v="196"/>
    <x v="6"/>
    <x v="1"/>
    <x v="53"/>
  </r>
  <r>
    <n v="10689"/>
    <x v="52"/>
    <n v="18"/>
    <n v="35"/>
    <n v="0.25"/>
    <x v="25"/>
    <x v="324"/>
    <n v="472.5"/>
    <x v="6"/>
    <x v="1"/>
    <x v="52"/>
  </r>
  <r>
    <n v="10690"/>
    <x v="33"/>
    <n v="38"/>
    <n v="20"/>
    <n v="0.25"/>
    <x v="2"/>
    <x v="325"/>
    <n v="570"/>
    <x v="1"/>
    <x v="1"/>
    <x v="33"/>
  </r>
  <r>
    <n v="10690"/>
    <x v="23"/>
    <n v="13"/>
    <n v="30"/>
    <n v="0.25"/>
    <x v="2"/>
    <x v="325"/>
    <n v="292.5"/>
    <x v="4"/>
    <x v="1"/>
    <x v="23"/>
  </r>
  <r>
    <n v="10691"/>
    <x v="52"/>
    <n v="18"/>
    <n v="30"/>
    <n v="0"/>
    <x v="21"/>
    <x v="326"/>
    <n v="540"/>
    <x v="6"/>
    <x v="1"/>
    <x v="52"/>
  </r>
  <r>
    <n v="10691"/>
    <x v="39"/>
    <n v="123.79"/>
    <n v="40"/>
    <n v="0"/>
    <x v="21"/>
    <x v="326"/>
    <n v="4951.6000000000004"/>
    <x v="7"/>
    <x v="1"/>
    <x v="39"/>
  </r>
  <r>
    <n v="10691"/>
    <x v="40"/>
    <n v="46"/>
    <n v="40"/>
    <n v="0"/>
    <x v="21"/>
    <x v="326"/>
    <n v="1840"/>
    <x v="6"/>
    <x v="1"/>
    <x v="40"/>
  </r>
  <r>
    <n v="10691"/>
    <x v="45"/>
    <n v="19.45"/>
    <n v="24"/>
    <n v="0"/>
    <x v="21"/>
    <x v="326"/>
    <n v="466.79999999999995"/>
    <x v="4"/>
    <x v="1"/>
    <x v="45"/>
  </r>
  <r>
    <n v="10691"/>
    <x v="29"/>
    <n v="49.3"/>
    <n v="48"/>
    <n v="0"/>
    <x v="21"/>
    <x v="326"/>
    <n v="2366.3999999999996"/>
    <x v="5"/>
    <x v="1"/>
    <x v="29"/>
  </r>
  <r>
    <n v="10692"/>
    <x v="46"/>
    <n v="43.9"/>
    <n v="20"/>
    <n v="0"/>
    <x v="85"/>
    <x v="326"/>
    <n v="878"/>
    <x v="4"/>
    <x v="1"/>
    <x v="46"/>
  </r>
  <r>
    <n v="10693"/>
    <x v="76"/>
    <n v="97"/>
    <n v="6"/>
    <n v="0"/>
    <x v="19"/>
    <x v="327"/>
    <n v="582"/>
    <x v="7"/>
    <x v="1"/>
    <x v="76"/>
  </r>
  <r>
    <n v="10693"/>
    <x v="55"/>
    <n v="7.45"/>
    <n v="60"/>
    <n v="0.15000000596046448"/>
    <x v="19"/>
    <x v="327"/>
    <n v="379.94999733567238"/>
    <x v="7"/>
    <x v="1"/>
    <x v="55"/>
  </r>
  <r>
    <n v="10693"/>
    <x v="60"/>
    <n v="36"/>
    <n v="30"/>
    <n v="0.15000000596046448"/>
    <x v="19"/>
    <x v="327"/>
    <n v="917.99999356269836"/>
    <x v="0"/>
    <x v="1"/>
    <x v="60"/>
  </r>
  <r>
    <n v="10693"/>
    <x v="47"/>
    <n v="15"/>
    <n v="15"/>
    <n v="0.15000000596046448"/>
    <x v="19"/>
    <x v="327"/>
    <n v="191.24999865889549"/>
    <x v="3"/>
    <x v="1"/>
    <x v="47"/>
  </r>
  <r>
    <n v="10694"/>
    <x v="32"/>
    <n v="30"/>
    <n v="90"/>
    <n v="0"/>
    <x v="21"/>
    <x v="327"/>
    <n v="2700"/>
    <x v="2"/>
    <x v="1"/>
    <x v="32"/>
  </r>
  <r>
    <n v="10694"/>
    <x v="21"/>
    <n v="55"/>
    <n v="25"/>
    <n v="0"/>
    <x v="21"/>
    <x v="327"/>
    <n v="1375"/>
    <x v="0"/>
    <x v="1"/>
    <x v="21"/>
  </r>
  <r>
    <n v="10694"/>
    <x v="30"/>
    <n v="15"/>
    <n v="50"/>
    <n v="0"/>
    <x v="21"/>
    <x v="327"/>
    <n v="750"/>
    <x v="6"/>
    <x v="1"/>
    <x v="30"/>
  </r>
  <r>
    <n v="10695"/>
    <x v="71"/>
    <n v="40"/>
    <n v="10"/>
    <n v="0"/>
    <x v="83"/>
    <x v="328"/>
    <n v="400"/>
    <x v="4"/>
    <x v="1"/>
    <x v="71"/>
  </r>
  <r>
    <n v="10695"/>
    <x v="36"/>
    <n v="38"/>
    <n v="4"/>
    <n v="0"/>
    <x v="83"/>
    <x v="328"/>
    <n v="152"/>
    <x v="0"/>
    <x v="1"/>
    <x v="36"/>
  </r>
  <r>
    <n v="10695"/>
    <x v="15"/>
    <n v="4.5"/>
    <n v="20"/>
    <n v="0"/>
    <x v="83"/>
    <x v="328"/>
    <n v="90"/>
    <x v="6"/>
    <x v="1"/>
    <x v="15"/>
  </r>
  <r>
    <n v="10696"/>
    <x v="35"/>
    <n v="39"/>
    <n v="20"/>
    <n v="0"/>
    <x v="19"/>
    <x v="329"/>
    <n v="780"/>
    <x v="7"/>
    <x v="1"/>
    <x v="35"/>
  </r>
  <r>
    <n v="10696"/>
    <x v="54"/>
    <n v="12"/>
    <n v="18"/>
    <n v="0"/>
    <x v="19"/>
    <x v="329"/>
    <n v="216"/>
    <x v="3"/>
    <x v="1"/>
    <x v="54"/>
  </r>
  <r>
    <n v="10697"/>
    <x v="49"/>
    <n v="9.1999999999999993"/>
    <n v="7"/>
    <n v="0.25"/>
    <x v="67"/>
    <x v="329"/>
    <n v="48.3"/>
    <x v="5"/>
    <x v="1"/>
    <x v="49"/>
  </r>
  <r>
    <n v="10697"/>
    <x v="31"/>
    <n v="18"/>
    <n v="9"/>
    <n v="0.25"/>
    <x v="67"/>
    <x v="329"/>
    <n v="121.5"/>
    <x v="6"/>
    <x v="1"/>
    <x v="31"/>
  </r>
  <r>
    <n v="10697"/>
    <x v="64"/>
    <n v="13.25"/>
    <n v="30"/>
    <n v="0.25"/>
    <x v="67"/>
    <x v="329"/>
    <n v="298.125"/>
    <x v="3"/>
    <x v="1"/>
    <x v="64"/>
  </r>
  <r>
    <n v="10697"/>
    <x v="30"/>
    <n v="15"/>
    <n v="30"/>
    <n v="0.25"/>
    <x v="67"/>
    <x v="329"/>
    <n v="337.5"/>
    <x v="6"/>
    <x v="1"/>
    <x v="30"/>
  </r>
  <r>
    <n v="10698"/>
    <x v="0"/>
    <n v="21"/>
    <n v="15"/>
    <n v="0"/>
    <x v="9"/>
    <x v="330"/>
    <n v="315"/>
    <x v="0"/>
    <x v="1"/>
    <x v="0"/>
  </r>
  <r>
    <n v="10698"/>
    <x v="35"/>
    <n v="39"/>
    <n v="8"/>
    <n v="5.000000074505806E-2"/>
    <x v="9"/>
    <x v="330"/>
    <n v="296.39999976754189"/>
    <x v="7"/>
    <x v="1"/>
    <x v="35"/>
  </r>
  <r>
    <n v="10698"/>
    <x v="39"/>
    <n v="123.79"/>
    <n v="12"/>
    <n v="5.000000074505806E-2"/>
    <x v="9"/>
    <x v="330"/>
    <n v="1411.2059988932313"/>
    <x v="7"/>
    <x v="1"/>
    <x v="39"/>
  </r>
  <r>
    <n v="10698"/>
    <x v="6"/>
    <n v="21.05"/>
    <n v="65"/>
    <n v="5.000000074505806E-2"/>
    <x v="9"/>
    <x v="330"/>
    <n v="1299.8374989805743"/>
    <x v="4"/>
    <x v="1"/>
    <x v="6"/>
  </r>
  <r>
    <n v="10698"/>
    <x v="30"/>
    <n v="15"/>
    <n v="8"/>
    <n v="5.000000074505806E-2"/>
    <x v="9"/>
    <x v="330"/>
    <n v="113.99999991059303"/>
    <x v="6"/>
    <x v="1"/>
    <x v="30"/>
  </r>
  <r>
    <n v="10699"/>
    <x v="69"/>
    <n v="9.5"/>
    <n v="12"/>
    <n v="0"/>
    <x v="24"/>
    <x v="330"/>
    <n v="114"/>
    <x v="5"/>
    <x v="1"/>
    <x v="69"/>
  </r>
  <r>
    <n v="10700"/>
    <x v="52"/>
    <n v="18"/>
    <n v="5"/>
    <n v="0.20000000298023224"/>
    <x v="45"/>
    <x v="331"/>
    <n v="71.999999731779099"/>
    <x v="6"/>
    <x v="1"/>
    <x v="52"/>
  </r>
  <r>
    <n v="10700"/>
    <x v="53"/>
    <n v="14"/>
    <n v="12"/>
    <n v="0.20000000298023224"/>
    <x v="45"/>
    <x v="331"/>
    <n v="134.39999949932098"/>
    <x v="6"/>
    <x v="1"/>
    <x v="53"/>
  </r>
  <r>
    <n v="10700"/>
    <x v="56"/>
    <n v="12.5"/>
    <n v="40"/>
    <n v="0.20000000298023224"/>
    <x v="45"/>
    <x v="331"/>
    <n v="399.99999850988388"/>
    <x v="5"/>
    <x v="1"/>
    <x v="56"/>
  </r>
  <r>
    <n v="10700"/>
    <x v="42"/>
    <n v="21.5"/>
    <n v="60"/>
    <n v="0.20000000298023224"/>
    <x v="45"/>
    <x v="331"/>
    <n v="1031.9999961555004"/>
    <x v="0"/>
    <x v="1"/>
    <x v="42"/>
  </r>
  <r>
    <n v="10701"/>
    <x v="21"/>
    <n v="55"/>
    <n v="42"/>
    <n v="0.15000000596046448"/>
    <x v="34"/>
    <x v="332"/>
    <n v="1963.4999862313271"/>
    <x v="0"/>
    <x v="1"/>
    <x v="21"/>
  </r>
  <r>
    <n v="10701"/>
    <x v="42"/>
    <n v="21.5"/>
    <n v="20"/>
    <n v="0.15000000596046448"/>
    <x v="34"/>
    <x v="332"/>
    <n v="365.49999743700027"/>
    <x v="0"/>
    <x v="1"/>
    <x v="42"/>
  </r>
  <r>
    <n v="10701"/>
    <x v="38"/>
    <n v="18"/>
    <n v="35"/>
    <n v="0.15000000596046448"/>
    <x v="34"/>
    <x v="332"/>
    <n v="535.49999624490738"/>
    <x v="6"/>
    <x v="1"/>
    <x v="38"/>
  </r>
  <r>
    <n v="10702"/>
    <x v="57"/>
    <n v="10"/>
    <n v="6"/>
    <n v="0"/>
    <x v="85"/>
    <x v="332"/>
    <n v="60"/>
    <x v="4"/>
    <x v="1"/>
    <x v="57"/>
  </r>
  <r>
    <n v="10702"/>
    <x v="38"/>
    <n v="18"/>
    <n v="15"/>
    <n v="0"/>
    <x v="85"/>
    <x v="332"/>
    <n v="270"/>
    <x v="6"/>
    <x v="1"/>
    <x v="38"/>
  </r>
  <r>
    <n v="10703"/>
    <x v="18"/>
    <n v="19"/>
    <n v="5"/>
    <n v="0"/>
    <x v="14"/>
    <x v="333"/>
    <n v="95"/>
    <x v="6"/>
    <x v="1"/>
    <x v="18"/>
  </r>
  <r>
    <n v="10703"/>
    <x v="21"/>
    <n v="55"/>
    <n v="35"/>
    <n v="0"/>
    <x v="14"/>
    <x v="333"/>
    <n v="1925"/>
    <x v="0"/>
    <x v="1"/>
    <x v="21"/>
  </r>
  <r>
    <n v="10703"/>
    <x v="47"/>
    <n v="15"/>
    <n v="35"/>
    <n v="0"/>
    <x v="14"/>
    <x v="333"/>
    <n v="525"/>
    <x v="3"/>
    <x v="1"/>
    <x v="47"/>
  </r>
  <r>
    <n v="10704"/>
    <x v="62"/>
    <n v="22"/>
    <n v="6"/>
    <n v="0"/>
    <x v="62"/>
    <x v="333"/>
    <n v="132"/>
    <x v="4"/>
    <x v="1"/>
    <x v="62"/>
  </r>
  <r>
    <n v="10704"/>
    <x v="15"/>
    <n v="4.5"/>
    <n v="35"/>
    <n v="0"/>
    <x v="62"/>
    <x v="333"/>
    <n v="157.5"/>
    <x v="6"/>
    <x v="1"/>
    <x v="15"/>
  </r>
  <r>
    <n v="10704"/>
    <x v="74"/>
    <n v="12.75"/>
    <n v="24"/>
    <n v="0"/>
    <x v="62"/>
    <x v="333"/>
    <n v="306"/>
    <x v="5"/>
    <x v="1"/>
    <x v="74"/>
  </r>
  <r>
    <n v="10705"/>
    <x v="12"/>
    <n v="12.5"/>
    <n v="20"/>
    <n v="0"/>
    <x v="8"/>
    <x v="334"/>
    <n v="250"/>
    <x v="0"/>
    <x v="1"/>
    <x v="12"/>
  </r>
  <r>
    <n v="10705"/>
    <x v="26"/>
    <n v="32"/>
    <n v="4"/>
    <n v="0"/>
    <x v="8"/>
    <x v="334"/>
    <n v="128"/>
    <x v="0"/>
    <x v="1"/>
    <x v="26"/>
  </r>
  <r>
    <n v="10706"/>
    <x v="19"/>
    <n v="17.45"/>
    <n v="20"/>
    <n v="0"/>
    <x v="37"/>
    <x v="335"/>
    <n v="349"/>
    <x v="5"/>
    <x v="1"/>
    <x v="19"/>
  </r>
  <r>
    <n v="10706"/>
    <x v="40"/>
    <n v="46"/>
    <n v="24"/>
    <n v="0"/>
    <x v="37"/>
    <x v="335"/>
    <n v="1104"/>
    <x v="6"/>
    <x v="1"/>
    <x v="40"/>
  </r>
  <r>
    <n v="10706"/>
    <x v="21"/>
    <n v="55"/>
    <n v="8"/>
    <n v="0"/>
    <x v="37"/>
    <x v="335"/>
    <n v="440"/>
    <x v="0"/>
    <x v="1"/>
    <x v="21"/>
  </r>
  <r>
    <n v="10707"/>
    <x v="16"/>
    <n v="24"/>
    <n v="21"/>
    <n v="0"/>
    <x v="55"/>
    <x v="335"/>
    <n v="504"/>
    <x v="7"/>
    <x v="1"/>
    <x v="16"/>
  </r>
  <r>
    <n v="10707"/>
    <x v="8"/>
    <n v="19.5"/>
    <n v="40"/>
    <n v="0"/>
    <x v="55"/>
    <x v="335"/>
    <n v="780"/>
    <x v="1"/>
    <x v="1"/>
    <x v="8"/>
  </r>
  <r>
    <n v="10707"/>
    <x v="30"/>
    <n v="15"/>
    <n v="28"/>
    <n v="0.15000000596046448"/>
    <x v="55"/>
    <x v="335"/>
    <n v="356.99999749660492"/>
    <x v="6"/>
    <x v="1"/>
    <x v="30"/>
  </r>
  <r>
    <n v="10708"/>
    <x v="25"/>
    <n v="21.35"/>
    <n v="4"/>
    <n v="0"/>
    <x v="40"/>
    <x v="336"/>
    <n v="85.4"/>
    <x v="4"/>
    <x v="1"/>
    <x v="25"/>
  </r>
  <r>
    <n v="10708"/>
    <x v="20"/>
    <n v="19"/>
    <n v="5"/>
    <n v="0"/>
    <x v="40"/>
    <x v="336"/>
    <n v="95"/>
    <x v="3"/>
    <x v="1"/>
    <x v="20"/>
  </r>
  <r>
    <n v="10709"/>
    <x v="71"/>
    <n v="40"/>
    <n v="40"/>
    <n v="0"/>
    <x v="71"/>
    <x v="336"/>
    <n v="1600"/>
    <x v="4"/>
    <x v="1"/>
    <x v="71"/>
  </r>
  <r>
    <n v="10709"/>
    <x v="4"/>
    <n v="53"/>
    <n v="28"/>
    <n v="0"/>
    <x v="71"/>
    <x v="336"/>
    <n v="1484"/>
    <x v="2"/>
    <x v="1"/>
    <x v="4"/>
  </r>
  <r>
    <n v="10709"/>
    <x v="11"/>
    <n v="34"/>
    <n v="10"/>
    <n v="0"/>
    <x v="71"/>
    <x v="336"/>
    <n v="340"/>
    <x v="0"/>
    <x v="1"/>
    <x v="11"/>
  </r>
  <r>
    <n v="10710"/>
    <x v="49"/>
    <n v="9.1999999999999993"/>
    <n v="5"/>
    <n v="0"/>
    <x v="70"/>
    <x v="337"/>
    <n v="46"/>
    <x v="5"/>
    <x v="1"/>
    <x v="49"/>
  </r>
  <r>
    <n v="10710"/>
    <x v="69"/>
    <n v="9.5"/>
    <n v="5"/>
    <n v="0"/>
    <x v="70"/>
    <x v="337"/>
    <n v="47.5"/>
    <x v="5"/>
    <x v="1"/>
    <x v="69"/>
  </r>
  <r>
    <n v="10711"/>
    <x v="49"/>
    <n v="9.1999999999999993"/>
    <n v="12"/>
    <n v="0"/>
    <x v="45"/>
    <x v="338"/>
    <n v="110.39999999999999"/>
    <x v="5"/>
    <x v="1"/>
    <x v="49"/>
  </r>
  <r>
    <n v="10711"/>
    <x v="5"/>
    <n v="9.65"/>
    <n v="42"/>
    <n v="0"/>
    <x v="45"/>
    <x v="338"/>
    <n v="405.3"/>
    <x v="3"/>
    <x v="1"/>
    <x v="5"/>
  </r>
  <r>
    <n v="10711"/>
    <x v="22"/>
    <n v="32.799999999999997"/>
    <n v="120"/>
    <n v="0"/>
    <x v="45"/>
    <x v="338"/>
    <n v="3935.9999999999995"/>
    <x v="7"/>
    <x v="1"/>
    <x v="22"/>
  </r>
  <r>
    <n v="10712"/>
    <x v="22"/>
    <n v="32.799999999999997"/>
    <n v="3"/>
    <n v="5.000000074505806E-2"/>
    <x v="34"/>
    <x v="338"/>
    <n v="93.479999926686276"/>
    <x v="7"/>
    <x v="1"/>
    <x v="22"/>
  </r>
  <r>
    <n v="10712"/>
    <x v="33"/>
    <n v="38"/>
    <n v="30"/>
    <n v="0"/>
    <x v="34"/>
    <x v="338"/>
    <n v="1140"/>
    <x v="1"/>
    <x v="1"/>
    <x v="33"/>
  </r>
  <r>
    <n v="10713"/>
    <x v="41"/>
    <n v="31"/>
    <n v="18"/>
    <n v="0"/>
    <x v="45"/>
    <x v="339"/>
    <n v="558"/>
    <x v="3"/>
    <x v="1"/>
    <x v="41"/>
  </r>
  <r>
    <n v="10713"/>
    <x v="68"/>
    <n v="31.23"/>
    <n v="30"/>
    <n v="0"/>
    <x v="45"/>
    <x v="339"/>
    <n v="936.9"/>
    <x v="5"/>
    <x v="1"/>
    <x v="68"/>
  </r>
  <r>
    <n v="10713"/>
    <x v="73"/>
    <n v="9.5"/>
    <n v="110"/>
    <n v="0"/>
    <x v="45"/>
    <x v="339"/>
    <n v="1045"/>
    <x v="3"/>
    <x v="1"/>
    <x v="73"/>
  </r>
  <r>
    <n v="10713"/>
    <x v="54"/>
    <n v="12"/>
    <n v="24"/>
    <n v="0"/>
    <x v="45"/>
    <x v="339"/>
    <n v="288"/>
    <x v="3"/>
    <x v="1"/>
    <x v="54"/>
  </r>
  <r>
    <n v="10714"/>
    <x v="18"/>
    <n v="19"/>
    <n v="30"/>
    <n v="0.25"/>
    <x v="45"/>
    <x v="339"/>
    <n v="427.5"/>
    <x v="6"/>
    <x v="1"/>
    <x v="18"/>
  </r>
  <r>
    <n v="10714"/>
    <x v="35"/>
    <n v="39"/>
    <n v="27"/>
    <n v="0.25"/>
    <x v="45"/>
    <x v="339"/>
    <n v="789.75"/>
    <x v="7"/>
    <x v="1"/>
    <x v="35"/>
  </r>
  <r>
    <n v="10714"/>
    <x v="69"/>
    <n v="9.5"/>
    <n v="50"/>
    <n v="0.25"/>
    <x v="45"/>
    <x v="339"/>
    <n v="356.25"/>
    <x v="5"/>
    <x v="1"/>
    <x v="69"/>
  </r>
  <r>
    <n v="10714"/>
    <x v="33"/>
    <n v="38"/>
    <n v="18"/>
    <n v="0.25"/>
    <x v="45"/>
    <x v="339"/>
    <n v="513"/>
    <x v="1"/>
    <x v="1"/>
    <x v="33"/>
  </r>
  <r>
    <n v="10714"/>
    <x v="64"/>
    <n v="13.25"/>
    <n v="12"/>
    <n v="0.25"/>
    <x v="45"/>
    <x v="339"/>
    <n v="119.25"/>
    <x v="3"/>
    <x v="1"/>
    <x v="64"/>
  </r>
  <r>
    <n v="10715"/>
    <x v="41"/>
    <n v="31"/>
    <n v="21"/>
    <n v="0"/>
    <x v="48"/>
    <x v="340"/>
    <n v="651"/>
    <x v="3"/>
    <x v="1"/>
    <x v="41"/>
  </r>
  <r>
    <n v="10715"/>
    <x v="42"/>
    <n v="21.5"/>
    <n v="30"/>
    <n v="0"/>
    <x v="48"/>
    <x v="340"/>
    <n v="645"/>
    <x v="0"/>
    <x v="1"/>
    <x v="42"/>
  </r>
  <r>
    <n v="10716"/>
    <x v="27"/>
    <n v="10"/>
    <n v="5"/>
    <n v="0"/>
    <x v="73"/>
    <x v="341"/>
    <n v="50"/>
    <x v="5"/>
    <x v="1"/>
    <x v="27"/>
  </r>
  <r>
    <n v="10716"/>
    <x v="4"/>
    <n v="53"/>
    <n v="7"/>
    <n v="0"/>
    <x v="73"/>
    <x v="341"/>
    <n v="371"/>
    <x v="2"/>
    <x v="1"/>
    <x v="4"/>
  </r>
  <r>
    <n v="10716"/>
    <x v="75"/>
    <n v="28.5"/>
    <n v="10"/>
    <n v="0"/>
    <x v="73"/>
    <x v="341"/>
    <n v="285"/>
    <x v="4"/>
    <x v="1"/>
    <x v="75"/>
  </r>
  <r>
    <n v="10717"/>
    <x v="27"/>
    <n v="10"/>
    <n v="32"/>
    <n v="5.000000074505806E-2"/>
    <x v="17"/>
    <x v="341"/>
    <n v="303.99999976158142"/>
    <x v="5"/>
    <x v="1"/>
    <x v="27"/>
  </r>
  <r>
    <n v="10717"/>
    <x v="55"/>
    <n v="7.45"/>
    <n v="15"/>
    <n v="0"/>
    <x v="17"/>
    <x v="341"/>
    <n v="111.75"/>
    <x v="7"/>
    <x v="1"/>
    <x v="55"/>
  </r>
  <r>
    <n v="10717"/>
    <x v="60"/>
    <n v="36"/>
    <n v="25"/>
    <n v="5.000000074505806E-2"/>
    <x v="17"/>
    <x v="341"/>
    <n v="854.99999932944775"/>
    <x v="0"/>
    <x v="1"/>
    <x v="60"/>
  </r>
  <r>
    <n v="10718"/>
    <x v="36"/>
    <n v="38"/>
    <n v="36"/>
    <n v="0"/>
    <x v="44"/>
    <x v="342"/>
    <n v="1368"/>
    <x v="0"/>
    <x v="1"/>
    <x v="36"/>
  </r>
  <r>
    <n v="10718"/>
    <x v="19"/>
    <n v="17.45"/>
    <n v="20"/>
    <n v="0"/>
    <x v="44"/>
    <x v="342"/>
    <n v="349"/>
    <x v="5"/>
    <x v="1"/>
    <x v="19"/>
  </r>
  <r>
    <n v="10718"/>
    <x v="20"/>
    <n v="19"/>
    <n v="40"/>
    <n v="0"/>
    <x v="44"/>
    <x v="342"/>
    <n v="760"/>
    <x v="3"/>
    <x v="1"/>
    <x v="20"/>
  </r>
  <r>
    <n v="10718"/>
    <x v="29"/>
    <n v="49.3"/>
    <n v="20"/>
    <n v="0"/>
    <x v="44"/>
    <x v="342"/>
    <n v="986"/>
    <x v="5"/>
    <x v="1"/>
    <x v="29"/>
  </r>
  <r>
    <n v="10719"/>
    <x v="59"/>
    <n v="62.5"/>
    <n v="12"/>
    <n v="0.25"/>
    <x v="82"/>
    <x v="342"/>
    <n v="562.5"/>
    <x v="3"/>
    <x v="1"/>
    <x v="59"/>
  </r>
  <r>
    <n v="10719"/>
    <x v="34"/>
    <n v="25.89"/>
    <n v="3"/>
    <n v="0.25"/>
    <x v="82"/>
    <x v="342"/>
    <n v="58.252499999999998"/>
    <x v="3"/>
    <x v="1"/>
    <x v="34"/>
  </r>
  <r>
    <n v="10719"/>
    <x v="55"/>
    <n v="7.45"/>
    <n v="40"/>
    <n v="0.25"/>
    <x v="82"/>
    <x v="342"/>
    <n v="223.5"/>
    <x v="7"/>
    <x v="1"/>
    <x v="55"/>
  </r>
  <r>
    <n v="10720"/>
    <x v="31"/>
    <n v="18"/>
    <n v="21"/>
    <n v="0"/>
    <x v="12"/>
    <x v="343"/>
    <n v="378"/>
    <x v="6"/>
    <x v="1"/>
    <x v="31"/>
  </r>
  <r>
    <n v="10720"/>
    <x v="42"/>
    <n v="21.5"/>
    <n v="8"/>
    <n v="0"/>
    <x v="12"/>
    <x v="343"/>
    <n v="172"/>
    <x v="0"/>
    <x v="1"/>
    <x v="42"/>
  </r>
  <r>
    <n v="10721"/>
    <x v="45"/>
    <n v="19.45"/>
    <n v="50"/>
    <n v="5.000000074505806E-2"/>
    <x v="21"/>
    <x v="344"/>
    <n v="923.87499927543104"/>
    <x v="4"/>
    <x v="1"/>
    <x v="45"/>
  </r>
  <r>
    <n v="10722"/>
    <x v="18"/>
    <n v="19"/>
    <n v="3"/>
    <n v="0"/>
    <x v="45"/>
    <x v="344"/>
    <n v="57"/>
    <x v="6"/>
    <x v="1"/>
    <x v="18"/>
  </r>
  <r>
    <n v="10722"/>
    <x v="12"/>
    <n v="12.5"/>
    <n v="50"/>
    <n v="0"/>
    <x v="45"/>
    <x v="344"/>
    <n v="625"/>
    <x v="0"/>
    <x v="1"/>
    <x v="12"/>
  </r>
  <r>
    <n v="10722"/>
    <x v="56"/>
    <n v="12.5"/>
    <n v="45"/>
    <n v="0"/>
    <x v="45"/>
    <x v="344"/>
    <n v="562.5"/>
    <x v="5"/>
    <x v="1"/>
    <x v="56"/>
  </r>
  <r>
    <n v="10722"/>
    <x v="48"/>
    <n v="7.75"/>
    <n v="42"/>
    <n v="0"/>
    <x v="45"/>
    <x v="344"/>
    <n v="325.5"/>
    <x v="6"/>
    <x v="1"/>
    <x v="48"/>
  </r>
  <r>
    <n v="10723"/>
    <x v="68"/>
    <n v="31.23"/>
    <n v="15"/>
    <n v="0"/>
    <x v="19"/>
    <x v="345"/>
    <n v="468.45"/>
    <x v="5"/>
    <x v="1"/>
    <x v="68"/>
  </r>
  <r>
    <n v="10724"/>
    <x v="41"/>
    <n v="31"/>
    <n v="16"/>
    <n v="0"/>
    <x v="49"/>
    <x v="345"/>
    <n v="496"/>
    <x v="3"/>
    <x v="1"/>
    <x v="41"/>
  </r>
  <r>
    <n v="10724"/>
    <x v="75"/>
    <n v="28.5"/>
    <n v="5"/>
    <n v="0"/>
    <x v="49"/>
    <x v="345"/>
    <n v="142.5"/>
    <x v="4"/>
    <x v="1"/>
    <x v="75"/>
  </r>
  <r>
    <n v="10725"/>
    <x v="5"/>
    <n v="9.65"/>
    <n v="12"/>
    <n v="0"/>
    <x v="52"/>
    <x v="346"/>
    <n v="115.80000000000001"/>
    <x v="3"/>
    <x v="1"/>
    <x v="5"/>
  </r>
  <r>
    <n v="10725"/>
    <x v="65"/>
    <n v="7"/>
    <n v="4"/>
    <n v="0"/>
    <x v="52"/>
    <x v="346"/>
    <n v="28"/>
    <x v="1"/>
    <x v="1"/>
    <x v="65"/>
  </r>
  <r>
    <n v="10725"/>
    <x v="16"/>
    <n v="24"/>
    <n v="6"/>
    <n v="0"/>
    <x v="52"/>
    <x v="346"/>
    <n v="144"/>
    <x v="7"/>
    <x v="1"/>
    <x v="16"/>
  </r>
  <r>
    <n v="10726"/>
    <x v="62"/>
    <n v="22"/>
    <n v="25"/>
    <n v="0"/>
    <x v="58"/>
    <x v="347"/>
    <n v="550"/>
    <x v="4"/>
    <x v="1"/>
    <x v="62"/>
  </r>
  <r>
    <n v="10726"/>
    <x v="0"/>
    <n v="21"/>
    <n v="5"/>
    <n v="0"/>
    <x v="58"/>
    <x v="347"/>
    <n v="105"/>
    <x v="0"/>
    <x v="1"/>
    <x v="0"/>
  </r>
  <r>
    <n v="10727"/>
    <x v="35"/>
    <n v="39"/>
    <n v="20"/>
    <n v="5.000000074505806E-2"/>
    <x v="30"/>
    <x v="347"/>
    <n v="740.99999941885471"/>
    <x v="7"/>
    <x v="1"/>
    <x v="35"/>
  </r>
  <r>
    <n v="10727"/>
    <x v="33"/>
    <n v="38"/>
    <n v="10"/>
    <n v="5.000000074505806E-2"/>
    <x v="30"/>
    <x v="347"/>
    <n v="360.99999971687794"/>
    <x v="1"/>
    <x v="1"/>
    <x v="33"/>
  </r>
  <r>
    <n v="10727"/>
    <x v="21"/>
    <n v="55"/>
    <n v="10"/>
    <n v="5.000000074505806E-2"/>
    <x v="30"/>
    <x v="347"/>
    <n v="522.49999959021807"/>
    <x v="0"/>
    <x v="1"/>
    <x v="21"/>
  </r>
  <r>
    <n v="10728"/>
    <x v="34"/>
    <n v="25.89"/>
    <n v="15"/>
    <n v="0"/>
    <x v="62"/>
    <x v="348"/>
    <n v="388.35"/>
    <x v="3"/>
    <x v="1"/>
    <x v="34"/>
  </r>
  <r>
    <n v="10728"/>
    <x v="37"/>
    <n v="18.399999999999999"/>
    <n v="6"/>
    <n v="0"/>
    <x v="62"/>
    <x v="348"/>
    <n v="110.39999999999999"/>
    <x v="3"/>
    <x v="1"/>
    <x v="37"/>
  </r>
  <r>
    <n v="10728"/>
    <x v="16"/>
    <n v="24"/>
    <n v="12"/>
    <n v="0"/>
    <x v="62"/>
    <x v="348"/>
    <n v="288"/>
    <x v="7"/>
    <x v="1"/>
    <x v="16"/>
  </r>
  <r>
    <n v="10728"/>
    <x v="11"/>
    <n v="34"/>
    <n v="15"/>
    <n v="0"/>
    <x v="62"/>
    <x v="348"/>
    <n v="510"/>
    <x v="0"/>
    <x v="1"/>
    <x v="11"/>
  </r>
  <r>
    <n v="10729"/>
    <x v="52"/>
    <n v="18"/>
    <n v="50"/>
    <n v="0"/>
    <x v="67"/>
    <x v="348"/>
    <n v="900"/>
    <x v="6"/>
    <x v="1"/>
    <x v="52"/>
  </r>
  <r>
    <n v="10729"/>
    <x v="27"/>
    <n v="10"/>
    <n v="30"/>
    <n v="0"/>
    <x v="67"/>
    <x v="348"/>
    <n v="300"/>
    <x v="5"/>
    <x v="1"/>
    <x v="27"/>
  </r>
  <r>
    <n v="10729"/>
    <x v="72"/>
    <n v="16.25"/>
    <n v="40"/>
    <n v="0"/>
    <x v="67"/>
    <x v="348"/>
    <n v="650"/>
    <x v="5"/>
    <x v="1"/>
    <x v="72"/>
  </r>
  <r>
    <n v="10730"/>
    <x v="19"/>
    <n v="17.45"/>
    <n v="15"/>
    <n v="5.000000074505806E-2"/>
    <x v="48"/>
    <x v="349"/>
    <n v="248.66249980498105"/>
    <x v="5"/>
    <x v="1"/>
    <x v="19"/>
  </r>
  <r>
    <n v="10730"/>
    <x v="12"/>
    <n v="12.5"/>
    <n v="3"/>
    <n v="5.000000074505806E-2"/>
    <x v="48"/>
    <x v="349"/>
    <n v="35.624999972060323"/>
    <x v="0"/>
    <x v="1"/>
    <x v="12"/>
  </r>
  <r>
    <n v="10730"/>
    <x v="6"/>
    <n v="21.05"/>
    <n v="10"/>
    <n v="5.000000074505806E-2"/>
    <x v="48"/>
    <x v="349"/>
    <n v="199.97499984316528"/>
    <x v="4"/>
    <x v="1"/>
    <x v="6"/>
  </r>
  <r>
    <n v="10731"/>
    <x v="27"/>
    <n v="10"/>
    <n v="40"/>
    <n v="5.000000074505806E-2"/>
    <x v="5"/>
    <x v="350"/>
    <n v="379.99999970197678"/>
    <x v="5"/>
    <x v="1"/>
    <x v="27"/>
  </r>
  <r>
    <n v="10731"/>
    <x v="4"/>
    <n v="53"/>
    <n v="30"/>
    <n v="5.000000074505806E-2"/>
    <x v="5"/>
    <x v="350"/>
    <n v="1510.4999988153577"/>
    <x v="2"/>
    <x v="1"/>
    <x v="4"/>
  </r>
  <r>
    <n v="10732"/>
    <x v="38"/>
    <n v="18"/>
    <n v="20"/>
    <n v="0"/>
    <x v="48"/>
    <x v="350"/>
    <n v="360"/>
    <x v="6"/>
    <x v="1"/>
    <x v="38"/>
  </r>
  <r>
    <n v="10733"/>
    <x v="3"/>
    <n v="23.25"/>
    <n v="16"/>
    <n v="0"/>
    <x v="25"/>
    <x v="351"/>
    <n v="372"/>
    <x v="2"/>
    <x v="1"/>
    <x v="3"/>
  </r>
  <r>
    <n v="10733"/>
    <x v="44"/>
    <n v="45.6"/>
    <n v="20"/>
    <n v="0"/>
    <x v="25"/>
    <x v="351"/>
    <n v="912"/>
    <x v="2"/>
    <x v="1"/>
    <x v="44"/>
  </r>
  <r>
    <n v="10733"/>
    <x v="65"/>
    <n v="7"/>
    <n v="25"/>
    <n v="0"/>
    <x v="25"/>
    <x v="351"/>
    <n v="175"/>
    <x v="1"/>
    <x v="1"/>
    <x v="65"/>
  </r>
  <r>
    <n v="10734"/>
    <x v="63"/>
    <n v="25"/>
    <n v="30"/>
    <n v="0"/>
    <x v="71"/>
    <x v="351"/>
    <n v="750"/>
    <x v="4"/>
    <x v="1"/>
    <x v="63"/>
  </r>
  <r>
    <n v="10734"/>
    <x v="34"/>
    <n v="25.89"/>
    <n v="15"/>
    <n v="0"/>
    <x v="71"/>
    <x v="351"/>
    <n v="388.35"/>
    <x v="3"/>
    <x v="1"/>
    <x v="34"/>
  </r>
  <r>
    <n v="10734"/>
    <x v="38"/>
    <n v="18"/>
    <n v="20"/>
    <n v="0"/>
    <x v="71"/>
    <x v="351"/>
    <n v="360"/>
    <x v="6"/>
    <x v="1"/>
    <x v="38"/>
  </r>
  <r>
    <n v="10735"/>
    <x v="75"/>
    <n v="28.5"/>
    <n v="20"/>
    <n v="0.10000000149011612"/>
    <x v="82"/>
    <x v="352"/>
    <n v="512.99999915063381"/>
    <x v="4"/>
    <x v="1"/>
    <x v="75"/>
  </r>
  <r>
    <n v="10735"/>
    <x v="23"/>
    <n v="13"/>
    <n v="2"/>
    <n v="0.10000000149011612"/>
    <x v="82"/>
    <x v="352"/>
    <n v="23.399999961256981"/>
    <x v="4"/>
    <x v="1"/>
    <x v="23"/>
  </r>
  <r>
    <n v="10736"/>
    <x v="6"/>
    <n v="21.05"/>
    <n v="40"/>
    <n v="0"/>
    <x v="34"/>
    <x v="353"/>
    <n v="842"/>
    <x v="4"/>
    <x v="1"/>
    <x v="6"/>
  </r>
  <r>
    <n v="10736"/>
    <x v="48"/>
    <n v="7.75"/>
    <n v="20"/>
    <n v="0"/>
    <x v="34"/>
    <x v="353"/>
    <n v="155"/>
    <x v="6"/>
    <x v="1"/>
    <x v="48"/>
  </r>
  <r>
    <n v="10737"/>
    <x v="43"/>
    <n v="6"/>
    <n v="4"/>
    <n v="0"/>
    <x v="0"/>
    <x v="353"/>
    <n v="24"/>
    <x v="3"/>
    <x v="1"/>
    <x v="43"/>
  </r>
  <r>
    <n v="10737"/>
    <x v="5"/>
    <n v="9.65"/>
    <n v="12"/>
    <n v="0"/>
    <x v="0"/>
    <x v="353"/>
    <n v="115.80000000000001"/>
    <x v="3"/>
    <x v="1"/>
    <x v="5"/>
  </r>
  <r>
    <n v="10738"/>
    <x v="19"/>
    <n v="17.45"/>
    <n v="3"/>
    <n v="0"/>
    <x v="87"/>
    <x v="354"/>
    <n v="52.349999999999994"/>
    <x v="5"/>
    <x v="1"/>
    <x v="19"/>
  </r>
  <r>
    <n v="10739"/>
    <x v="20"/>
    <n v="19"/>
    <n v="6"/>
    <n v="0"/>
    <x v="0"/>
    <x v="354"/>
    <n v="114"/>
    <x v="3"/>
    <x v="1"/>
    <x v="20"/>
  </r>
  <r>
    <n v="10739"/>
    <x v="65"/>
    <n v="7"/>
    <n v="18"/>
    <n v="0"/>
    <x v="0"/>
    <x v="354"/>
    <n v="126"/>
    <x v="1"/>
    <x v="1"/>
    <x v="65"/>
  </r>
  <r>
    <n v="10740"/>
    <x v="44"/>
    <n v="45.6"/>
    <n v="5"/>
    <n v="0.20000000298023224"/>
    <x v="19"/>
    <x v="355"/>
    <n v="182.39999932050705"/>
    <x v="2"/>
    <x v="1"/>
    <x v="44"/>
  </r>
  <r>
    <n v="10740"/>
    <x v="31"/>
    <n v="18"/>
    <n v="35"/>
    <n v="0.20000000298023224"/>
    <x v="19"/>
    <x v="355"/>
    <n v="503.99999812245369"/>
    <x v="6"/>
    <x v="1"/>
    <x v="31"/>
  </r>
  <r>
    <n v="10740"/>
    <x v="73"/>
    <n v="9.5"/>
    <n v="40"/>
    <n v="0.20000000298023224"/>
    <x v="19"/>
    <x v="355"/>
    <n v="303.99999886751175"/>
    <x v="3"/>
    <x v="1"/>
    <x v="73"/>
  </r>
  <r>
    <n v="10740"/>
    <x v="33"/>
    <n v="38"/>
    <n v="14"/>
    <n v="0.20000000298023224"/>
    <x v="19"/>
    <x v="355"/>
    <n v="425.59999841451645"/>
    <x v="1"/>
    <x v="1"/>
    <x v="33"/>
  </r>
  <r>
    <n v="10741"/>
    <x v="18"/>
    <n v="19"/>
    <n v="15"/>
    <n v="0.20000000298023224"/>
    <x v="55"/>
    <x v="356"/>
    <n v="227.99999915063381"/>
    <x v="6"/>
    <x v="1"/>
    <x v="18"/>
  </r>
  <r>
    <n v="10742"/>
    <x v="57"/>
    <n v="10"/>
    <n v="20"/>
    <n v="0"/>
    <x v="66"/>
    <x v="356"/>
    <n v="200"/>
    <x v="4"/>
    <x v="1"/>
    <x v="57"/>
  </r>
  <r>
    <n v="10742"/>
    <x v="11"/>
    <n v="34"/>
    <n v="50"/>
    <n v="0"/>
    <x v="66"/>
    <x v="356"/>
    <n v="1700"/>
    <x v="0"/>
    <x v="1"/>
    <x v="11"/>
  </r>
  <r>
    <n v="10742"/>
    <x v="2"/>
    <n v="34.799999999999997"/>
    <n v="35"/>
    <n v="0"/>
    <x v="66"/>
    <x v="356"/>
    <n v="1218"/>
    <x v="0"/>
    <x v="1"/>
    <x v="2"/>
  </r>
  <r>
    <n v="10743"/>
    <x v="54"/>
    <n v="12"/>
    <n v="28"/>
    <n v="5.000000074505806E-2"/>
    <x v="55"/>
    <x v="357"/>
    <n v="319.19999974966049"/>
    <x v="3"/>
    <x v="1"/>
    <x v="54"/>
  </r>
  <r>
    <n v="10744"/>
    <x v="37"/>
    <n v="18.399999999999999"/>
    <n v="50"/>
    <n v="0.20000000298023224"/>
    <x v="61"/>
    <x v="357"/>
    <n v="735.99999725818623"/>
    <x v="3"/>
    <x v="1"/>
    <x v="37"/>
  </r>
  <r>
    <n v="10745"/>
    <x v="59"/>
    <n v="62.5"/>
    <n v="24"/>
    <n v="0"/>
    <x v="21"/>
    <x v="358"/>
    <n v="1500"/>
    <x v="3"/>
    <x v="1"/>
    <x v="59"/>
  </r>
  <r>
    <n v="10745"/>
    <x v="45"/>
    <n v="19.45"/>
    <n v="16"/>
    <n v="0"/>
    <x v="21"/>
    <x v="358"/>
    <n v="311.2"/>
    <x v="4"/>
    <x v="1"/>
    <x v="45"/>
  </r>
  <r>
    <n v="10745"/>
    <x v="21"/>
    <n v="55"/>
    <n v="45"/>
    <n v="0"/>
    <x v="21"/>
    <x v="358"/>
    <n v="2475"/>
    <x v="0"/>
    <x v="1"/>
    <x v="21"/>
  </r>
  <r>
    <n v="10745"/>
    <x v="2"/>
    <n v="34.799999999999997"/>
    <n v="7"/>
    <n v="0"/>
    <x v="21"/>
    <x v="358"/>
    <n v="243.59999999999997"/>
    <x v="0"/>
    <x v="1"/>
    <x v="2"/>
  </r>
  <r>
    <n v="10746"/>
    <x v="43"/>
    <n v="6"/>
    <n v="6"/>
    <n v="0"/>
    <x v="5"/>
    <x v="359"/>
    <n v="36"/>
    <x v="3"/>
    <x v="1"/>
    <x v="43"/>
  </r>
  <r>
    <n v="10746"/>
    <x v="1"/>
    <n v="14"/>
    <n v="28"/>
    <n v="0"/>
    <x v="5"/>
    <x v="359"/>
    <n v="392"/>
    <x v="1"/>
    <x v="1"/>
    <x v="1"/>
  </r>
  <r>
    <n v="10746"/>
    <x v="29"/>
    <n v="49.3"/>
    <n v="9"/>
    <n v="0"/>
    <x v="5"/>
    <x v="359"/>
    <n v="443.7"/>
    <x v="5"/>
    <x v="1"/>
    <x v="29"/>
  </r>
  <r>
    <n v="10746"/>
    <x v="60"/>
    <n v="36"/>
    <n v="40"/>
    <n v="0"/>
    <x v="5"/>
    <x v="359"/>
    <n v="1440"/>
    <x v="0"/>
    <x v="1"/>
    <x v="60"/>
  </r>
  <r>
    <n v="10747"/>
    <x v="12"/>
    <n v="12.5"/>
    <n v="8"/>
    <n v="0"/>
    <x v="54"/>
    <x v="359"/>
    <n v="100"/>
    <x v="0"/>
    <x v="1"/>
    <x v="12"/>
  </r>
  <r>
    <n v="10747"/>
    <x v="5"/>
    <n v="9.65"/>
    <n v="35"/>
    <n v="0"/>
    <x v="54"/>
    <x v="359"/>
    <n v="337.75"/>
    <x v="3"/>
    <x v="1"/>
    <x v="5"/>
  </r>
  <r>
    <n v="10747"/>
    <x v="46"/>
    <n v="43.9"/>
    <n v="9"/>
    <n v="0"/>
    <x v="54"/>
    <x v="359"/>
    <n v="395.09999999999997"/>
    <x v="4"/>
    <x v="1"/>
    <x v="46"/>
  </r>
  <r>
    <n v="10747"/>
    <x v="60"/>
    <n v="36"/>
    <n v="30"/>
    <n v="0"/>
    <x v="54"/>
    <x v="359"/>
    <n v="1080"/>
    <x v="0"/>
    <x v="1"/>
    <x v="60"/>
  </r>
  <r>
    <n v="10748"/>
    <x v="70"/>
    <n v="9"/>
    <n v="44"/>
    <n v="0"/>
    <x v="45"/>
    <x v="360"/>
    <n v="396"/>
    <x v="1"/>
    <x v="1"/>
    <x v="70"/>
  </r>
  <r>
    <n v="10748"/>
    <x v="37"/>
    <n v="18.399999999999999"/>
    <n v="40"/>
    <n v="0"/>
    <x v="45"/>
    <x v="360"/>
    <n v="736"/>
    <x v="3"/>
    <x v="1"/>
    <x v="37"/>
  </r>
  <r>
    <n v="10748"/>
    <x v="33"/>
    <n v="38"/>
    <n v="28"/>
    <n v="0"/>
    <x v="45"/>
    <x v="360"/>
    <n v="1064"/>
    <x v="1"/>
    <x v="1"/>
    <x v="33"/>
  </r>
  <r>
    <n v="10749"/>
    <x v="33"/>
    <n v="38"/>
    <n v="15"/>
    <n v="0"/>
    <x v="42"/>
    <x v="360"/>
    <n v="570"/>
    <x v="1"/>
    <x v="1"/>
    <x v="33"/>
  </r>
  <r>
    <n v="10749"/>
    <x v="21"/>
    <n v="55"/>
    <n v="6"/>
    <n v="0"/>
    <x v="42"/>
    <x v="360"/>
    <n v="330"/>
    <x v="0"/>
    <x v="1"/>
    <x v="21"/>
  </r>
  <r>
    <n v="10749"/>
    <x v="38"/>
    <n v="18"/>
    <n v="10"/>
    <n v="0"/>
    <x v="42"/>
    <x v="360"/>
    <n v="180"/>
    <x v="6"/>
    <x v="1"/>
    <x v="38"/>
  </r>
  <r>
    <n v="10750"/>
    <x v="3"/>
    <n v="23.25"/>
    <n v="5"/>
    <n v="0.15000000596046448"/>
    <x v="16"/>
    <x v="361"/>
    <n v="98.812499307096004"/>
    <x v="2"/>
    <x v="1"/>
    <x v="3"/>
  </r>
  <r>
    <n v="10750"/>
    <x v="73"/>
    <n v="9.5"/>
    <n v="40"/>
    <n v="0.15000000596046448"/>
    <x v="16"/>
    <x v="361"/>
    <n v="322.9999977350235"/>
    <x v="3"/>
    <x v="1"/>
    <x v="73"/>
  </r>
  <r>
    <n v="10750"/>
    <x v="21"/>
    <n v="55"/>
    <n v="25"/>
    <n v="0.15000000596046448"/>
    <x v="16"/>
    <x v="361"/>
    <n v="1168.7499918043613"/>
    <x v="0"/>
    <x v="1"/>
    <x v="21"/>
  </r>
  <r>
    <n v="10751"/>
    <x v="68"/>
    <n v="31.23"/>
    <n v="12"/>
    <n v="0.10000000149011612"/>
    <x v="6"/>
    <x v="362"/>
    <n v="337.28399944156405"/>
    <x v="5"/>
    <x v="1"/>
    <x v="68"/>
  </r>
  <r>
    <n v="10751"/>
    <x v="34"/>
    <n v="25.89"/>
    <n v="30"/>
    <n v="0"/>
    <x v="6"/>
    <x v="362"/>
    <n v="776.7"/>
    <x v="3"/>
    <x v="1"/>
    <x v="34"/>
  </r>
  <r>
    <n v="10751"/>
    <x v="72"/>
    <n v="16.25"/>
    <n v="20"/>
    <n v="0.10000000149011612"/>
    <x v="6"/>
    <x v="362"/>
    <n v="292.49999951571226"/>
    <x v="5"/>
    <x v="1"/>
    <x v="72"/>
  </r>
  <r>
    <n v="10751"/>
    <x v="47"/>
    <n v="15"/>
    <n v="15"/>
    <n v="0"/>
    <x v="6"/>
    <x v="362"/>
    <n v="225"/>
    <x v="3"/>
    <x v="1"/>
    <x v="47"/>
  </r>
  <r>
    <n v="10752"/>
    <x v="52"/>
    <n v="18"/>
    <n v="8"/>
    <n v="0"/>
    <x v="77"/>
    <x v="362"/>
    <n v="144"/>
    <x v="6"/>
    <x v="1"/>
    <x v="52"/>
  </r>
  <r>
    <n v="10752"/>
    <x v="60"/>
    <n v="36"/>
    <n v="3"/>
    <n v="0"/>
    <x v="77"/>
    <x v="362"/>
    <n v="108"/>
    <x v="0"/>
    <x v="1"/>
    <x v="60"/>
  </r>
  <r>
    <n v="10753"/>
    <x v="73"/>
    <n v="9.5"/>
    <n v="4"/>
    <n v="0"/>
    <x v="70"/>
    <x v="363"/>
    <n v="38"/>
    <x v="3"/>
    <x v="1"/>
    <x v="73"/>
  </r>
  <r>
    <n v="10753"/>
    <x v="17"/>
    <n v="10"/>
    <n v="5"/>
    <n v="0"/>
    <x v="70"/>
    <x v="363"/>
    <n v="50"/>
    <x v="2"/>
    <x v="1"/>
    <x v="17"/>
  </r>
  <r>
    <n v="10754"/>
    <x v="37"/>
    <n v="18.399999999999999"/>
    <n v="3"/>
    <n v="0"/>
    <x v="22"/>
    <x v="363"/>
    <n v="55.199999999999996"/>
    <x v="3"/>
    <x v="1"/>
    <x v="37"/>
  </r>
  <r>
    <n v="10755"/>
    <x v="69"/>
    <n v="9.5"/>
    <n v="30"/>
    <n v="0.25"/>
    <x v="48"/>
    <x v="364"/>
    <n v="213.75"/>
    <x v="5"/>
    <x v="1"/>
    <x v="69"/>
  </r>
  <r>
    <n v="10755"/>
    <x v="33"/>
    <n v="38"/>
    <n v="30"/>
    <n v="0.25"/>
    <x v="48"/>
    <x v="364"/>
    <n v="855"/>
    <x v="1"/>
    <x v="1"/>
    <x v="33"/>
  </r>
  <r>
    <n v="10755"/>
    <x v="8"/>
    <n v="19.5"/>
    <n v="14"/>
    <n v="0.25"/>
    <x v="48"/>
    <x v="364"/>
    <n v="204.75"/>
    <x v="1"/>
    <x v="1"/>
    <x v="8"/>
  </r>
  <r>
    <n v="10755"/>
    <x v="60"/>
    <n v="36"/>
    <n v="25"/>
    <n v="0.25"/>
    <x v="48"/>
    <x v="364"/>
    <n v="675"/>
    <x v="0"/>
    <x v="1"/>
    <x v="60"/>
  </r>
  <r>
    <n v="10756"/>
    <x v="59"/>
    <n v="62.5"/>
    <n v="21"/>
    <n v="0.20000000298023224"/>
    <x v="20"/>
    <x v="365"/>
    <n v="1049.9999960884452"/>
    <x v="3"/>
    <x v="1"/>
    <x v="59"/>
  </r>
  <r>
    <n v="10756"/>
    <x v="20"/>
    <n v="19"/>
    <n v="20"/>
    <n v="0.20000000298023224"/>
    <x v="20"/>
    <x v="365"/>
    <n v="303.99999886751175"/>
    <x v="3"/>
    <x v="1"/>
    <x v="20"/>
  </r>
  <r>
    <n v="10756"/>
    <x v="56"/>
    <n v="12.5"/>
    <n v="6"/>
    <n v="0.20000000298023224"/>
    <x v="20"/>
    <x v="365"/>
    <n v="59.999999776482582"/>
    <x v="5"/>
    <x v="1"/>
    <x v="56"/>
  </r>
  <r>
    <n v="10756"/>
    <x v="60"/>
    <n v="36"/>
    <n v="20"/>
    <n v="0.20000000298023224"/>
    <x v="20"/>
    <x v="365"/>
    <n v="575.99999785423279"/>
    <x v="0"/>
    <x v="1"/>
    <x v="60"/>
  </r>
  <r>
    <n v="10757"/>
    <x v="53"/>
    <n v="14"/>
    <n v="30"/>
    <n v="0"/>
    <x v="45"/>
    <x v="365"/>
    <n v="420"/>
    <x v="6"/>
    <x v="1"/>
    <x v="53"/>
  </r>
  <r>
    <n v="10757"/>
    <x v="21"/>
    <n v="55"/>
    <n v="7"/>
    <n v="0"/>
    <x v="45"/>
    <x v="365"/>
    <n v="385"/>
    <x v="0"/>
    <x v="1"/>
    <x v="21"/>
  </r>
  <r>
    <n v="10757"/>
    <x v="29"/>
    <n v="49.3"/>
    <n v="30"/>
    <n v="0"/>
    <x v="45"/>
    <x v="365"/>
    <n v="1479"/>
    <x v="5"/>
    <x v="1"/>
    <x v="29"/>
  </r>
  <r>
    <n v="10757"/>
    <x v="58"/>
    <n v="33.25"/>
    <n v="24"/>
    <n v="0"/>
    <x v="45"/>
    <x v="365"/>
    <n v="798"/>
    <x v="1"/>
    <x v="1"/>
    <x v="58"/>
  </r>
  <r>
    <n v="10758"/>
    <x v="68"/>
    <n v="31.23"/>
    <n v="20"/>
    <n v="0"/>
    <x v="6"/>
    <x v="366"/>
    <n v="624.6"/>
    <x v="5"/>
    <x v="1"/>
    <x v="68"/>
  </r>
  <r>
    <n v="10758"/>
    <x v="65"/>
    <n v="7"/>
    <n v="60"/>
    <n v="0"/>
    <x v="6"/>
    <x v="366"/>
    <n v="420"/>
    <x v="1"/>
    <x v="1"/>
    <x v="65"/>
  </r>
  <r>
    <n v="10758"/>
    <x v="30"/>
    <n v="15"/>
    <n v="40"/>
    <n v="0"/>
    <x v="6"/>
    <x v="366"/>
    <n v="600"/>
    <x v="6"/>
    <x v="1"/>
    <x v="30"/>
  </r>
  <r>
    <n v="10759"/>
    <x v="26"/>
    <n v="32"/>
    <n v="10"/>
    <n v="0"/>
    <x v="39"/>
    <x v="366"/>
    <n v="320"/>
    <x v="0"/>
    <x v="1"/>
    <x v="26"/>
  </r>
  <r>
    <n v="10760"/>
    <x v="66"/>
    <n v="14"/>
    <n v="12"/>
    <n v="0.25"/>
    <x v="80"/>
    <x v="367"/>
    <n v="126"/>
    <x v="5"/>
    <x v="1"/>
    <x v="66"/>
  </r>
  <r>
    <n v="10760"/>
    <x v="24"/>
    <n v="43.9"/>
    <n v="40"/>
    <n v="0"/>
    <x v="80"/>
    <x v="367"/>
    <n v="1756"/>
    <x v="5"/>
    <x v="1"/>
    <x v="24"/>
  </r>
  <r>
    <n v="10760"/>
    <x v="40"/>
    <n v="46"/>
    <n v="30"/>
    <n v="0.25"/>
    <x v="80"/>
    <x v="367"/>
    <n v="1035"/>
    <x v="6"/>
    <x v="1"/>
    <x v="40"/>
  </r>
  <r>
    <n v="10761"/>
    <x v="66"/>
    <n v="14"/>
    <n v="35"/>
    <n v="0.25"/>
    <x v="13"/>
    <x v="368"/>
    <n v="367.5"/>
    <x v="5"/>
    <x v="1"/>
    <x v="66"/>
  </r>
  <r>
    <n v="10761"/>
    <x v="48"/>
    <n v="7.75"/>
    <n v="18"/>
    <n v="0"/>
    <x v="13"/>
    <x v="368"/>
    <n v="139.5"/>
    <x v="6"/>
    <x v="1"/>
    <x v="48"/>
  </r>
  <r>
    <n v="10762"/>
    <x v="13"/>
    <n v="18"/>
    <n v="16"/>
    <n v="0"/>
    <x v="14"/>
    <x v="368"/>
    <n v="288"/>
    <x v="6"/>
    <x v="1"/>
    <x v="13"/>
  </r>
  <r>
    <n v="10762"/>
    <x v="69"/>
    <n v="9.5"/>
    <n v="30"/>
    <n v="0"/>
    <x v="14"/>
    <x v="368"/>
    <n v="285"/>
    <x v="5"/>
    <x v="1"/>
    <x v="69"/>
  </r>
  <r>
    <n v="10762"/>
    <x v="4"/>
    <n v="53"/>
    <n v="28"/>
    <n v="0"/>
    <x v="14"/>
    <x v="368"/>
    <n v="1484"/>
    <x v="2"/>
    <x v="1"/>
    <x v="4"/>
  </r>
  <r>
    <n v="10762"/>
    <x v="33"/>
    <n v="38"/>
    <n v="60"/>
    <n v="0"/>
    <x v="14"/>
    <x v="368"/>
    <n v="2280"/>
    <x v="1"/>
    <x v="1"/>
    <x v="33"/>
  </r>
  <r>
    <n v="10763"/>
    <x v="27"/>
    <n v="10"/>
    <n v="40"/>
    <n v="0"/>
    <x v="68"/>
    <x v="369"/>
    <n v="400"/>
    <x v="5"/>
    <x v="1"/>
    <x v="27"/>
  </r>
  <r>
    <n v="10763"/>
    <x v="7"/>
    <n v="21"/>
    <n v="6"/>
    <n v="0"/>
    <x v="68"/>
    <x v="369"/>
    <n v="126"/>
    <x v="1"/>
    <x v="1"/>
    <x v="7"/>
  </r>
  <r>
    <n v="10763"/>
    <x v="15"/>
    <n v="4.5"/>
    <n v="20"/>
    <n v="0"/>
    <x v="68"/>
    <x v="369"/>
    <n v="90"/>
    <x v="6"/>
    <x v="1"/>
    <x v="15"/>
  </r>
  <r>
    <n v="10764"/>
    <x v="57"/>
    <n v="10"/>
    <n v="20"/>
    <n v="0.10000000149011612"/>
    <x v="9"/>
    <x v="369"/>
    <n v="179.99999970197678"/>
    <x v="4"/>
    <x v="1"/>
    <x v="57"/>
  </r>
  <r>
    <n v="10764"/>
    <x v="13"/>
    <n v="18"/>
    <n v="130"/>
    <n v="0.10000000149011612"/>
    <x v="9"/>
    <x v="369"/>
    <n v="2105.9999965131283"/>
    <x v="6"/>
    <x v="1"/>
    <x v="13"/>
  </r>
  <r>
    <n v="10765"/>
    <x v="6"/>
    <n v="21.05"/>
    <n v="80"/>
    <n v="0.10000000149011612"/>
    <x v="21"/>
    <x v="370"/>
    <n v="1515.5999974906445"/>
    <x v="4"/>
    <x v="1"/>
    <x v="6"/>
  </r>
  <r>
    <n v="10766"/>
    <x v="18"/>
    <n v="19"/>
    <n v="40"/>
    <n v="0"/>
    <x v="11"/>
    <x v="371"/>
    <n v="760"/>
    <x v="6"/>
    <x v="1"/>
    <x v="18"/>
  </r>
  <r>
    <n v="10766"/>
    <x v="32"/>
    <n v="30"/>
    <n v="35"/>
    <n v="0"/>
    <x v="11"/>
    <x v="371"/>
    <n v="1050"/>
    <x v="2"/>
    <x v="1"/>
    <x v="32"/>
  </r>
  <r>
    <n v="10766"/>
    <x v="56"/>
    <n v="12.5"/>
    <n v="40"/>
    <n v="0"/>
    <x v="11"/>
    <x v="371"/>
    <n v="500"/>
    <x v="5"/>
    <x v="1"/>
    <x v="56"/>
  </r>
  <r>
    <n v="10767"/>
    <x v="1"/>
    <n v="14"/>
    <n v="2"/>
    <n v="0"/>
    <x v="4"/>
    <x v="371"/>
    <n v="28"/>
    <x v="1"/>
    <x v="1"/>
    <x v="1"/>
  </r>
  <r>
    <n v="10768"/>
    <x v="7"/>
    <n v="21"/>
    <n v="4"/>
    <n v="0"/>
    <x v="55"/>
    <x v="372"/>
    <n v="84"/>
    <x v="1"/>
    <x v="1"/>
    <x v="7"/>
  </r>
  <r>
    <n v="10768"/>
    <x v="12"/>
    <n v="12.5"/>
    <n v="50"/>
    <n v="0"/>
    <x v="55"/>
    <x v="372"/>
    <n v="625"/>
    <x v="0"/>
    <x v="1"/>
    <x v="12"/>
  </r>
  <r>
    <n v="10768"/>
    <x v="11"/>
    <n v="34"/>
    <n v="15"/>
    <n v="0"/>
    <x v="55"/>
    <x v="372"/>
    <n v="510"/>
    <x v="0"/>
    <x v="1"/>
    <x v="11"/>
  </r>
  <r>
    <n v="10768"/>
    <x v="42"/>
    <n v="21.5"/>
    <n v="12"/>
    <n v="0"/>
    <x v="55"/>
    <x v="372"/>
    <n v="258"/>
    <x v="0"/>
    <x v="1"/>
    <x v="42"/>
  </r>
  <r>
    <n v="10769"/>
    <x v="5"/>
    <n v="9.65"/>
    <n v="30"/>
    <n v="5.000000074505806E-2"/>
    <x v="61"/>
    <x v="372"/>
    <n v="275.02499978430569"/>
    <x v="3"/>
    <x v="1"/>
    <x v="5"/>
  </r>
  <r>
    <n v="10769"/>
    <x v="65"/>
    <n v="7"/>
    <n v="15"/>
    <n v="5.000000074505806E-2"/>
    <x v="61"/>
    <x v="372"/>
    <n v="99.749999921768904"/>
    <x v="1"/>
    <x v="1"/>
    <x v="65"/>
  </r>
  <r>
    <n v="10769"/>
    <x v="75"/>
    <n v="28.5"/>
    <n v="20"/>
    <n v="0"/>
    <x v="61"/>
    <x v="372"/>
    <n v="570"/>
    <x v="4"/>
    <x v="1"/>
    <x v="75"/>
  </r>
  <r>
    <n v="10769"/>
    <x v="29"/>
    <n v="49.3"/>
    <n v="15"/>
    <n v="0"/>
    <x v="61"/>
    <x v="372"/>
    <n v="739.5"/>
    <x v="5"/>
    <x v="1"/>
    <x v="29"/>
  </r>
  <r>
    <n v="10770"/>
    <x v="0"/>
    <n v="21"/>
    <n v="15"/>
    <n v="0.25"/>
    <x v="2"/>
    <x v="373"/>
    <n v="236.25"/>
    <x v="0"/>
    <x v="1"/>
    <x v="0"/>
  </r>
  <r>
    <n v="10771"/>
    <x v="42"/>
    <n v="21.5"/>
    <n v="16"/>
    <n v="0"/>
    <x v="9"/>
    <x v="374"/>
    <n v="344"/>
    <x v="0"/>
    <x v="1"/>
    <x v="42"/>
  </r>
  <r>
    <n v="10772"/>
    <x v="39"/>
    <n v="123.79"/>
    <n v="18"/>
    <n v="0"/>
    <x v="26"/>
    <x v="374"/>
    <n v="2228.2200000000003"/>
    <x v="7"/>
    <x v="1"/>
    <x v="39"/>
  </r>
  <r>
    <n v="10772"/>
    <x v="21"/>
    <n v="55"/>
    <n v="25"/>
    <n v="0"/>
    <x v="26"/>
    <x v="374"/>
    <n v="1375"/>
    <x v="0"/>
    <x v="1"/>
    <x v="21"/>
  </r>
  <r>
    <n v="10773"/>
    <x v="35"/>
    <n v="39"/>
    <n v="33"/>
    <n v="0"/>
    <x v="9"/>
    <x v="375"/>
    <n v="1287"/>
    <x v="7"/>
    <x v="1"/>
    <x v="35"/>
  </r>
  <r>
    <n v="10773"/>
    <x v="12"/>
    <n v="12.5"/>
    <n v="70"/>
    <n v="0.20000000298023224"/>
    <x v="9"/>
    <x v="375"/>
    <n v="699.99999739229679"/>
    <x v="0"/>
    <x v="1"/>
    <x v="12"/>
  </r>
  <r>
    <n v="10773"/>
    <x v="48"/>
    <n v="7.75"/>
    <n v="7"/>
    <n v="0.20000000298023224"/>
    <x v="9"/>
    <x v="375"/>
    <n v="43.399999838322401"/>
    <x v="6"/>
    <x v="1"/>
    <x v="48"/>
  </r>
  <r>
    <n v="10774"/>
    <x v="12"/>
    <n v="12.5"/>
    <n v="2"/>
    <n v="0.25"/>
    <x v="14"/>
    <x v="375"/>
    <n v="18.75"/>
    <x v="0"/>
    <x v="1"/>
    <x v="12"/>
  </r>
  <r>
    <n v="10774"/>
    <x v="61"/>
    <n v="17"/>
    <n v="50"/>
    <n v="0"/>
    <x v="14"/>
    <x v="375"/>
    <n v="850"/>
    <x v="4"/>
    <x v="1"/>
    <x v="61"/>
  </r>
  <r>
    <n v="10775"/>
    <x v="41"/>
    <n v="31"/>
    <n v="6"/>
    <n v="0"/>
    <x v="84"/>
    <x v="376"/>
    <n v="186"/>
    <x v="3"/>
    <x v="1"/>
    <x v="41"/>
  </r>
  <r>
    <n v="10775"/>
    <x v="51"/>
    <n v="14"/>
    <n v="3"/>
    <n v="0"/>
    <x v="84"/>
    <x v="376"/>
    <n v="42"/>
    <x v="6"/>
    <x v="1"/>
    <x v="51"/>
  </r>
  <r>
    <n v="10776"/>
    <x v="12"/>
    <n v="12.5"/>
    <n v="16"/>
    <n v="5.000000074505806E-2"/>
    <x v="9"/>
    <x v="377"/>
    <n v="189.99999985098839"/>
    <x v="0"/>
    <x v="1"/>
    <x v="12"/>
  </r>
  <r>
    <n v="10776"/>
    <x v="1"/>
    <n v="14"/>
    <n v="12"/>
    <n v="5.000000074505806E-2"/>
    <x v="9"/>
    <x v="377"/>
    <n v="159.59999987483025"/>
    <x v="1"/>
    <x v="1"/>
    <x v="1"/>
  </r>
  <r>
    <n v="10776"/>
    <x v="73"/>
    <n v="9.5"/>
    <n v="27"/>
    <n v="5.000000074505806E-2"/>
    <x v="9"/>
    <x v="377"/>
    <n v="243.67499980889261"/>
    <x v="3"/>
    <x v="1"/>
    <x v="73"/>
  </r>
  <r>
    <n v="10776"/>
    <x v="4"/>
    <n v="53"/>
    <n v="120"/>
    <n v="5.000000074505806E-2"/>
    <x v="9"/>
    <x v="377"/>
    <n v="6041.9999952614307"/>
    <x v="2"/>
    <x v="1"/>
    <x v="4"/>
  </r>
  <r>
    <n v="10777"/>
    <x v="1"/>
    <n v="14"/>
    <n v="20"/>
    <n v="0.20000000298023224"/>
    <x v="71"/>
    <x v="377"/>
    <n v="223.99999916553497"/>
    <x v="1"/>
    <x v="1"/>
    <x v="1"/>
  </r>
  <r>
    <n v="10778"/>
    <x v="5"/>
    <n v="9.65"/>
    <n v="10"/>
    <n v="0"/>
    <x v="25"/>
    <x v="378"/>
    <n v="96.5"/>
    <x v="3"/>
    <x v="1"/>
    <x v="5"/>
  </r>
  <r>
    <n v="10779"/>
    <x v="19"/>
    <n v="17.45"/>
    <n v="20"/>
    <n v="0"/>
    <x v="24"/>
    <x v="378"/>
    <n v="349"/>
    <x v="5"/>
    <x v="1"/>
    <x v="19"/>
  </r>
  <r>
    <n v="10779"/>
    <x v="29"/>
    <n v="49.3"/>
    <n v="20"/>
    <n v="0"/>
    <x v="24"/>
    <x v="378"/>
    <n v="986"/>
    <x v="5"/>
    <x v="1"/>
    <x v="29"/>
  </r>
  <r>
    <n v="10780"/>
    <x v="30"/>
    <n v="15"/>
    <n v="35"/>
    <n v="0"/>
    <x v="28"/>
    <x v="378"/>
    <n v="525"/>
    <x v="6"/>
    <x v="1"/>
    <x v="30"/>
  </r>
  <r>
    <n v="10780"/>
    <x v="23"/>
    <n v="13"/>
    <n v="15"/>
    <n v="0"/>
    <x v="28"/>
    <x v="378"/>
    <n v="195"/>
    <x v="4"/>
    <x v="1"/>
    <x v="23"/>
  </r>
  <r>
    <n v="10781"/>
    <x v="55"/>
    <n v="7.45"/>
    <n v="3"/>
    <n v="0.20000000298023224"/>
    <x v="16"/>
    <x v="379"/>
    <n v="17.879999933391812"/>
    <x v="7"/>
    <x v="1"/>
    <x v="55"/>
  </r>
  <r>
    <n v="10781"/>
    <x v="33"/>
    <n v="38"/>
    <n v="20"/>
    <n v="0.20000000298023224"/>
    <x v="16"/>
    <x v="379"/>
    <n v="607.9999977350235"/>
    <x v="1"/>
    <x v="1"/>
    <x v="33"/>
  </r>
  <r>
    <n v="10781"/>
    <x v="17"/>
    <n v="10"/>
    <n v="35"/>
    <n v="0"/>
    <x v="16"/>
    <x v="379"/>
    <n v="350"/>
    <x v="2"/>
    <x v="1"/>
    <x v="17"/>
  </r>
  <r>
    <n v="10782"/>
    <x v="12"/>
    <n v="12.5"/>
    <n v="1"/>
    <n v="0"/>
    <x v="78"/>
    <x v="379"/>
    <n v="12.5"/>
    <x v="0"/>
    <x v="1"/>
    <x v="12"/>
  </r>
  <r>
    <n v="10783"/>
    <x v="12"/>
    <n v="12.5"/>
    <n v="10"/>
    <n v="0"/>
    <x v="2"/>
    <x v="380"/>
    <n v="125"/>
    <x v="0"/>
    <x v="1"/>
    <x v="12"/>
  </r>
  <r>
    <n v="10783"/>
    <x v="67"/>
    <n v="263.5"/>
    <n v="5"/>
    <n v="0"/>
    <x v="2"/>
    <x v="380"/>
    <n v="1317.5"/>
    <x v="6"/>
    <x v="1"/>
    <x v="67"/>
  </r>
  <r>
    <n v="10784"/>
    <x v="20"/>
    <n v="19"/>
    <n v="30"/>
    <n v="0"/>
    <x v="22"/>
    <x v="380"/>
    <n v="570"/>
    <x v="3"/>
    <x v="1"/>
    <x v="20"/>
  </r>
  <r>
    <n v="10784"/>
    <x v="13"/>
    <n v="18"/>
    <n v="2"/>
    <n v="0.15000000596046448"/>
    <x v="22"/>
    <x v="380"/>
    <n v="30.599999785423279"/>
    <x v="6"/>
    <x v="1"/>
    <x v="13"/>
  </r>
  <r>
    <n v="10784"/>
    <x v="2"/>
    <n v="34.799999999999997"/>
    <n v="30"/>
    <n v="0.15000000596046448"/>
    <x v="22"/>
    <x v="380"/>
    <n v="887.39999377727509"/>
    <x v="0"/>
    <x v="1"/>
    <x v="2"/>
  </r>
  <r>
    <n v="10785"/>
    <x v="41"/>
    <n v="31"/>
    <n v="10"/>
    <n v="0"/>
    <x v="18"/>
    <x v="380"/>
    <n v="310"/>
    <x v="3"/>
    <x v="1"/>
    <x v="41"/>
  </r>
  <r>
    <n v="10785"/>
    <x v="48"/>
    <n v="7.75"/>
    <n v="10"/>
    <n v="0"/>
    <x v="18"/>
    <x v="380"/>
    <n v="77.5"/>
    <x v="6"/>
    <x v="1"/>
    <x v="48"/>
  </r>
  <r>
    <n v="10786"/>
    <x v="71"/>
    <n v="40"/>
    <n v="30"/>
    <n v="0.20000000298023224"/>
    <x v="62"/>
    <x v="381"/>
    <n v="959.99999642372131"/>
    <x v="4"/>
    <x v="1"/>
    <x v="71"/>
  </r>
  <r>
    <n v="10786"/>
    <x v="34"/>
    <n v="25.89"/>
    <n v="15"/>
    <n v="0.20000000298023224"/>
    <x v="62"/>
    <x v="381"/>
    <n v="310.67999884262684"/>
    <x v="3"/>
    <x v="1"/>
    <x v="34"/>
  </r>
  <r>
    <n v="10786"/>
    <x v="48"/>
    <n v="7.75"/>
    <n v="42"/>
    <n v="0.20000000298023224"/>
    <x v="62"/>
    <x v="381"/>
    <n v="260.39999902993441"/>
    <x v="6"/>
    <x v="1"/>
    <x v="48"/>
  </r>
  <r>
    <n v="10787"/>
    <x v="18"/>
    <n v="19"/>
    <n v="15"/>
    <n v="5.000000074505806E-2"/>
    <x v="53"/>
    <x v="381"/>
    <n v="270.74999978765845"/>
    <x v="6"/>
    <x v="1"/>
    <x v="18"/>
  </r>
  <r>
    <n v="10787"/>
    <x v="39"/>
    <n v="123.79"/>
    <n v="20"/>
    <n v="5.000000074505806E-2"/>
    <x v="53"/>
    <x v="381"/>
    <n v="2352.0099981553853"/>
    <x v="7"/>
    <x v="1"/>
    <x v="39"/>
  </r>
  <r>
    <n v="10788"/>
    <x v="49"/>
    <n v="9.1999999999999993"/>
    <n v="50"/>
    <n v="5.000000074505806E-2"/>
    <x v="21"/>
    <x v="382"/>
    <n v="436.99999965727324"/>
    <x v="5"/>
    <x v="1"/>
    <x v="49"/>
  </r>
  <r>
    <n v="10788"/>
    <x v="48"/>
    <n v="7.75"/>
    <n v="40"/>
    <n v="5.000000074505806E-2"/>
    <x v="21"/>
    <x v="382"/>
    <n v="294.499999769032"/>
    <x v="6"/>
    <x v="1"/>
    <x v="48"/>
  </r>
  <r>
    <n v="10789"/>
    <x v="59"/>
    <n v="62.5"/>
    <n v="30"/>
    <n v="0"/>
    <x v="68"/>
    <x v="382"/>
    <n v="1875"/>
    <x v="3"/>
    <x v="1"/>
    <x v="59"/>
  </r>
  <r>
    <n v="10789"/>
    <x v="31"/>
    <n v="18"/>
    <n v="15"/>
    <n v="0"/>
    <x v="68"/>
    <x v="382"/>
    <n v="270"/>
    <x v="6"/>
    <x v="1"/>
    <x v="31"/>
  </r>
  <r>
    <n v="10789"/>
    <x v="46"/>
    <n v="43.9"/>
    <n v="30"/>
    <n v="0"/>
    <x v="68"/>
    <x v="382"/>
    <n v="1317"/>
    <x v="4"/>
    <x v="1"/>
    <x v="46"/>
  </r>
  <r>
    <n v="10789"/>
    <x v="56"/>
    <n v="12.5"/>
    <n v="18"/>
    <n v="0"/>
    <x v="68"/>
    <x v="382"/>
    <n v="225"/>
    <x v="5"/>
    <x v="1"/>
    <x v="56"/>
  </r>
  <r>
    <n v="10790"/>
    <x v="32"/>
    <n v="30"/>
    <n v="3"/>
    <n v="0.15000000596046448"/>
    <x v="71"/>
    <x v="382"/>
    <n v="76.499999463558197"/>
    <x v="2"/>
    <x v="1"/>
    <x v="32"/>
  </r>
  <r>
    <n v="10790"/>
    <x v="33"/>
    <n v="38"/>
    <n v="20"/>
    <n v="0.15000000596046448"/>
    <x v="71"/>
    <x v="382"/>
    <n v="645.999995470047"/>
    <x v="1"/>
    <x v="1"/>
    <x v="33"/>
  </r>
  <r>
    <n v="10791"/>
    <x v="39"/>
    <n v="123.79"/>
    <n v="14"/>
    <n v="5.000000074505806E-2"/>
    <x v="17"/>
    <x v="383"/>
    <n v="1646.4069987087698"/>
    <x v="7"/>
    <x v="1"/>
    <x v="39"/>
  </r>
  <r>
    <n v="10791"/>
    <x v="5"/>
    <n v="9.65"/>
    <n v="20"/>
    <n v="5.000000074505806E-2"/>
    <x v="17"/>
    <x v="383"/>
    <n v="183.34999985620379"/>
    <x v="3"/>
    <x v="1"/>
    <x v="5"/>
  </r>
  <r>
    <n v="10792"/>
    <x v="18"/>
    <n v="19"/>
    <n v="10"/>
    <n v="0"/>
    <x v="63"/>
    <x v="383"/>
    <n v="190"/>
    <x v="6"/>
    <x v="1"/>
    <x v="18"/>
  </r>
  <r>
    <n v="10792"/>
    <x v="55"/>
    <n v="7.45"/>
    <n v="3"/>
    <n v="0"/>
    <x v="63"/>
    <x v="383"/>
    <n v="22.35"/>
    <x v="7"/>
    <x v="1"/>
    <x v="55"/>
  </r>
  <r>
    <n v="10792"/>
    <x v="56"/>
    <n v="12.5"/>
    <n v="15"/>
    <n v="0"/>
    <x v="63"/>
    <x v="383"/>
    <n v="187.5"/>
    <x v="5"/>
    <x v="1"/>
    <x v="56"/>
  </r>
  <r>
    <n v="10793"/>
    <x v="5"/>
    <n v="9.65"/>
    <n v="14"/>
    <n v="0"/>
    <x v="55"/>
    <x v="384"/>
    <n v="135.1"/>
    <x v="3"/>
    <x v="1"/>
    <x v="5"/>
  </r>
  <r>
    <n v="10793"/>
    <x v="65"/>
    <n v="7"/>
    <n v="8"/>
    <n v="0"/>
    <x v="55"/>
    <x v="384"/>
    <n v="56"/>
    <x v="1"/>
    <x v="1"/>
    <x v="65"/>
  </r>
  <r>
    <n v="10794"/>
    <x v="3"/>
    <n v="23.25"/>
    <n v="15"/>
    <n v="0.20000000298023224"/>
    <x v="12"/>
    <x v="384"/>
    <n v="278.99999896064401"/>
    <x v="2"/>
    <x v="1"/>
    <x v="3"/>
  </r>
  <r>
    <n v="10794"/>
    <x v="55"/>
    <n v="7.45"/>
    <n v="6"/>
    <n v="0.20000000298023224"/>
    <x v="12"/>
    <x v="384"/>
    <n v="35.759999866783623"/>
    <x v="7"/>
    <x v="1"/>
    <x v="55"/>
  </r>
  <r>
    <n v="10795"/>
    <x v="19"/>
    <n v="17.45"/>
    <n v="65"/>
    <n v="0"/>
    <x v="9"/>
    <x v="384"/>
    <n v="1134.25"/>
    <x v="5"/>
    <x v="1"/>
    <x v="19"/>
  </r>
  <r>
    <n v="10795"/>
    <x v="35"/>
    <n v="39"/>
    <n v="35"/>
    <n v="0.25"/>
    <x v="9"/>
    <x v="384"/>
    <n v="1023.75"/>
    <x v="7"/>
    <x v="1"/>
    <x v="35"/>
  </r>
  <r>
    <n v="10796"/>
    <x v="68"/>
    <n v="31.23"/>
    <n v="21"/>
    <n v="0.20000000298023224"/>
    <x v="8"/>
    <x v="385"/>
    <n v="524.66399804547427"/>
    <x v="5"/>
    <x v="1"/>
    <x v="68"/>
  </r>
  <r>
    <n v="10796"/>
    <x v="45"/>
    <n v="19.45"/>
    <n v="10"/>
    <n v="0"/>
    <x v="8"/>
    <x v="385"/>
    <n v="194.5"/>
    <x v="4"/>
    <x v="1"/>
    <x v="45"/>
  </r>
  <r>
    <n v="10796"/>
    <x v="58"/>
    <n v="33.25"/>
    <n v="35"/>
    <n v="0.20000000298023224"/>
    <x v="8"/>
    <x v="385"/>
    <n v="930.99999653175473"/>
    <x v="1"/>
    <x v="1"/>
    <x v="58"/>
  </r>
  <r>
    <n v="10796"/>
    <x v="60"/>
    <n v="36"/>
    <n v="24"/>
    <n v="0.20000000298023224"/>
    <x v="8"/>
    <x v="385"/>
    <n v="691.19999742507935"/>
    <x v="0"/>
    <x v="1"/>
    <x v="60"/>
  </r>
  <r>
    <n v="10797"/>
    <x v="0"/>
    <n v="21"/>
    <n v="20"/>
    <n v="0"/>
    <x v="57"/>
    <x v="385"/>
    <n v="420"/>
    <x v="0"/>
    <x v="1"/>
    <x v="0"/>
  </r>
  <r>
    <n v="10798"/>
    <x v="29"/>
    <n v="49.3"/>
    <n v="2"/>
    <n v="0"/>
    <x v="42"/>
    <x v="386"/>
    <n v="98.6"/>
    <x v="5"/>
    <x v="1"/>
    <x v="29"/>
  </r>
  <r>
    <n v="10798"/>
    <x v="2"/>
    <n v="34.799999999999997"/>
    <n v="10"/>
    <n v="0"/>
    <x v="42"/>
    <x v="386"/>
    <n v="348"/>
    <x v="0"/>
    <x v="1"/>
    <x v="2"/>
  </r>
  <r>
    <n v="10799"/>
    <x v="43"/>
    <n v="6"/>
    <n v="20"/>
    <n v="0.15000000596046448"/>
    <x v="44"/>
    <x v="386"/>
    <n v="101.99999928474426"/>
    <x v="3"/>
    <x v="1"/>
    <x v="43"/>
  </r>
  <r>
    <n v="10799"/>
    <x v="15"/>
    <n v="4.5"/>
    <n v="20"/>
    <n v="0.15000000596046448"/>
    <x v="44"/>
    <x v="386"/>
    <n v="76.499999463558197"/>
    <x v="6"/>
    <x v="1"/>
    <x v="15"/>
  </r>
  <r>
    <n v="10799"/>
    <x v="21"/>
    <n v="55"/>
    <n v="25"/>
    <n v="0"/>
    <x v="44"/>
    <x v="386"/>
    <n v="1375"/>
    <x v="0"/>
    <x v="1"/>
    <x v="21"/>
  </r>
  <r>
    <n v="10800"/>
    <x v="0"/>
    <n v="21"/>
    <n v="50"/>
    <n v="0.10000000149011612"/>
    <x v="56"/>
    <x v="386"/>
    <n v="944.99999843537807"/>
    <x v="0"/>
    <x v="1"/>
    <x v="0"/>
  </r>
  <r>
    <n v="10800"/>
    <x v="4"/>
    <n v="53"/>
    <n v="10"/>
    <n v="0.10000000149011612"/>
    <x v="56"/>
    <x v="386"/>
    <n v="476.99999921023846"/>
    <x v="2"/>
    <x v="1"/>
    <x v="4"/>
  </r>
  <r>
    <n v="10800"/>
    <x v="55"/>
    <n v="7.45"/>
    <n v="7"/>
    <n v="0.10000000149011612"/>
    <x v="56"/>
    <x v="386"/>
    <n v="46.934999922290444"/>
    <x v="7"/>
    <x v="1"/>
    <x v="55"/>
  </r>
  <r>
    <n v="10801"/>
    <x v="35"/>
    <n v="39"/>
    <n v="40"/>
    <n v="0.25"/>
    <x v="46"/>
    <x v="387"/>
    <n v="1170"/>
    <x v="7"/>
    <x v="1"/>
    <x v="35"/>
  </r>
  <r>
    <n v="10801"/>
    <x v="39"/>
    <n v="123.79"/>
    <n v="20"/>
    <n v="0.25"/>
    <x v="46"/>
    <x v="387"/>
    <n v="1856.8500000000001"/>
    <x v="7"/>
    <x v="1"/>
    <x v="39"/>
  </r>
  <r>
    <n v="10802"/>
    <x v="34"/>
    <n v="25.89"/>
    <n v="25"/>
    <n v="0.25"/>
    <x v="51"/>
    <x v="387"/>
    <n v="485.4375"/>
    <x v="3"/>
    <x v="1"/>
    <x v="34"/>
  </r>
  <r>
    <n v="10802"/>
    <x v="4"/>
    <n v="53"/>
    <n v="30"/>
    <n v="0.25"/>
    <x v="51"/>
    <x v="387"/>
    <n v="1192.5"/>
    <x v="2"/>
    <x v="1"/>
    <x v="4"/>
  </r>
  <r>
    <n v="10802"/>
    <x v="16"/>
    <n v="24"/>
    <n v="60"/>
    <n v="0.25"/>
    <x v="51"/>
    <x v="387"/>
    <n v="1080"/>
    <x v="7"/>
    <x v="1"/>
    <x v="16"/>
  </r>
  <r>
    <n v="10802"/>
    <x v="29"/>
    <n v="49.3"/>
    <n v="5"/>
    <n v="0.25"/>
    <x v="51"/>
    <x v="387"/>
    <n v="184.875"/>
    <x v="5"/>
    <x v="1"/>
    <x v="29"/>
  </r>
  <r>
    <n v="10803"/>
    <x v="49"/>
    <n v="9.1999999999999993"/>
    <n v="24"/>
    <n v="5.000000074505806E-2"/>
    <x v="7"/>
    <x v="388"/>
    <n v="209.75999983549116"/>
    <x v="5"/>
    <x v="1"/>
    <x v="49"/>
  </r>
  <r>
    <n v="10803"/>
    <x v="66"/>
    <n v="14"/>
    <n v="15"/>
    <n v="5.000000074505806E-2"/>
    <x v="7"/>
    <x v="388"/>
    <n v="199.49999984353781"/>
    <x v="5"/>
    <x v="1"/>
    <x v="66"/>
  </r>
  <r>
    <n v="10803"/>
    <x v="21"/>
    <n v="55"/>
    <n v="15"/>
    <n v="5.000000074505806E-2"/>
    <x v="7"/>
    <x v="388"/>
    <n v="783.7499993853271"/>
    <x v="0"/>
    <x v="1"/>
    <x v="21"/>
  </r>
  <r>
    <n v="10804"/>
    <x v="41"/>
    <n v="31"/>
    <n v="36"/>
    <n v="0"/>
    <x v="56"/>
    <x v="388"/>
    <n v="1116"/>
    <x v="3"/>
    <x v="1"/>
    <x v="41"/>
  </r>
  <r>
    <n v="10804"/>
    <x v="44"/>
    <n v="45.6"/>
    <n v="24"/>
    <n v="0"/>
    <x v="56"/>
    <x v="388"/>
    <n v="1094.4000000000001"/>
    <x v="2"/>
    <x v="1"/>
    <x v="44"/>
  </r>
  <r>
    <n v="10804"/>
    <x v="14"/>
    <n v="20"/>
    <n v="4"/>
    <n v="0.15000000596046448"/>
    <x v="56"/>
    <x v="388"/>
    <n v="67.999999523162842"/>
    <x v="5"/>
    <x v="1"/>
    <x v="14"/>
  </r>
  <r>
    <n v="10805"/>
    <x v="53"/>
    <n v="14"/>
    <n v="10"/>
    <n v="0"/>
    <x v="40"/>
    <x v="388"/>
    <n v="140"/>
    <x v="6"/>
    <x v="1"/>
    <x v="53"/>
  </r>
  <r>
    <n v="10805"/>
    <x v="67"/>
    <n v="263.5"/>
    <n v="10"/>
    <n v="0"/>
    <x v="40"/>
    <x v="388"/>
    <n v="2635"/>
    <x v="6"/>
    <x v="1"/>
    <x v="67"/>
  </r>
  <r>
    <n v="10806"/>
    <x v="18"/>
    <n v="19"/>
    <n v="20"/>
    <n v="0.25"/>
    <x v="3"/>
    <x v="389"/>
    <n v="285"/>
    <x v="6"/>
    <x v="1"/>
    <x v="18"/>
  </r>
  <r>
    <n v="10806"/>
    <x v="6"/>
    <n v="21.05"/>
    <n v="2"/>
    <n v="0"/>
    <x v="3"/>
    <x v="389"/>
    <n v="42.1"/>
    <x v="4"/>
    <x v="1"/>
    <x v="6"/>
  </r>
  <r>
    <n v="10806"/>
    <x v="17"/>
    <n v="10"/>
    <n v="15"/>
    <n v="0.25"/>
    <x v="3"/>
    <x v="389"/>
    <n v="112.5"/>
    <x v="2"/>
    <x v="1"/>
    <x v="17"/>
  </r>
  <r>
    <n v="10807"/>
    <x v="37"/>
    <n v="18.399999999999999"/>
    <n v="1"/>
    <n v="0"/>
    <x v="70"/>
    <x v="389"/>
    <n v="18.399999999999999"/>
    <x v="3"/>
    <x v="1"/>
    <x v="37"/>
  </r>
  <r>
    <n v="10808"/>
    <x v="33"/>
    <n v="38"/>
    <n v="20"/>
    <n v="0.15000000596046448"/>
    <x v="37"/>
    <x v="390"/>
    <n v="645.999995470047"/>
    <x v="1"/>
    <x v="2"/>
    <x v="33"/>
  </r>
  <r>
    <n v="10808"/>
    <x v="38"/>
    <n v="18"/>
    <n v="50"/>
    <n v="0.15000000596046448"/>
    <x v="37"/>
    <x v="390"/>
    <n v="764.99999463558197"/>
    <x v="6"/>
    <x v="2"/>
    <x v="38"/>
  </r>
  <r>
    <n v="10809"/>
    <x v="65"/>
    <n v="7"/>
    <n v="20"/>
    <n v="0"/>
    <x v="7"/>
    <x v="390"/>
    <n v="140"/>
    <x v="1"/>
    <x v="2"/>
    <x v="65"/>
  </r>
  <r>
    <n v="10810"/>
    <x v="43"/>
    <n v="6"/>
    <n v="7"/>
    <n v="0"/>
    <x v="75"/>
    <x v="390"/>
    <n v="42"/>
    <x v="3"/>
    <x v="2"/>
    <x v="43"/>
  </r>
  <r>
    <n v="10810"/>
    <x v="66"/>
    <n v="14"/>
    <n v="5"/>
    <n v="0"/>
    <x v="75"/>
    <x v="390"/>
    <n v="70"/>
    <x v="5"/>
    <x v="2"/>
    <x v="66"/>
  </r>
  <r>
    <n v="10810"/>
    <x v="30"/>
    <n v="15"/>
    <n v="5"/>
    <n v="0"/>
    <x v="75"/>
    <x v="390"/>
    <n v="75"/>
    <x v="6"/>
    <x v="2"/>
    <x v="30"/>
  </r>
  <r>
    <n v="10811"/>
    <x v="49"/>
    <n v="9.1999999999999993"/>
    <n v="15"/>
    <n v="0"/>
    <x v="67"/>
    <x v="391"/>
    <n v="138"/>
    <x v="5"/>
    <x v="2"/>
    <x v="49"/>
  </r>
  <r>
    <n v="10811"/>
    <x v="70"/>
    <n v="9"/>
    <n v="18"/>
    <n v="0"/>
    <x v="67"/>
    <x v="391"/>
    <n v="162"/>
    <x v="1"/>
    <x v="2"/>
    <x v="70"/>
  </r>
  <r>
    <n v="10811"/>
    <x v="37"/>
    <n v="18.399999999999999"/>
    <n v="30"/>
    <n v="0"/>
    <x v="67"/>
    <x v="391"/>
    <n v="552"/>
    <x v="3"/>
    <x v="2"/>
    <x v="37"/>
  </r>
  <r>
    <n v="10812"/>
    <x v="12"/>
    <n v="12.5"/>
    <n v="16"/>
    <n v="0.10000000149011612"/>
    <x v="30"/>
    <x v="391"/>
    <n v="179.99999970197678"/>
    <x v="0"/>
    <x v="2"/>
    <x v="12"/>
  </r>
  <r>
    <n v="10812"/>
    <x v="2"/>
    <n v="34.799999999999997"/>
    <n v="40"/>
    <n v="0.10000000149011612"/>
    <x v="30"/>
    <x v="391"/>
    <n v="1252.7999979257584"/>
    <x v="0"/>
    <x v="2"/>
    <x v="2"/>
  </r>
  <r>
    <n v="10812"/>
    <x v="23"/>
    <n v="13"/>
    <n v="20"/>
    <n v="0"/>
    <x v="30"/>
    <x v="391"/>
    <n v="260"/>
    <x v="4"/>
    <x v="2"/>
    <x v="23"/>
  </r>
  <r>
    <n v="10813"/>
    <x v="18"/>
    <n v="19"/>
    <n v="12"/>
    <n v="0.20000000298023224"/>
    <x v="29"/>
    <x v="392"/>
    <n v="182.39999932050705"/>
    <x v="6"/>
    <x v="2"/>
    <x v="18"/>
  </r>
  <r>
    <n v="10813"/>
    <x v="54"/>
    <n v="12"/>
    <n v="35"/>
    <n v="0"/>
    <x v="29"/>
    <x v="392"/>
    <n v="420"/>
    <x v="3"/>
    <x v="2"/>
    <x v="54"/>
  </r>
  <r>
    <n v="10814"/>
    <x v="5"/>
    <n v="9.65"/>
    <n v="20"/>
    <n v="0"/>
    <x v="3"/>
    <x v="392"/>
    <n v="193"/>
    <x v="3"/>
    <x v="2"/>
    <x v="5"/>
  </r>
  <r>
    <n v="10814"/>
    <x v="40"/>
    <n v="46"/>
    <n v="20"/>
    <n v="0.15000000596046448"/>
    <x v="3"/>
    <x v="392"/>
    <n v="781.99999451637268"/>
    <x v="6"/>
    <x v="2"/>
    <x v="40"/>
  </r>
  <r>
    <n v="10814"/>
    <x v="74"/>
    <n v="12.75"/>
    <n v="8"/>
    <n v="0.15000000596046448"/>
    <x v="3"/>
    <x v="392"/>
    <n v="86.699999392032623"/>
    <x v="5"/>
    <x v="2"/>
    <x v="74"/>
  </r>
  <r>
    <n v="10814"/>
    <x v="75"/>
    <n v="28.5"/>
    <n v="30"/>
    <n v="0.15000000596046448"/>
    <x v="3"/>
    <x v="392"/>
    <n v="726.74999490380287"/>
    <x v="4"/>
    <x v="2"/>
    <x v="75"/>
  </r>
  <r>
    <n v="10815"/>
    <x v="10"/>
    <n v="2.5"/>
    <n v="16"/>
    <n v="0"/>
    <x v="45"/>
    <x v="392"/>
    <n v="40"/>
    <x v="0"/>
    <x v="2"/>
    <x v="10"/>
  </r>
  <r>
    <n v="10816"/>
    <x v="67"/>
    <n v="263.5"/>
    <n v="30"/>
    <n v="5.000000074505806E-2"/>
    <x v="79"/>
    <x v="393"/>
    <n v="7509.749994110316"/>
    <x v="6"/>
    <x v="2"/>
    <x v="67"/>
  </r>
  <r>
    <n v="10816"/>
    <x v="29"/>
    <n v="49.3"/>
    <n v="20"/>
    <n v="5.000000074505806E-2"/>
    <x v="79"/>
    <x v="393"/>
    <n v="936.69999926537275"/>
    <x v="5"/>
    <x v="2"/>
    <x v="29"/>
  </r>
  <r>
    <n v="10817"/>
    <x v="68"/>
    <n v="31.23"/>
    <n v="40"/>
    <n v="0.15000000596046448"/>
    <x v="44"/>
    <x v="393"/>
    <n v="1061.8199925541878"/>
    <x v="5"/>
    <x v="2"/>
    <x v="68"/>
  </r>
  <r>
    <n v="10817"/>
    <x v="67"/>
    <n v="263.5"/>
    <n v="30"/>
    <n v="0"/>
    <x v="44"/>
    <x v="393"/>
    <n v="7905"/>
    <x v="6"/>
    <x v="2"/>
    <x v="67"/>
  </r>
  <r>
    <n v="10817"/>
    <x v="37"/>
    <n v="18.399999999999999"/>
    <n v="60"/>
    <n v="0.15000000596046448"/>
    <x v="44"/>
    <x v="393"/>
    <n v="938.39999341964722"/>
    <x v="3"/>
    <x v="2"/>
    <x v="37"/>
  </r>
  <r>
    <n v="10817"/>
    <x v="29"/>
    <n v="49.3"/>
    <n v="25"/>
    <n v="0.15000000596046448"/>
    <x v="44"/>
    <x v="393"/>
    <n v="1047.6249926537275"/>
    <x v="5"/>
    <x v="2"/>
    <x v="29"/>
  </r>
  <r>
    <n v="10818"/>
    <x v="26"/>
    <n v="32"/>
    <n v="20"/>
    <n v="0"/>
    <x v="22"/>
    <x v="394"/>
    <n v="640"/>
    <x v="0"/>
    <x v="2"/>
    <x v="26"/>
  </r>
  <r>
    <n v="10818"/>
    <x v="5"/>
    <n v="9.65"/>
    <n v="20"/>
    <n v="0"/>
    <x v="22"/>
    <x v="394"/>
    <n v="193"/>
    <x v="3"/>
    <x v="2"/>
    <x v="5"/>
  </r>
  <r>
    <n v="10819"/>
    <x v="40"/>
    <n v="46"/>
    <n v="7"/>
    <n v="0"/>
    <x v="78"/>
    <x v="394"/>
    <n v="322"/>
    <x v="6"/>
    <x v="2"/>
    <x v="40"/>
  </r>
  <r>
    <n v="10819"/>
    <x v="48"/>
    <n v="7.75"/>
    <n v="20"/>
    <n v="0"/>
    <x v="78"/>
    <x v="394"/>
    <n v="155"/>
    <x v="6"/>
    <x v="2"/>
    <x v="48"/>
  </r>
  <r>
    <n v="10820"/>
    <x v="33"/>
    <n v="38"/>
    <n v="30"/>
    <n v="0"/>
    <x v="13"/>
    <x v="394"/>
    <n v="1140"/>
    <x v="1"/>
    <x v="2"/>
    <x v="33"/>
  </r>
  <r>
    <n v="10821"/>
    <x v="31"/>
    <n v="18"/>
    <n v="20"/>
    <n v="0"/>
    <x v="20"/>
    <x v="395"/>
    <n v="360"/>
    <x v="6"/>
    <x v="2"/>
    <x v="31"/>
  </r>
  <r>
    <n v="10821"/>
    <x v="4"/>
    <n v="53"/>
    <n v="6"/>
    <n v="0"/>
    <x v="20"/>
    <x v="395"/>
    <n v="318"/>
    <x v="2"/>
    <x v="2"/>
    <x v="4"/>
  </r>
  <r>
    <n v="10822"/>
    <x v="29"/>
    <n v="49.3"/>
    <n v="3"/>
    <n v="0"/>
    <x v="81"/>
    <x v="395"/>
    <n v="147.89999999999998"/>
    <x v="5"/>
    <x v="2"/>
    <x v="29"/>
  </r>
  <r>
    <n v="10822"/>
    <x v="30"/>
    <n v="15"/>
    <n v="6"/>
    <n v="0"/>
    <x v="81"/>
    <x v="395"/>
    <n v="90"/>
    <x v="6"/>
    <x v="2"/>
    <x v="30"/>
  </r>
  <r>
    <n v="10823"/>
    <x v="0"/>
    <n v="21"/>
    <n v="20"/>
    <n v="0.10000000149011612"/>
    <x v="28"/>
    <x v="396"/>
    <n v="377.99999937415123"/>
    <x v="0"/>
    <x v="2"/>
    <x v="0"/>
  </r>
  <r>
    <n v="10823"/>
    <x v="8"/>
    <n v="19.5"/>
    <n v="15"/>
    <n v="0"/>
    <x v="28"/>
    <x v="396"/>
    <n v="292.5"/>
    <x v="1"/>
    <x v="2"/>
    <x v="8"/>
  </r>
  <r>
    <n v="10823"/>
    <x v="21"/>
    <n v="55"/>
    <n v="40"/>
    <n v="0.10000000149011612"/>
    <x v="28"/>
    <x v="396"/>
    <n v="1979.9999967217445"/>
    <x v="0"/>
    <x v="2"/>
    <x v="21"/>
  </r>
  <r>
    <n v="10823"/>
    <x v="23"/>
    <n v="13"/>
    <n v="15"/>
    <n v="0.10000000149011612"/>
    <x v="28"/>
    <x v="396"/>
    <n v="175.49999970942736"/>
    <x v="4"/>
    <x v="2"/>
    <x v="23"/>
  </r>
  <r>
    <n v="10824"/>
    <x v="5"/>
    <n v="9.65"/>
    <n v="12"/>
    <n v="0"/>
    <x v="14"/>
    <x v="396"/>
    <n v="115.80000000000001"/>
    <x v="3"/>
    <x v="2"/>
    <x v="5"/>
  </r>
  <r>
    <n v="10824"/>
    <x v="30"/>
    <n v="15"/>
    <n v="9"/>
    <n v="0"/>
    <x v="14"/>
    <x v="396"/>
    <n v="135"/>
    <x v="6"/>
    <x v="2"/>
    <x v="30"/>
  </r>
  <r>
    <n v="10825"/>
    <x v="68"/>
    <n v="31.23"/>
    <n v="12"/>
    <n v="0"/>
    <x v="57"/>
    <x v="396"/>
    <n v="374.76"/>
    <x v="5"/>
    <x v="2"/>
    <x v="68"/>
  </r>
  <r>
    <n v="10825"/>
    <x v="22"/>
    <n v="32.799999999999997"/>
    <n v="20"/>
    <n v="0"/>
    <x v="57"/>
    <x v="396"/>
    <n v="656"/>
    <x v="7"/>
    <x v="2"/>
    <x v="22"/>
  </r>
  <r>
    <n v="10826"/>
    <x v="12"/>
    <n v="12.5"/>
    <n v="35"/>
    <n v="0"/>
    <x v="15"/>
    <x v="397"/>
    <n v="437.5"/>
    <x v="0"/>
    <x v="2"/>
    <x v="12"/>
  </r>
  <r>
    <n v="10826"/>
    <x v="8"/>
    <n v="19.5"/>
    <n v="15"/>
    <n v="0"/>
    <x v="15"/>
    <x v="397"/>
    <n v="292.5"/>
    <x v="1"/>
    <x v="2"/>
    <x v="8"/>
  </r>
  <r>
    <n v="10827"/>
    <x v="41"/>
    <n v="31"/>
    <n v="15"/>
    <n v="0"/>
    <x v="48"/>
    <x v="397"/>
    <n v="465"/>
    <x v="3"/>
    <x v="2"/>
    <x v="41"/>
  </r>
  <r>
    <n v="10827"/>
    <x v="13"/>
    <n v="18"/>
    <n v="21"/>
    <n v="0"/>
    <x v="48"/>
    <x v="397"/>
    <n v="378"/>
    <x v="6"/>
    <x v="2"/>
    <x v="13"/>
  </r>
  <r>
    <n v="10828"/>
    <x v="9"/>
    <n v="81"/>
    <n v="5"/>
    <n v="0"/>
    <x v="73"/>
    <x v="398"/>
    <n v="405"/>
    <x v="5"/>
    <x v="2"/>
    <x v="9"/>
  </r>
  <r>
    <n v="10828"/>
    <x v="67"/>
    <n v="263.5"/>
    <n v="2"/>
    <n v="0"/>
    <x v="73"/>
    <x v="398"/>
    <n v="527"/>
    <x v="6"/>
    <x v="2"/>
    <x v="67"/>
  </r>
  <r>
    <n v="10829"/>
    <x v="18"/>
    <n v="19"/>
    <n v="10"/>
    <n v="0"/>
    <x v="42"/>
    <x v="398"/>
    <n v="190"/>
    <x v="6"/>
    <x v="2"/>
    <x v="18"/>
  </r>
  <r>
    <n v="10829"/>
    <x v="71"/>
    <n v="40"/>
    <n v="20"/>
    <n v="0"/>
    <x v="42"/>
    <x v="398"/>
    <n v="800"/>
    <x v="4"/>
    <x v="2"/>
    <x v="71"/>
  </r>
  <r>
    <n v="10829"/>
    <x v="43"/>
    <n v="6"/>
    <n v="10"/>
    <n v="0"/>
    <x v="42"/>
    <x v="398"/>
    <n v="60"/>
    <x v="3"/>
    <x v="2"/>
    <x v="43"/>
  </r>
  <r>
    <n v="10829"/>
    <x v="11"/>
    <n v="34"/>
    <n v="21"/>
    <n v="0"/>
    <x v="42"/>
    <x v="398"/>
    <n v="714"/>
    <x v="0"/>
    <x v="2"/>
    <x v="11"/>
  </r>
  <r>
    <n v="10830"/>
    <x v="63"/>
    <n v="25"/>
    <n v="6"/>
    <n v="0"/>
    <x v="33"/>
    <x v="398"/>
    <n v="150"/>
    <x v="4"/>
    <x v="2"/>
    <x v="63"/>
  </r>
  <r>
    <n v="10830"/>
    <x v="13"/>
    <n v="18"/>
    <n v="28"/>
    <n v="0"/>
    <x v="33"/>
    <x v="398"/>
    <n v="504"/>
    <x v="6"/>
    <x v="2"/>
    <x v="13"/>
  </r>
  <r>
    <n v="10830"/>
    <x v="11"/>
    <n v="34"/>
    <n v="30"/>
    <n v="0"/>
    <x v="33"/>
    <x v="398"/>
    <n v="1020"/>
    <x v="0"/>
    <x v="2"/>
    <x v="11"/>
  </r>
  <r>
    <n v="10830"/>
    <x v="56"/>
    <n v="12.5"/>
    <n v="24"/>
    <n v="0"/>
    <x v="33"/>
    <x v="398"/>
    <n v="300"/>
    <x v="5"/>
    <x v="2"/>
    <x v="56"/>
  </r>
  <r>
    <n v="10831"/>
    <x v="49"/>
    <n v="9.1999999999999993"/>
    <n v="2"/>
    <n v="0"/>
    <x v="65"/>
    <x v="399"/>
    <n v="18.399999999999999"/>
    <x v="5"/>
    <x v="2"/>
    <x v="49"/>
  </r>
  <r>
    <n v="10831"/>
    <x v="31"/>
    <n v="18"/>
    <n v="8"/>
    <n v="0"/>
    <x v="65"/>
    <x v="399"/>
    <n v="144"/>
    <x v="6"/>
    <x v="2"/>
    <x v="31"/>
  </r>
  <r>
    <n v="10831"/>
    <x v="67"/>
    <n v="263.5"/>
    <n v="8"/>
    <n v="0"/>
    <x v="65"/>
    <x v="399"/>
    <n v="2108"/>
    <x v="6"/>
    <x v="2"/>
    <x v="67"/>
  </r>
  <r>
    <n v="10831"/>
    <x v="40"/>
    <n v="46"/>
    <n v="9"/>
    <n v="0"/>
    <x v="65"/>
    <x v="399"/>
    <n v="414"/>
    <x v="6"/>
    <x v="2"/>
    <x v="40"/>
  </r>
  <r>
    <n v="10832"/>
    <x v="43"/>
    <n v="6"/>
    <n v="3"/>
    <n v="0.20000000298023224"/>
    <x v="53"/>
    <x v="399"/>
    <n v="14.39999994635582"/>
    <x v="3"/>
    <x v="2"/>
    <x v="43"/>
  </r>
  <r>
    <n v="10832"/>
    <x v="66"/>
    <n v="14"/>
    <n v="10"/>
    <n v="0.20000000298023224"/>
    <x v="53"/>
    <x v="399"/>
    <n v="111.99999958276749"/>
    <x v="5"/>
    <x v="2"/>
    <x v="66"/>
  </r>
  <r>
    <n v="10832"/>
    <x v="45"/>
    <n v="19.45"/>
    <n v="16"/>
    <n v="0.20000000298023224"/>
    <x v="53"/>
    <x v="399"/>
    <n v="248.95999907255171"/>
    <x v="4"/>
    <x v="2"/>
    <x v="45"/>
  </r>
  <r>
    <n v="10832"/>
    <x v="58"/>
    <n v="33.25"/>
    <n v="3"/>
    <n v="0"/>
    <x v="53"/>
    <x v="399"/>
    <n v="99.75"/>
    <x v="1"/>
    <x v="2"/>
    <x v="58"/>
  </r>
  <r>
    <n v="10833"/>
    <x v="32"/>
    <n v="30"/>
    <n v="20"/>
    <n v="0.10000000149011612"/>
    <x v="11"/>
    <x v="400"/>
    <n v="539.99999910593033"/>
    <x v="2"/>
    <x v="2"/>
    <x v="32"/>
  </r>
  <r>
    <n v="10833"/>
    <x v="12"/>
    <n v="12.5"/>
    <n v="9"/>
    <n v="0.10000000149011612"/>
    <x v="11"/>
    <x v="400"/>
    <n v="101.24999983236194"/>
    <x v="0"/>
    <x v="2"/>
    <x v="12"/>
  </r>
  <r>
    <n v="10833"/>
    <x v="22"/>
    <n v="32.799999999999997"/>
    <n v="9"/>
    <n v="0.10000000149011612"/>
    <x v="11"/>
    <x v="400"/>
    <n v="265.67999956011772"/>
    <x v="7"/>
    <x v="2"/>
    <x v="22"/>
  </r>
  <r>
    <n v="10834"/>
    <x v="39"/>
    <n v="123.79"/>
    <n v="8"/>
    <n v="5.000000074505806E-2"/>
    <x v="33"/>
    <x v="400"/>
    <n v="940.80399926215409"/>
    <x v="7"/>
    <x v="2"/>
    <x v="39"/>
  </r>
  <r>
    <n v="10834"/>
    <x v="34"/>
    <n v="25.89"/>
    <n v="20"/>
    <n v="5.000000074505806E-2"/>
    <x v="33"/>
    <x v="400"/>
    <n v="491.90999961420891"/>
    <x v="3"/>
    <x v="2"/>
    <x v="34"/>
  </r>
  <r>
    <n v="10835"/>
    <x v="21"/>
    <n v="55"/>
    <n v="15"/>
    <n v="0"/>
    <x v="85"/>
    <x v="400"/>
    <n v="825"/>
    <x v="0"/>
    <x v="2"/>
    <x v="21"/>
  </r>
  <r>
    <n v="10835"/>
    <x v="23"/>
    <n v="13"/>
    <n v="2"/>
    <n v="0.20000000298023224"/>
    <x v="85"/>
    <x v="400"/>
    <n v="20.799999922513962"/>
    <x v="4"/>
    <x v="2"/>
    <x v="23"/>
  </r>
  <r>
    <n v="10836"/>
    <x v="7"/>
    <n v="21"/>
    <n v="52"/>
    <n v="0"/>
    <x v="9"/>
    <x v="401"/>
    <n v="1092"/>
    <x v="1"/>
    <x v="2"/>
    <x v="7"/>
  </r>
  <r>
    <n v="10836"/>
    <x v="31"/>
    <n v="18"/>
    <n v="6"/>
    <n v="0"/>
    <x v="9"/>
    <x v="401"/>
    <n v="108"/>
    <x v="6"/>
    <x v="2"/>
    <x v="31"/>
  </r>
  <r>
    <n v="10836"/>
    <x v="8"/>
    <n v="19.5"/>
    <n v="24"/>
    <n v="0"/>
    <x v="9"/>
    <x v="401"/>
    <n v="468"/>
    <x v="1"/>
    <x v="2"/>
    <x v="8"/>
  </r>
  <r>
    <n v="10836"/>
    <x v="11"/>
    <n v="34"/>
    <n v="60"/>
    <n v="0"/>
    <x v="9"/>
    <x v="401"/>
    <n v="2040"/>
    <x v="0"/>
    <x v="2"/>
    <x v="11"/>
  </r>
  <r>
    <n v="10836"/>
    <x v="58"/>
    <n v="33.25"/>
    <n v="30"/>
    <n v="0"/>
    <x v="9"/>
    <x v="401"/>
    <n v="997.5"/>
    <x v="1"/>
    <x v="2"/>
    <x v="58"/>
  </r>
  <r>
    <n v="10837"/>
    <x v="43"/>
    <n v="6"/>
    <n v="6"/>
    <n v="0"/>
    <x v="25"/>
    <x v="401"/>
    <n v="36"/>
    <x v="3"/>
    <x v="2"/>
    <x v="43"/>
  </r>
  <r>
    <n v="10837"/>
    <x v="37"/>
    <n v="18.399999999999999"/>
    <n v="25"/>
    <n v="0"/>
    <x v="25"/>
    <x v="401"/>
    <n v="459.99999999999994"/>
    <x v="3"/>
    <x v="2"/>
    <x v="37"/>
  </r>
  <r>
    <n v="10837"/>
    <x v="69"/>
    <n v="9.5"/>
    <n v="40"/>
    <n v="0.25"/>
    <x v="25"/>
    <x v="401"/>
    <n v="285"/>
    <x v="5"/>
    <x v="2"/>
    <x v="69"/>
  </r>
  <r>
    <n v="10837"/>
    <x v="38"/>
    <n v="18"/>
    <n v="21"/>
    <n v="0.25"/>
    <x v="25"/>
    <x v="401"/>
    <n v="283.5"/>
    <x v="6"/>
    <x v="2"/>
    <x v="38"/>
  </r>
  <r>
    <n v="10838"/>
    <x v="52"/>
    <n v="18"/>
    <n v="4"/>
    <n v="0.25"/>
    <x v="67"/>
    <x v="402"/>
    <n v="54"/>
    <x v="6"/>
    <x v="2"/>
    <x v="52"/>
  </r>
  <r>
    <n v="10838"/>
    <x v="59"/>
    <n v="62.5"/>
    <n v="25"/>
    <n v="0.25"/>
    <x v="67"/>
    <x v="402"/>
    <n v="1171.875"/>
    <x v="3"/>
    <x v="2"/>
    <x v="59"/>
  </r>
  <r>
    <n v="10838"/>
    <x v="20"/>
    <n v="19"/>
    <n v="50"/>
    <n v="0.25"/>
    <x v="67"/>
    <x v="402"/>
    <n v="712.5"/>
    <x v="3"/>
    <x v="2"/>
    <x v="20"/>
  </r>
  <r>
    <n v="10839"/>
    <x v="64"/>
    <n v="13.25"/>
    <n v="30"/>
    <n v="0.10000000149011612"/>
    <x v="33"/>
    <x v="402"/>
    <n v="357.74999940767884"/>
    <x v="3"/>
    <x v="2"/>
    <x v="64"/>
  </r>
  <r>
    <n v="10839"/>
    <x v="2"/>
    <n v="34.799999999999997"/>
    <n v="15"/>
    <n v="0.10000000149011612"/>
    <x v="33"/>
    <x v="402"/>
    <n v="469.79999922215939"/>
    <x v="0"/>
    <x v="2"/>
    <x v="2"/>
  </r>
  <r>
    <n v="10840"/>
    <x v="66"/>
    <n v="14"/>
    <n v="6"/>
    <n v="0.20000000298023224"/>
    <x v="67"/>
    <x v="402"/>
    <n v="67.199999749660492"/>
    <x v="5"/>
    <x v="2"/>
    <x v="66"/>
  </r>
  <r>
    <n v="10840"/>
    <x v="13"/>
    <n v="18"/>
    <n v="10"/>
    <n v="0.20000000298023224"/>
    <x v="67"/>
    <x v="402"/>
    <n v="143.9999994635582"/>
    <x v="6"/>
    <x v="2"/>
    <x v="13"/>
  </r>
  <r>
    <n v="10841"/>
    <x v="41"/>
    <n v="31"/>
    <n v="16"/>
    <n v="0"/>
    <x v="4"/>
    <x v="403"/>
    <n v="496"/>
    <x v="3"/>
    <x v="2"/>
    <x v="41"/>
  </r>
  <r>
    <n v="10841"/>
    <x v="33"/>
    <n v="38"/>
    <n v="30"/>
    <n v="0"/>
    <x v="4"/>
    <x v="403"/>
    <n v="1140"/>
    <x v="1"/>
    <x v="2"/>
    <x v="33"/>
  </r>
  <r>
    <n v="10841"/>
    <x v="21"/>
    <n v="55"/>
    <n v="50"/>
    <n v="0"/>
    <x v="4"/>
    <x v="403"/>
    <n v="2750"/>
    <x v="0"/>
    <x v="2"/>
    <x v="21"/>
  </r>
  <r>
    <n v="10841"/>
    <x v="23"/>
    <n v="13"/>
    <n v="15"/>
    <n v="0"/>
    <x v="4"/>
    <x v="403"/>
    <n v="195"/>
    <x v="4"/>
    <x v="2"/>
    <x v="23"/>
  </r>
  <r>
    <n v="10842"/>
    <x v="0"/>
    <n v="21"/>
    <n v="15"/>
    <n v="0"/>
    <x v="23"/>
    <x v="403"/>
    <n v="315"/>
    <x v="0"/>
    <x v="2"/>
    <x v="0"/>
  </r>
  <r>
    <n v="10842"/>
    <x v="40"/>
    <n v="46"/>
    <n v="5"/>
    <n v="0"/>
    <x v="23"/>
    <x v="403"/>
    <n v="230"/>
    <x v="6"/>
    <x v="2"/>
    <x v="40"/>
  </r>
  <r>
    <n v="10842"/>
    <x v="56"/>
    <n v="12.5"/>
    <n v="20"/>
    <n v="0"/>
    <x v="23"/>
    <x v="403"/>
    <n v="250"/>
    <x v="5"/>
    <x v="2"/>
    <x v="56"/>
  </r>
  <r>
    <n v="10842"/>
    <x v="30"/>
    <n v="15"/>
    <n v="12"/>
    <n v="0"/>
    <x v="23"/>
    <x v="403"/>
    <n v="180"/>
    <x v="6"/>
    <x v="2"/>
    <x v="30"/>
  </r>
  <r>
    <n v="10843"/>
    <x v="4"/>
    <n v="53"/>
    <n v="4"/>
    <n v="0.25"/>
    <x v="3"/>
    <x v="404"/>
    <n v="159"/>
    <x v="2"/>
    <x v="2"/>
    <x v="4"/>
  </r>
  <r>
    <n v="10844"/>
    <x v="7"/>
    <n v="21"/>
    <n v="35"/>
    <n v="0"/>
    <x v="54"/>
    <x v="404"/>
    <n v="735"/>
    <x v="1"/>
    <x v="2"/>
    <x v="7"/>
  </r>
  <r>
    <n v="10845"/>
    <x v="70"/>
    <n v="9"/>
    <n v="70"/>
    <n v="0.10000000149011612"/>
    <x v="21"/>
    <x v="404"/>
    <n v="566.99999906122684"/>
    <x v="1"/>
    <x v="2"/>
    <x v="70"/>
  </r>
  <r>
    <n v="10845"/>
    <x v="31"/>
    <n v="18"/>
    <n v="25"/>
    <n v="0.10000000149011612"/>
    <x v="21"/>
    <x v="404"/>
    <n v="404.99999932944775"/>
    <x v="6"/>
    <x v="2"/>
    <x v="31"/>
  </r>
  <r>
    <n v="10845"/>
    <x v="1"/>
    <n v="14"/>
    <n v="42"/>
    <n v="0.10000000149011612"/>
    <x v="21"/>
    <x v="404"/>
    <n v="529.19999912381172"/>
    <x v="1"/>
    <x v="2"/>
    <x v="1"/>
  </r>
  <r>
    <n v="10845"/>
    <x v="64"/>
    <n v="13.25"/>
    <n v="60"/>
    <n v="0.10000000149011612"/>
    <x v="21"/>
    <x v="404"/>
    <n v="715.49999881535769"/>
    <x v="3"/>
    <x v="2"/>
    <x v="64"/>
  </r>
  <r>
    <n v="10845"/>
    <x v="58"/>
    <n v="33.25"/>
    <n v="48"/>
    <n v="0"/>
    <x v="21"/>
    <x v="404"/>
    <n v="1596"/>
    <x v="1"/>
    <x v="2"/>
    <x v="58"/>
  </r>
  <r>
    <n v="10846"/>
    <x v="62"/>
    <n v="22"/>
    <n v="21"/>
    <n v="0"/>
    <x v="4"/>
    <x v="405"/>
    <n v="462"/>
    <x v="4"/>
    <x v="2"/>
    <x v="62"/>
  </r>
  <r>
    <n v="10846"/>
    <x v="30"/>
    <n v="15"/>
    <n v="30"/>
    <n v="0"/>
    <x v="4"/>
    <x v="405"/>
    <n v="450"/>
    <x v="6"/>
    <x v="2"/>
    <x v="30"/>
  </r>
  <r>
    <n v="10846"/>
    <x v="17"/>
    <n v="10"/>
    <n v="20"/>
    <n v="0"/>
    <x v="4"/>
    <x v="405"/>
    <n v="200"/>
    <x v="2"/>
    <x v="2"/>
    <x v="17"/>
  </r>
  <r>
    <n v="10847"/>
    <x v="52"/>
    <n v="18"/>
    <n v="80"/>
    <n v="0.20000000298023224"/>
    <x v="45"/>
    <x v="405"/>
    <n v="1151.9999957084656"/>
    <x v="6"/>
    <x v="2"/>
    <x v="52"/>
  </r>
  <r>
    <n v="10847"/>
    <x v="49"/>
    <n v="9.1999999999999993"/>
    <n v="12"/>
    <n v="0.20000000298023224"/>
    <x v="45"/>
    <x v="405"/>
    <n v="88.319999670982355"/>
    <x v="5"/>
    <x v="2"/>
    <x v="49"/>
  </r>
  <r>
    <n v="10847"/>
    <x v="28"/>
    <n v="26"/>
    <n v="60"/>
    <n v="0.20000000298023224"/>
    <x v="45"/>
    <x v="405"/>
    <n v="1247.9999953508377"/>
    <x v="3"/>
    <x v="2"/>
    <x v="28"/>
  </r>
  <r>
    <n v="10847"/>
    <x v="73"/>
    <n v="9.5"/>
    <n v="36"/>
    <n v="0.20000000298023224"/>
    <x v="45"/>
    <x v="405"/>
    <n v="273.59999898076057"/>
    <x v="3"/>
    <x v="2"/>
    <x v="73"/>
  </r>
  <r>
    <n v="10847"/>
    <x v="11"/>
    <n v="34"/>
    <n v="45"/>
    <n v="0.20000000298023224"/>
    <x v="45"/>
    <x v="405"/>
    <n v="1223.9999954402447"/>
    <x v="0"/>
    <x v="2"/>
    <x v="11"/>
  </r>
  <r>
    <n v="10847"/>
    <x v="42"/>
    <n v="21.5"/>
    <n v="55"/>
    <n v="0.20000000298023224"/>
    <x v="45"/>
    <x v="405"/>
    <n v="945.99999647587538"/>
    <x v="0"/>
    <x v="2"/>
    <x v="42"/>
  </r>
  <r>
    <n v="10848"/>
    <x v="25"/>
    <n v="21.35"/>
    <n v="30"/>
    <n v="0"/>
    <x v="72"/>
    <x v="406"/>
    <n v="640.5"/>
    <x v="4"/>
    <x v="2"/>
    <x v="25"/>
  </r>
  <r>
    <n v="10848"/>
    <x v="76"/>
    <n v="97"/>
    <n v="3"/>
    <n v="0"/>
    <x v="72"/>
    <x v="406"/>
    <n v="291"/>
    <x v="7"/>
    <x v="2"/>
    <x v="76"/>
  </r>
  <r>
    <n v="10849"/>
    <x v="57"/>
    <n v="10"/>
    <n v="49"/>
    <n v="0"/>
    <x v="44"/>
    <x v="406"/>
    <n v="490"/>
    <x v="4"/>
    <x v="2"/>
    <x v="57"/>
  </r>
  <r>
    <n v="10849"/>
    <x v="68"/>
    <n v="31.23"/>
    <n v="18"/>
    <n v="0.15000000596046448"/>
    <x v="44"/>
    <x v="406"/>
    <n v="477.81899664938447"/>
    <x v="5"/>
    <x v="2"/>
    <x v="68"/>
  </r>
  <r>
    <n v="10850"/>
    <x v="66"/>
    <n v="14"/>
    <n v="20"/>
    <n v="0.15000000596046448"/>
    <x v="3"/>
    <x v="406"/>
    <n v="237.99999833106995"/>
    <x v="5"/>
    <x v="2"/>
    <x v="66"/>
  </r>
  <r>
    <n v="10850"/>
    <x v="10"/>
    <n v="2.5"/>
    <n v="4"/>
    <n v="0.15000000596046448"/>
    <x v="3"/>
    <x v="406"/>
    <n v="8.4999999403953552"/>
    <x v="0"/>
    <x v="2"/>
    <x v="10"/>
  </r>
  <r>
    <n v="10850"/>
    <x v="30"/>
    <n v="15"/>
    <n v="30"/>
    <n v="0.15000000596046448"/>
    <x v="3"/>
    <x v="406"/>
    <n v="382.49999731779099"/>
    <x v="6"/>
    <x v="2"/>
    <x v="30"/>
  </r>
  <r>
    <n v="10851"/>
    <x v="18"/>
    <n v="19"/>
    <n v="5"/>
    <n v="5.000000074505806E-2"/>
    <x v="29"/>
    <x v="407"/>
    <n v="90.249999929219484"/>
    <x v="6"/>
    <x v="2"/>
    <x v="18"/>
  </r>
  <r>
    <n v="10851"/>
    <x v="66"/>
    <n v="14"/>
    <n v="10"/>
    <n v="5.000000074505806E-2"/>
    <x v="29"/>
    <x v="407"/>
    <n v="132.99999989569187"/>
    <x v="5"/>
    <x v="2"/>
    <x v="66"/>
  </r>
  <r>
    <n v="10851"/>
    <x v="8"/>
    <n v="19.5"/>
    <n v="10"/>
    <n v="5.000000074505806E-2"/>
    <x v="29"/>
    <x v="407"/>
    <n v="185.24999985471368"/>
    <x v="1"/>
    <x v="2"/>
    <x v="8"/>
  </r>
  <r>
    <n v="10851"/>
    <x v="21"/>
    <n v="55"/>
    <n v="42"/>
    <n v="5.000000074505806E-2"/>
    <x v="29"/>
    <x v="407"/>
    <n v="2194.4999982789159"/>
    <x v="0"/>
    <x v="2"/>
    <x v="21"/>
  </r>
  <r>
    <n v="10852"/>
    <x v="18"/>
    <n v="19"/>
    <n v="15"/>
    <n v="0"/>
    <x v="13"/>
    <x v="407"/>
    <n v="285"/>
    <x v="6"/>
    <x v="2"/>
    <x v="18"/>
  </r>
  <r>
    <n v="10852"/>
    <x v="35"/>
    <n v="39"/>
    <n v="6"/>
    <n v="0"/>
    <x v="13"/>
    <x v="407"/>
    <n v="234"/>
    <x v="7"/>
    <x v="2"/>
    <x v="35"/>
  </r>
  <r>
    <n v="10852"/>
    <x v="29"/>
    <n v="49.3"/>
    <n v="50"/>
    <n v="0"/>
    <x v="13"/>
    <x v="407"/>
    <n v="2465"/>
    <x v="5"/>
    <x v="2"/>
    <x v="29"/>
  </r>
  <r>
    <n v="10853"/>
    <x v="59"/>
    <n v="62.5"/>
    <n v="10"/>
    <n v="0"/>
    <x v="76"/>
    <x v="408"/>
    <n v="625"/>
    <x v="3"/>
    <x v="2"/>
    <x v="59"/>
  </r>
  <r>
    <n v="10854"/>
    <x v="41"/>
    <n v="31"/>
    <n v="100"/>
    <n v="0.15000000596046448"/>
    <x v="9"/>
    <x v="408"/>
    <n v="2634.9999815225601"/>
    <x v="3"/>
    <x v="2"/>
    <x v="41"/>
  </r>
  <r>
    <n v="10854"/>
    <x v="43"/>
    <n v="6"/>
    <n v="65"/>
    <n v="0.15000000596046448"/>
    <x v="9"/>
    <x v="408"/>
    <n v="331.49999767541885"/>
    <x v="3"/>
    <x v="2"/>
    <x v="43"/>
  </r>
  <r>
    <n v="10855"/>
    <x v="19"/>
    <n v="17.45"/>
    <n v="50"/>
    <n v="0"/>
    <x v="37"/>
    <x v="408"/>
    <n v="872.5"/>
    <x v="5"/>
    <x v="2"/>
    <x v="19"/>
  </r>
  <r>
    <n v="10855"/>
    <x v="12"/>
    <n v="12.5"/>
    <n v="14"/>
    <n v="0"/>
    <x v="37"/>
    <x v="408"/>
    <n v="175"/>
    <x v="0"/>
    <x v="2"/>
    <x v="12"/>
  </r>
  <r>
    <n v="10855"/>
    <x v="33"/>
    <n v="38"/>
    <n v="24"/>
    <n v="0"/>
    <x v="37"/>
    <x v="408"/>
    <n v="912"/>
    <x v="1"/>
    <x v="2"/>
    <x v="33"/>
  </r>
  <r>
    <n v="10855"/>
    <x v="6"/>
    <n v="21.05"/>
    <n v="15"/>
    <n v="0.15000000596046448"/>
    <x v="37"/>
    <x v="408"/>
    <n v="268.38749811798334"/>
    <x v="4"/>
    <x v="2"/>
    <x v="6"/>
  </r>
  <r>
    <n v="10856"/>
    <x v="18"/>
    <n v="19"/>
    <n v="20"/>
    <n v="0"/>
    <x v="59"/>
    <x v="409"/>
    <n v="380"/>
    <x v="6"/>
    <x v="2"/>
    <x v="18"/>
  </r>
  <r>
    <n v="10856"/>
    <x v="1"/>
    <n v="14"/>
    <n v="20"/>
    <n v="0"/>
    <x v="59"/>
    <x v="409"/>
    <n v="280"/>
    <x v="1"/>
    <x v="2"/>
    <x v="1"/>
  </r>
  <r>
    <n v="10857"/>
    <x v="57"/>
    <n v="10"/>
    <n v="30"/>
    <n v="0"/>
    <x v="25"/>
    <x v="409"/>
    <n v="300"/>
    <x v="4"/>
    <x v="2"/>
    <x v="57"/>
  </r>
  <r>
    <n v="10857"/>
    <x v="68"/>
    <n v="31.23"/>
    <n v="35"/>
    <n v="0.25"/>
    <x v="25"/>
    <x v="409"/>
    <n v="819.78749999999991"/>
    <x v="5"/>
    <x v="2"/>
    <x v="68"/>
  </r>
  <r>
    <n v="10857"/>
    <x v="39"/>
    <n v="123.79"/>
    <n v="10"/>
    <n v="0.25"/>
    <x v="25"/>
    <x v="409"/>
    <n v="928.42500000000007"/>
    <x v="7"/>
    <x v="2"/>
    <x v="39"/>
  </r>
  <r>
    <n v="10858"/>
    <x v="32"/>
    <n v="30"/>
    <n v="5"/>
    <n v="0"/>
    <x v="88"/>
    <x v="410"/>
    <n v="150"/>
    <x v="2"/>
    <x v="2"/>
    <x v="32"/>
  </r>
  <r>
    <n v="10858"/>
    <x v="24"/>
    <n v="43.9"/>
    <n v="10"/>
    <n v="0"/>
    <x v="88"/>
    <x v="410"/>
    <n v="439"/>
    <x v="5"/>
    <x v="2"/>
    <x v="24"/>
  </r>
  <r>
    <n v="10858"/>
    <x v="30"/>
    <n v="15"/>
    <n v="4"/>
    <n v="0"/>
    <x v="88"/>
    <x v="410"/>
    <n v="60"/>
    <x v="6"/>
    <x v="2"/>
    <x v="30"/>
  </r>
  <r>
    <n v="10859"/>
    <x v="15"/>
    <n v="4.5"/>
    <n v="40"/>
    <n v="0.25"/>
    <x v="17"/>
    <x v="410"/>
    <n v="135"/>
    <x v="6"/>
    <x v="2"/>
    <x v="15"/>
  </r>
  <r>
    <n v="10859"/>
    <x v="55"/>
    <n v="7.45"/>
    <n v="35"/>
    <n v="0.25"/>
    <x v="17"/>
    <x v="410"/>
    <n v="195.5625"/>
    <x v="7"/>
    <x v="2"/>
    <x v="55"/>
  </r>
  <r>
    <n v="10859"/>
    <x v="58"/>
    <n v="33.25"/>
    <n v="30"/>
    <n v="0.25"/>
    <x v="17"/>
    <x v="410"/>
    <n v="748.125"/>
    <x v="1"/>
    <x v="2"/>
    <x v="58"/>
  </r>
  <r>
    <n v="10860"/>
    <x v="4"/>
    <n v="53"/>
    <n v="3"/>
    <n v="0"/>
    <x v="86"/>
    <x v="410"/>
    <n v="159"/>
    <x v="2"/>
    <x v="2"/>
    <x v="4"/>
  </r>
  <r>
    <n v="10860"/>
    <x v="38"/>
    <n v="18"/>
    <n v="20"/>
    <n v="0"/>
    <x v="86"/>
    <x v="410"/>
    <n v="360"/>
    <x v="6"/>
    <x v="2"/>
    <x v="38"/>
  </r>
  <r>
    <n v="10861"/>
    <x v="35"/>
    <n v="39"/>
    <n v="42"/>
    <n v="0"/>
    <x v="19"/>
    <x v="411"/>
    <n v="1638"/>
    <x v="7"/>
    <x v="2"/>
    <x v="35"/>
  </r>
  <r>
    <n v="10861"/>
    <x v="59"/>
    <n v="62.5"/>
    <n v="20"/>
    <n v="0"/>
    <x v="19"/>
    <x v="411"/>
    <n v="1250"/>
    <x v="3"/>
    <x v="2"/>
    <x v="59"/>
  </r>
  <r>
    <n v="10861"/>
    <x v="27"/>
    <n v="10"/>
    <n v="40"/>
    <n v="0"/>
    <x v="19"/>
    <x v="411"/>
    <n v="400"/>
    <x v="5"/>
    <x v="2"/>
    <x v="27"/>
  </r>
  <r>
    <n v="10861"/>
    <x v="10"/>
    <n v="2.5"/>
    <n v="35"/>
    <n v="0"/>
    <x v="19"/>
    <x v="411"/>
    <n v="87.5"/>
    <x v="0"/>
    <x v="2"/>
    <x v="10"/>
  </r>
  <r>
    <n v="10861"/>
    <x v="29"/>
    <n v="49.3"/>
    <n v="3"/>
    <n v="0"/>
    <x v="19"/>
    <x v="411"/>
    <n v="147.89999999999998"/>
    <x v="5"/>
    <x v="2"/>
    <x v="29"/>
  </r>
  <r>
    <n v="10862"/>
    <x v="0"/>
    <n v="21"/>
    <n v="25"/>
    <n v="0"/>
    <x v="26"/>
    <x v="411"/>
    <n v="525"/>
    <x v="0"/>
    <x v="2"/>
    <x v="0"/>
  </r>
  <r>
    <n v="10862"/>
    <x v="65"/>
    <n v="7"/>
    <n v="8"/>
    <n v="0"/>
    <x v="26"/>
    <x v="411"/>
    <n v="56"/>
    <x v="1"/>
    <x v="2"/>
    <x v="65"/>
  </r>
  <r>
    <n v="10863"/>
    <x v="52"/>
    <n v="18"/>
    <n v="20"/>
    <n v="0.15000000596046448"/>
    <x v="8"/>
    <x v="412"/>
    <n v="305.99999785423279"/>
    <x v="6"/>
    <x v="2"/>
    <x v="52"/>
  </r>
  <r>
    <n v="10863"/>
    <x v="64"/>
    <n v="13.25"/>
    <n v="12"/>
    <n v="0.15000000596046448"/>
    <x v="8"/>
    <x v="412"/>
    <n v="135.14999905228615"/>
    <x v="3"/>
    <x v="2"/>
    <x v="64"/>
  </r>
  <r>
    <n v="10864"/>
    <x v="31"/>
    <n v="18"/>
    <n v="4"/>
    <n v="0"/>
    <x v="55"/>
    <x v="412"/>
    <n v="72"/>
    <x v="6"/>
    <x v="2"/>
    <x v="31"/>
  </r>
  <r>
    <n v="10864"/>
    <x v="51"/>
    <n v="14"/>
    <n v="15"/>
    <n v="0"/>
    <x v="55"/>
    <x v="412"/>
    <n v="210"/>
    <x v="6"/>
    <x v="2"/>
    <x v="51"/>
  </r>
  <r>
    <n v="10865"/>
    <x v="67"/>
    <n v="263.5"/>
    <n v="60"/>
    <n v="5.000000074505806E-2"/>
    <x v="21"/>
    <x v="412"/>
    <n v="15019.499988220632"/>
    <x v="6"/>
    <x v="2"/>
    <x v="67"/>
  </r>
  <r>
    <n v="10865"/>
    <x v="13"/>
    <n v="18"/>
    <n v="80"/>
    <n v="5.000000074505806E-2"/>
    <x v="21"/>
    <x v="412"/>
    <n v="1367.9999989271164"/>
    <x v="6"/>
    <x v="2"/>
    <x v="13"/>
  </r>
  <r>
    <n v="10866"/>
    <x v="18"/>
    <n v="19"/>
    <n v="21"/>
    <n v="0.25"/>
    <x v="25"/>
    <x v="413"/>
    <n v="299.25"/>
    <x v="6"/>
    <x v="2"/>
    <x v="18"/>
  </r>
  <r>
    <n v="10866"/>
    <x v="15"/>
    <n v="4.5"/>
    <n v="6"/>
    <n v="0.25"/>
    <x v="25"/>
    <x v="413"/>
    <n v="20.25"/>
    <x v="6"/>
    <x v="2"/>
    <x v="15"/>
  </r>
  <r>
    <n v="10866"/>
    <x v="34"/>
    <n v="25.89"/>
    <n v="40"/>
    <n v="0.25"/>
    <x v="25"/>
    <x v="413"/>
    <n v="776.69999999999993"/>
    <x v="3"/>
    <x v="2"/>
    <x v="34"/>
  </r>
  <r>
    <n v="10867"/>
    <x v="22"/>
    <n v="32.799999999999997"/>
    <n v="3"/>
    <n v="0"/>
    <x v="38"/>
    <x v="413"/>
    <n v="98.399999999999991"/>
    <x v="7"/>
    <x v="2"/>
    <x v="22"/>
  </r>
  <r>
    <n v="10868"/>
    <x v="68"/>
    <n v="31.23"/>
    <n v="20"/>
    <n v="0"/>
    <x v="62"/>
    <x v="414"/>
    <n v="624.6"/>
    <x v="5"/>
    <x v="2"/>
    <x v="68"/>
  </r>
  <r>
    <n v="10868"/>
    <x v="31"/>
    <n v="18"/>
    <n v="30"/>
    <n v="0"/>
    <x v="62"/>
    <x v="414"/>
    <n v="540"/>
    <x v="6"/>
    <x v="2"/>
    <x v="31"/>
  </r>
  <r>
    <n v="10868"/>
    <x v="14"/>
    <n v="20"/>
    <n v="42"/>
    <n v="0.10000000149011612"/>
    <x v="62"/>
    <x v="414"/>
    <n v="755.99999874830246"/>
    <x v="5"/>
    <x v="2"/>
    <x v="14"/>
  </r>
  <r>
    <n v="10869"/>
    <x v="52"/>
    <n v="18"/>
    <n v="40"/>
    <n v="0"/>
    <x v="56"/>
    <x v="414"/>
    <n v="720"/>
    <x v="6"/>
    <x v="2"/>
    <x v="52"/>
  </r>
  <r>
    <n v="10869"/>
    <x v="0"/>
    <n v="21"/>
    <n v="10"/>
    <n v="0"/>
    <x v="56"/>
    <x v="414"/>
    <n v="210"/>
    <x v="0"/>
    <x v="2"/>
    <x v="0"/>
  </r>
  <r>
    <n v="10869"/>
    <x v="70"/>
    <n v="9"/>
    <n v="50"/>
    <n v="0"/>
    <x v="56"/>
    <x v="414"/>
    <n v="450"/>
    <x v="1"/>
    <x v="2"/>
    <x v="70"/>
  </r>
  <r>
    <n v="10869"/>
    <x v="56"/>
    <n v="12.5"/>
    <n v="20"/>
    <n v="0"/>
    <x v="56"/>
    <x v="414"/>
    <n v="250"/>
    <x v="5"/>
    <x v="2"/>
    <x v="56"/>
  </r>
  <r>
    <n v="10870"/>
    <x v="31"/>
    <n v="18"/>
    <n v="3"/>
    <n v="0"/>
    <x v="63"/>
    <x v="414"/>
    <n v="54"/>
    <x v="6"/>
    <x v="2"/>
    <x v="31"/>
  </r>
  <r>
    <n v="10870"/>
    <x v="4"/>
    <n v="53"/>
    <n v="2"/>
    <n v="0"/>
    <x v="63"/>
    <x v="414"/>
    <n v="106"/>
    <x v="2"/>
    <x v="2"/>
    <x v="4"/>
  </r>
  <r>
    <n v="10871"/>
    <x v="63"/>
    <n v="25"/>
    <n v="50"/>
    <n v="5.000000074505806E-2"/>
    <x v="48"/>
    <x v="415"/>
    <n v="1187.4999990686774"/>
    <x v="4"/>
    <x v="2"/>
    <x v="63"/>
  </r>
  <r>
    <n v="10871"/>
    <x v="19"/>
    <n v="17.45"/>
    <n v="12"/>
    <n v="5.000000074505806E-2"/>
    <x v="48"/>
    <x v="415"/>
    <n v="198.92999984398483"/>
    <x v="5"/>
    <x v="2"/>
    <x v="19"/>
  </r>
  <r>
    <n v="10871"/>
    <x v="35"/>
    <n v="39"/>
    <n v="16"/>
    <n v="5.000000074505806E-2"/>
    <x v="48"/>
    <x v="415"/>
    <n v="592.79999953508377"/>
    <x v="7"/>
    <x v="2"/>
    <x v="35"/>
  </r>
  <r>
    <n v="10872"/>
    <x v="16"/>
    <n v="24"/>
    <n v="10"/>
    <n v="5.000000074505806E-2"/>
    <x v="36"/>
    <x v="415"/>
    <n v="227.99999982118607"/>
    <x v="7"/>
    <x v="2"/>
    <x v="16"/>
  </r>
  <r>
    <n v="10872"/>
    <x v="29"/>
    <n v="49.3"/>
    <n v="20"/>
    <n v="5.000000074505806E-2"/>
    <x v="36"/>
    <x v="415"/>
    <n v="936.69999926537275"/>
    <x v="5"/>
    <x v="2"/>
    <x v="29"/>
  </r>
  <r>
    <n v="10872"/>
    <x v="58"/>
    <n v="33.25"/>
    <n v="15"/>
    <n v="5.000000074505806E-2"/>
    <x v="36"/>
    <x v="415"/>
    <n v="473.81249962840229"/>
    <x v="1"/>
    <x v="2"/>
    <x v="58"/>
  </r>
  <r>
    <n v="10872"/>
    <x v="6"/>
    <n v="21.05"/>
    <n v="21"/>
    <n v="5.000000074505806E-2"/>
    <x v="36"/>
    <x v="415"/>
    <n v="419.94749967064712"/>
    <x v="4"/>
    <x v="2"/>
    <x v="6"/>
  </r>
  <r>
    <n v="10873"/>
    <x v="27"/>
    <n v="10"/>
    <n v="20"/>
    <n v="0"/>
    <x v="83"/>
    <x v="416"/>
    <n v="200"/>
    <x v="5"/>
    <x v="2"/>
    <x v="27"/>
  </r>
  <r>
    <n v="10873"/>
    <x v="44"/>
    <n v="45.6"/>
    <n v="3"/>
    <n v="0"/>
    <x v="83"/>
    <x v="416"/>
    <n v="136.80000000000001"/>
    <x v="2"/>
    <x v="2"/>
    <x v="44"/>
  </r>
  <r>
    <n v="10874"/>
    <x v="41"/>
    <n v="31"/>
    <n v="10"/>
    <n v="0"/>
    <x v="36"/>
    <x v="416"/>
    <n v="310"/>
    <x v="3"/>
    <x v="2"/>
    <x v="41"/>
  </r>
  <r>
    <n v="10875"/>
    <x v="49"/>
    <n v="9.1999999999999993"/>
    <n v="25"/>
    <n v="0"/>
    <x v="25"/>
    <x v="416"/>
    <n v="229.99999999999997"/>
    <x v="5"/>
    <x v="2"/>
    <x v="49"/>
  </r>
  <r>
    <n v="10875"/>
    <x v="69"/>
    <n v="9.5"/>
    <n v="21"/>
    <n v="0.10000000149011612"/>
    <x v="25"/>
    <x v="416"/>
    <n v="179.54999970272183"/>
    <x v="5"/>
    <x v="2"/>
    <x v="69"/>
  </r>
  <r>
    <n v="10875"/>
    <x v="14"/>
    <n v="20"/>
    <n v="15"/>
    <n v="0"/>
    <x v="25"/>
    <x v="416"/>
    <n v="300"/>
    <x v="5"/>
    <x v="2"/>
    <x v="14"/>
  </r>
  <r>
    <n v="10876"/>
    <x v="54"/>
    <n v="12"/>
    <n v="21"/>
    <n v="0"/>
    <x v="48"/>
    <x v="417"/>
    <n v="252"/>
    <x v="3"/>
    <x v="2"/>
    <x v="54"/>
  </r>
  <r>
    <n v="10876"/>
    <x v="58"/>
    <n v="33.25"/>
    <n v="20"/>
    <n v="0"/>
    <x v="48"/>
    <x v="417"/>
    <n v="665"/>
    <x v="1"/>
    <x v="2"/>
    <x v="58"/>
  </r>
  <r>
    <n v="10877"/>
    <x v="19"/>
    <n v="17.45"/>
    <n v="30"/>
    <n v="0.25"/>
    <x v="29"/>
    <x v="417"/>
    <n v="392.625"/>
    <x v="5"/>
    <x v="2"/>
    <x v="19"/>
  </r>
  <r>
    <n v="10877"/>
    <x v="59"/>
    <n v="62.5"/>
    <n v="25"/>
    <n v="0"/>
    <x v="29"/>
    <x v="417"/>
    <n v="1562.5"/>
    <x v="3"/>
    <x v="2"/>
    <x v="59"/>
  </r>
  <r>
    <n v="10878"/>
    <x v="9"/>
    <n v="81"/>
    <n v="20"/>
    <n v="5.000000074505806E-2"/>
    <x v="21"/>
    <x v="418"/>
    <n v="1538.9999987930059"/>
    <x v="5"/>
    <x v="2"/>
    <x v="9"/>
  </r>
  <r>
    <n v="10879"/>
    <x v="37"/>
    <n v="18.399999999999999"/>
    <n v="12"/>
    <n v="0"/>
    <x v="83"/>
    <x v="418"/>
    <n v="220.79999999999998"/>
    <x v="3"/>
    <x v="2"/>
    <x v="37"/>
  </r>
  <r>
    <n v="10879"/>
    <x v="6"/>
    <n v="21.05"/>
    <n v="10"/>
    <n v="0"/>
    <x v="83"/>
    <x v="418"/>
    <n v="210.5"/>
    <x v="4"/>
    <x v="2"/>
    <x v="6"/>
  </r>
  <r>
    <n v="10879"/>
    <x v="38"/>
    <n v="18"/>
    <n v="10"/>
    <n v="0"/>
    <x v="83"/>
    <x v="418"/>
    <n v="180"/>
    <x v="6"/>
    <x v="2"/>
    <x v="38"/>
  </r>
  <r>
    <n v="10880"/>
    <x v="70"/>
    <n v="9"/>
    <n v="30"/>
    <n v="0.20000000298023224"/>
    <x v="14"/>
    <x v="418"/>
    <n v="215.9999991953373"/>
    <x v="1"/>
    <x v="2"/>
    <x v="70"/>
  </r>
  <r>
    <n v="10880"/>
    <x v="75"/>
    <n v="28.5"/>
    <n v="30"/>
    <n v="0.20000000298023224"/>
    <x v="14"/>
    <x v="418"/>
    <n v="683.99999745190144"/>
    <x v="4"/>
    <x v="2"/>
    <x v="75"/>
  </r>
  <r>
    <n v="10880"/>
    <x v="30"/>
    <n v="15"/>
    <n v="50"/>
    <n v="0.20000000298023224"/>
    <x v="14"/>
    <x v="418"/>
    <n v="599.99999776482582"/>
    <x v="6"/>
    <x v="2"/>
    <x v="30"/>
  </r>
  <r>
    <n v="10881"/>
    <x v="47"/>
    <n v="15"/>
    <n v="10"/>
    <n v="0"/>
    <x v="78"/>
    <x v="419"/>
    <n v="150"/>
    <x v="3"/>
    <x v="2"/>
    <x v="47"/>
  </r>
  <r>
    <n v="10882"/>
    <x v="1"/>
    <n v="14"/>
    <n v="25"/>
    <n v="0"/>
    <x v="45"/>
    <x v="419"/>
    <n v="350"/>
    <x v="1"/>
    <x v="2"/>
    <x v="1"/>
  </r>
  <r>
    <n v="10882"/>
    <x v="14"/>
    <n v="20"/>
    <n v="20"/>
    <n v="0.15000000596046448"/>
    <x v="45"/>
    <x v="419"/>
    <n v="339.99999761581421"/>
    <x v="5"/>
    <x v="2"/>
    <x v="14"/>
  </r>
  <r>
    <n v="10882"/>
    <x v="55"/>
    <n v="7.45"/>
    <n v="32"/>
    <n v="0.15000000596046448"/>
    <x v="45"/>
    <x v="419"/>
    <n v="202.63999857902527"/>
    <x v="7"/>
    <x v="2"/>
    <x v="55"/>
  </r>
  <r>
    <n v="10883"/>
    <x v="15"/>
    <n v="4.5"/>
    <n v="8"/>
    <n v="0"/>
    <x v="38"/>
    <x v="420"/>
    <n v="36"/>
    <x v="6"/>
    <x v="2"/>
    <x v="15"/>
  </r>
  <r>
    <n v="10884"/>
    <x v="27"/>
    <n v="10"/>
    <n v="40"/>
    <n v="5.000000074505806E-2"/>
    <x v="82"/>
    <x v="420"/>
    <n v="379.99999970197678"/>
    <x v="5"/>
    <x v="2"/>
    <x v="27"/>
  </r>
  <r>
    <n v="10884"/>
    <x v="33"/>
    <n v="38"/>
    <n v="21"/>
    <n v="5.000000074505806E-2"/>
    <x v="82"/>
    <x v="420"/>
    <n v="758.09999940544367"/>
    <x v="1"/>
    <x v="2"/>
    <x v="33"/>
  </r>
  <r>
    <n v="10884"/>
    <x v="6"/>
    <n v="21.05"/>
    <n v="12"/>
    <n v="5.000000074505806E-2"/>
    <x v="82"/>
    <x v="420"/>
    <n v="239.96999981179835"/>
    <x v="4"/>
    <x v="2"/>
    <x v="6"/>
  </r>
  <r>
    <n v="10885"/>
    <x v="18"/>
    <n v="19"/>
    <n v="20"/>
    <n v="0"/>
    <x v="4"/>
    <x v="420"/>
    <n v="380"/>
    <x v="6"/>
    <x v="2"/>
    <x v="18"/>
  </r>
  <r>
    <n v="10885"/>
    <x v="15"/>
    <n v="4.5"/>
    <n v="12"/>
    <n v="0"/>
    <x v="4"/>
    <x v="420"/>
    <n v="54"/>
    <x v="6"/>
    <x v="2"/>
    <x v="15"/>
  </r>
  <r>
    <n v="10885"/>
    <x v="30"/>
    <n v="15"/>
    <n v="30"/>
    <n v="0"/>
    <x v="4"/>
    <x v="420"/>
    <n v="450"/>
    <x v="6"/>
    <x v="2"/>
    <x v="30"/>
  </r>
  <r>
    <n v="10885"/>
    <x v="23"/>
    <n v="13"/>
    <n v="25"/>
    <n v="0"/>
    <x v="4"/>
    <x v="420"/>
    <n v="325"/>
    <x v="4"/>
    <x v="2"/>
    <x v="23"/>
  </r>
  <r>
    <n v="10886"/>
    <x v="41"/>
    <n v="31"/>
    <n v="70"/>
    <n v="0"/>
    <x v="2"/>
    <x v="421"/>
    <n v="2170"/>
    <x v="3"/>
    <x v="2"/>
    <x v="41"/>
  </r>
  <r>
    <n v="10886"/>
    <x v="12"/>
    <n v="12.5"/>
    <n v="35"/>
    <n v="0"/>
    <x v="2"/>
    <x v="421"/>
    <n v="437.5"/>
    <x v="0"/>
    <x v="2"/>
    <x v="12"/>
  </r>
  <r>
    <n v="10886"/>
    <x v="23"/>
    <n v="13"/>
    <n v="40"/>
    <n v="0"/>
    <x v="2"/>
    <x v="421"/>
    <n v="520"/>
    <x v="4"/>
    <x v="2"/>
    <x v="23"/>
  </r>
  <r>
    <n v="10887"/>
    <x v="66"/>
    <n v="14"/>
    <n v="5"/>
    <n v="0"/>
    <x v="60"/>
    <x v="421"/>
    <n v="70"/>
    <x v="5"/>
    <x v="2"/>
    <x v="66"/>
  </r>
  <r>
    <n v="10888"/>
    <x v="18"/>
    <n v="19"/>
    <n v="20"/>
    <n v="0"/>
    <x v="36"/>
    <x v="422"/>
    <n v="380"/>
    <x v="6"/>
    <x v="2"/>
    <x v="18"/>
  </r>
  <r>
    <n v="10888"/>
    <x v="56"/>
    <n v="12.5"/>
    <n v="18"/>
    <n v="0"/>
    <x v="36"/>
    <x v="422"/>
    <n v="225"/>
    <x v="5"/>
    <x v="2"/>
    <x v="56"/>
  </r>
  <r>
    <n v="10889"/>
    <x v="0"/>
    <n v="21"/>
    <n v="40"/>
    <n v="0"/>
    <x v="13"/>
    <x v="422"/>
    <n v="840"/>
    <x v="0"/>
    <x v="2"/>
    <x v="0"/>
  </r>
  <r>
    <n v="10889"/>
    <x v="67"/>
    <n v="263.5"/>
    <n v="40"/>
    <n v="0"/>
    <x v="13"/>
    <x v="422"/>
    <n v="10540"/>
    <x v="6"/>
    <x v="2"/>
    <x v="67"/>
  </r>
  <r>
    <n v="10890"/>
    <x v="35"/>
    <n v="39"/>
    <n v="15"/>
    <n v="0"/>
    <x v="41"/>
    <x v="422"/>
    <n v="585"/>
    <x v="7"/>
    <x v="2"/>
    <x v="35"/>
  </r>
  <r>
    <n v="10890"/>
    <x v="53"/>
    <n v="14"/>
    <n v="10"/>
    <n v="0"/>
    <x v="41"/>
    <x v="422"/>
    <n v="140"/>
    <x v="6"/>
    <x v="2"/>
    <x v="53"/>
  </r>
  <r>
    <n v="10890"/>
    <x v="5"/>
    <n v="9.65"/>
    <n v="14"/>
    <n v="0"/>
    <x v="41"/>
    <x v="422"/>
    <n v="135.1"/>
    <x v="3"/>
    <x v="2"/>
    <x v="5"/>
  </r>
  <r>
    <n v="10891"/>
    <x v="34"/>
    <n v="25.89"/>
    <n v="15"/>
    <n v="5.000000074505806E-2"/>
    <x v="26"/>
    <x v="423"/>
    <n v="368.93249971065671"/>
    <x v="3"/>
    <x v="2"/>
    <x v="34"/>
  </r>
  <r>
    <n v="10892"/>
    <x v="21"/>
    <n v="55"/>
    <n v="40"/>
    <n v="5.000000074505806E-2"/>
    <x v="80"/>
    <x v="423"/>
    <n v="2089.9999983608723"/>
    <x v="0"/>
    <x v="2"/>
    <x v="21"/>
  </r>
  <r>
    <n v="10893"/>
    <x v="71"/>
    <n v="40"/>
    <n v="30"/>
    <n v="0"/>
    <x v="44"/>
    <x v="424"/>
    <n v="1200"/>
    <x v="4"/>
    <x v="2"/>
    <x v="71"/>
  </r>
  <r>
    <n v="10893"/>
    <x v="15"/>
    <n v="4.5"/>
    <n v="10"/>
    <n v="0"/>
    <x v="44"/>
    <x v="424"/>
    <n v="45"/>
    <x v="6"/>
    <x v="2"/>
    <x v="15"/>
  </r>
  <r>
    <n v="10893"/>
    <x v="39"/>
    <n v="123.79"/>
    <n v="24"/>
    <n v="0"/>
    <x v="44"/>
    <x v="424"/>
    <n v="2970.96"/>
    <x v="7"/>
    <x v="2"/>
    <x v="39"/>
  </r>
  <r>
    <n v="10893"/>
    <x v="34"/>
    <n v="25.89"/>
    <n v="35"/>
    <n v="0"/>
    <x v="44"/>
    <x v="424"/>
    <n v="906.15"/>
    <x v="3"/>
    <x v="2"/>
    <x v="34"/>
  </r>
  <r>
    <n v="10893"/>
    <x v="20"/>
    <n v="19"/>
    <n v="20"/>
    <n v="0"/>
    <x v="44"/>
    <x v="424"/>
    <n v="380"/>
    <x v="3"/>
    <x v="2"/>
    <x v="20"/>
  </r>
  <r>
    <n v="10894"/>
    <x v="43"/>
    <n v="6"/>
    <n v="28"/>
    <n v="5.000000074505806E-2"/>
    <x v="45"/>
    <x v="424"/>
    <n v="159.59999987483025"/>
    <x v="3"/>
    <x v="2"/>
    <x v="43"/>
  </r>
  <r>
    <n v="10894"/>
    <x v="60"/>
    <n v="36"/>
    <n v="50"/>
    <n v="5.000000074505806E-2"/>
    <x v="45"/>
    <x v="424"/>
    <n v="1709.9999986588955"/>
    <x v="0"/>
    <x v="2"/>
    <x v="60"/>
  </r>
  <r>
    <n v="10894"/>
    <x v="48"/>
    <n v="7.75"/>
    <n v="120"/>
    <n v="5.000000074505806E-2"/>
    <x v="45"/>
    <x v="424"/>
    <n v="883.499999307096"/>
    <x v="6"/>
    <x v="2"/>
    <x v="48"/>
  </r>
  <r>
    <n v="10895"/>
    <x v="15"/>
    <n v="4.5"/>
    <n v="110"/>
    <n v="0"/>
    <x v="9"/>
    <x v="424"/>
    <n v="495"/>
    <x v="6"/>
    <x v="2"/>
    <x v="15"/>
  </r>
  <r>
    <n v="10895"/>
    <x v="13"/>
    <n v="18"/>
    <n v="45"/>
    <n v="0"/>
    <x v="9"/>
    <x v="424"/>
    <n v="810"/>
    <x v="6"/>
    <x v="2"/>
    <x v="13"/>
  </r>
  <r>
    <n v="10895"/>
    <x v="37"/>
    <n v="18.399999999999999"/>
    <n v="91"/>
    <n v="0"/>
    <x v="9"/>
    <x v="424"/>
    <n v="1674.3999999999999"/>
    <x v="3"/>
    <x v="2"/>
    <x v="37"/>
  </r>
  <r>
    <n v="10895"/>
    <x v="11"/>
    <n v="34"/>
    <n v="100"/>
    <n v="0"/>
    <x v="9"/>
    <x v="424"/>
    <n v="3400"/>
    <x v="0"/>
    <x v="2"/>
    <x v="11"/>
  </r>
  <r>
    <n v="10896"/>
    <x v="73"/>
    <n v="9.5"/>
    <n v="15"/>
    <n v="0"/>
    <x v="80"/>
    <x v="425"/>
    <n v="142.5"/>
    <x v="3"/>
    <x v="2"/>
    <x v="73"/>
  </r>
  <r>
    <n v="10896"/>
    <x v="33"/>
    <n v="38"/>
    <n v="16"/>
    <n v="0"/>
    <x v="80"/>
    <x v="425"/>
    <n v="608"/>
    <x v="1"/>
    <x v="2"/>
    <x v="33"/>
  </r>
  <r>
    <n v="10897"/>
    <x v="39"/>
    <n v="123.79"/>
    <n v="80"/>
    <n v="0"/>
    <x v="34"/>
    <x v="425"/>
    <n v="9903.2000000000007"/>
    <x v="7"/>
    <x v="2"/>
    <x v="39"/>
  </r>
  <r>
    <n v="10897"/>
    <x v="34"/>
    <n v="25.89"/>
    <n v="36"/>
    <n v="0"/>
    <x v="34"/>
    <x v="425"/>
    <n v="932.04"/>
    <x v="3"/>
    <x v="2"/>
    <x v="34"/>
  </r>
  <r>
    <n v="10898"/>
    <x v="43"/>
    <n v="6"/>
    <n v="5"/>
    <n v="0"/>
    <x v="69"/>
    <x v="426"/>
    <n v="30"/>
    <x v="3"/>
    <x v="2"/>
    <x v="43"/>
  </r>
  <r>
    <n v="10899"/>
    <x v="13"/>
    <n v="18"/>
    <n v="8"/>
    <n v="0.15000000596046448"/>
    <x v="28"/>
    <x v="426"/>
    <n v="122.39999914169312"/>
    <x v="6"/>
    <x v="2"/>
    <x v="13"/>
  </r>
  <r>
    <n v="10900"/>
    <x v="30"/>
    <n v="15"/>
    <n v="3"/>
    <n v="0.25"/>
    <x v="7"/>
    <x v="426"/>
    <n v="33.75"/>
    <x v="6"/>
    <x v="2"/>
    <x v="30"/>
  </r>
  <r>
    <n v="10901"/>
    <x v="5"/>
    <n v="9.65"/>
    <n v="30"/>
    <n v="0"/>
    <x v="8"/>
    <x v="427"/>
    <n v="289.5"/>
    <x v="3"/>
    <x v="2"/>
    <x v="5"/>
  </r>
  <r>
    <n v="10901"/>
    <x v="42"/>
    <n v="21.5"/>
    <n v="30"/>
    <n v="0"/>
    <x v="8"/>
    <x v="427"/>
    <n v="645"/>
    <x v="0"/>
    <x v="2"/>
    <x v="42"/>
  </r>
  <r>
    <n v="10902"/>
    <x v="16"/>
    <n v="24"/>
    <n v="30"/>
    <n v="0.15000000596046448"/>
    <x v="14"/>
    <x v="427"/>
    <n v="611.99999570846558"/>
    <x v="7"/>
    <x v="2"/>
    <x v="16"/>
  </r>
  <r>
    <n v="10902"/>
    <x v="29"/>
    <n v="49.3"/>
    <n v="6"/>
    <n v="0.15000000596046448"/>
    <x v="14"/>
    <x v="427"/>
    <n v="251.42999823689456"/>
    <x v="5"/>
    <x v="2"/>
    <x v="29"/>
  </r>
  <r>
    <n v="10903"/>
    <x v="43"/>
    <n v="6"/>
    <n v="40"/>
    <n v="0"/>
    <x v="2"/>
    <x v="428"/>
    <n v="240"/>
    <x v="3"/>
    <x v="2"/>
    <x v="43"/>
  </r>
  <r>
    <n v="10903"/>
    <x v="6"/>
    <n v="21.05"/>
    <n v="21"/>
    <n v="0"/>
    <x v="2"/>
    <x v="428"/>
    <n v="442.05"/>
    <x v="4"/>
    <x v="2"/>
    <x v="6"/>
  </r>
  <r>
    <n v="10903"/>
    <x v="56"/>
    <n v="12.5"/>
    <n v="20"/>
    <n v="0"/>
    <x v="2"/>
    <x v="428"/>
    <n v="250"/>
    <x v="5"/>
    <x v="2"/>
    <x v="56"/>
  </r>
  <r>
    <n v="10904"/>
    <x v="64"/>
    <n v="13.25"/>
    <n v="15"/>
    <n v="0"/>
    <x v="19"/>
    <x v="428"/>
    <n v="198.75"/>
    <x v="3"/>
    <x v="2"/>
    <x v="64"/>
  </r>
  <r>
    <n v="10904"/>
    <x v="29"/>
    <n v="49.3"/>
    <n v="35"/>
    <n v="0"/>
    <x v="19"/>
    <x v="428"/>
    <n v="1725.5"/>
    <x v="5"/>
    <x v="2"/>
    <x v="29"/>
  </r>
  <r>
    <n v="10905"/>
    <x v="52"/>
    <n v="18"/>
    <n v="20"/>
    <n v="5.000000074505806E-2"/>
    <x v="7"/>
    <x v="428"/>
    <n v="341.9999997317791"/>
    <x v="6"/>
    <x v="2"/>
    <x v="52"/>
  </r>
  <r>
    <n v="10906"/>
    <x v="75"/>
    <n v="28.5"/>
    <n v="15"/>
    <n v="0"/>
    <x v="63"/>
    <x v="429"/>
    <n v="427.5"/>
    <x v="4"/>
    <x v="2"/>
    <x v="75"/>
  </r>
  <r>
    <n v="10907"/>
    <x v="48"/>
    <n v="7.75"/>
    <n v="14"/>
    <n v="0"/>
    <x v="87"/>
    <x v="429"/>
    <n v="108.5"/>
    <x v="6"/>
    <x v="2"/>
    <x v="48"/>
  </r>
  <r>
    <n v="10908"/>
    <x v="32"/>
    <n v="30"/>
    <n v="20"/>
    <n v="5.000000074505806E-2"/>
    <x v="30"/>
    <x v="430"/>
    <n v="569.99999955296516"/>
    <x v="2"/>
    <x v="2"/>
    <x v="32"/>
  </r>
  <r>
    <n v="10908"/>
    <x v="65"/>
    <n v="7"/>
    <n v="14"/>
    <n v="5.000000074505806E-2"/>
    <x v="30"/>
    <x v="430"/>
    <n v="93.09999992698431"/>
    <x v="1"/>
    <x v="2"/>
    <x v="65"/>
  </r>
  <r>
    <n v="10909"/>
    <x v="32"/>
    <n v="30"/>
    <n v="12"/>
    <n v="0"/>
    <x v="65"/>
    <x v="430"/>
    <n v="360"/>
    <x v="2"/>
    <x v="2"/>
    <x v="32"/>
  </r>
  <r>
    <n v="10909"/>
    <x v="19"/>
    <n v="17.45"/>
    <n v="15"/>
    <n v="0"/>
    <x v="65"/>
    <x v="430"/>
    <n v="261.75"/>
    <x v="5"/>
    <x v="2"/>
    <x v="19"/>
  </r>
  <r>
    <n v="10909"/>
    <x v="5"/>
    <n v="9.65"/>
    <n v="5"/>
    <n v="0"/>
    <x v="65"/>
    <x v="430"/>
    <n v="48.25"/>
    <x v="3"/>
    <x v="2"/>
    <x v="5"/>
  </r>
  <r>
    <n v="10910"/>
    <x v="49"/>
    <n v="9.1999999999999993"/>
    <n v="12"/>
    <n v="0"/>
    <x v="83"/>
    <x v="430"/>
    <n v="110.39999999999999"/>
    <x v="5"/>
    <x v="2"/>
    <x v="49"/>
  </r>
  <r>
    <n v="10910"/>
    <x v="14"/>
    <n v="20"/>
    <n v="10"/>
    <n v="0"/>
    <x v="83"/>
    <x v="430"/>
    <n v="200"/>
    <x v="5"/>
    <x v="2"/>
    <x v="14"/>
  </r>
  <r>
    <n v="10910"/>
    <x v="75"/>
    <n v="28.5"/>
    <n v="5"/>
    <n v="0"/>
    <x v="83"/>
    <x v="430"/>
    <n v="142.5"/>
    <x v="4"/>
    <x v="2"/>
    <x v="75"/>
  </r>
  <r>
    <n v="10911"/>
    <x v="52"/>
    <n v="18"/>
    <n v="10"/>
    <n v="0"/>
    <x v="36"/>
    <x v="430"/>
    <n v="180"/>
    <x v="6"/>
    <x v="2"/>
    <x v="52"/>
  </r>
  <r>
    <n v="10911"/>
    <x v="35"/>
    <n v="39"/>
    <n v="12"/>
    <n v="0"/>
    <x v="36"/>
    <x v="430"/>
    <n v="468"/>
    <x v="7"/>
    <x v="2"/>
    <x v="35"/>
  </r>
  <r>
    <n v="10911"/>
    <x v="51"/>
    <n v="14"/>
    <n v="15"/>
    <n v="0"/>
    <x v="36"/>
    <x v="430"/>
    <n v="210"/>
    <x v="6"/>
    <x v="2"/>
    <x v="51"/>
  </r>
  <r>
    <n v="10912"/>
    <x v="0"/>
    <n v="21"/>
    <n v="40"/>
    <n v="0.25"/>
    <x v="34"/>
    <x v="430"/>
    <n v="630"/>
    <x v="0"/>
    <x v="2"/>
    <x v="0"/>
  </r>
  <r>
    <n v="10912"/>
    <x v="39"/>
    <n v="123.79"/>
    <n v="60"/>
    <n v="0.25"/>
    <x v="34"/>
    <x v="430"/>
    <n v="5570.55"/>
    <x v="7"/>
    <x v="2"/>
    <x v="39"/>
  </r>
  <r>
    <n v="10913"/>
    <x v="62"/>
    <n v="22"/>
    <n v="30"/>
    <n v="0.25"/>
    <x v="62"/>
    <x v="430"/>
    <n v="495"/>
    <x v="4"/>
    <x v="2"/>
    <x v="62"/>
  </r>
  <r>
    <n v="10913"/>
    <x v="10"/>
    <n v="2.5"/>
    <n v="40"/>
    <n v="0.25"/>
    <x v="62"/>
    <x v="430"/>
    <n v="75"/>
    <x v="0"/>
    <x v="2"/>
    <x v="10"/>
  </r>
  <r>
    <n v="10913"/>
    <x v="64"/>
    <n v="13.25"/>
    <n v="15"/>
    <n v="0"/>
    <x v="62"/>
    <x v="430"/>
    <n v="198.75"/>
    <x v="3"/>
    <x v="2"/>
    <x v="64"/>
  </r>
  <r>
    <n v="10914"/>
    <x v="42"/>
    <n v="21.5"/>
    <n v="25"/>
    <n v="0"/>
    <x v="62"/>
    <x v="431"/>
    <n v="537.5"/>
    <x v="0"/>
    <x v="2"/>
    <x v="42"/>
  </r>
  <r>
    <n v="10915"/>
    <x v="35"/>
    <n v="39"/>
    <n v="10"/>
    <n v="0"/>
    <x v="23"/>
    <x v="431"/>
    <n v="390"/>
    <x v="7"/>
    <x v="2"/>
    <x v="35"/>
  </r>
  <r>
    <n v="10915"/>
    <x v="10"/>
    <n v="2.5"/>
    <n v="30"/>
    <n v="0"/>
    <x v="23"/>
    <x v="431"/>
    <n v="75"/>
    <x v="0"/>
    <x v="2"/>
    <x v="10"/>
  </r>
  <r>
    <n v="10915"/>
    <x v="55"/>
    <n v="7.45"/>
    <n v="10"/>
    <n v="0"/>
    <x v="23"/>
    <x v="431"/>
    <n v="74.5"/>
    <x v="7"/>
    <x v="2"/>
    <x v="55"/>
  </r>
  <r>
    <n v="10916"/>
    <x v="19"/>
    <n v="17.45"/>
    <n v="6"/>
    <n v="0"/>
    <x v="73"/>
    <x v="431"/>
    <n v="104.69999999999999"/>
    <x v="5"/>
    <x v="2"/>
    <x v="19"/>
  </r>
  <r>
    <n v="10916"/>
    <x v="26"/>
    <n v="32"/>
    <n v="6"/>
    <n v="0"/>
    <x v="73"/>
    <x v="431"/>
    <n v="192"/>
    <x v="0"/>
    <x v="2"/>
    <x v="26"/>
  </r>
  <r>
    <n v="10916"/>
    <x v="8"/>
    <n v="19.5"/>
    <n v="20"/>
    <n v="0"/>
    <x v="73"/>
    <x v="431"/>
    <n v="390"/>
    <x v="1"/>
    <x v="2"/>
    <x v="8"/>
  </r>
  <r>
    <n v="10917"/>
    <x v="34"/>
    <n v="25.89"/>
    <n v="1"/>
    <n v="0"/>
    <x v="27"/>
    <x v="432"/>
    <n v="25.89"/>
    <x v="3"/>
    <x v="2"/>
    <x v="34"/>
  </r>
  <r>
    <n v="10917"/>
    <x v="11"/>
    <n v="34"/>
    <n v="10"/>
    <n v="0"/>
    <x v="27"/>
    <x v="432"/>
    <n v="340"/>
    <x v="0"/>
    <x v="2"/>
    <x v="11"/>
  </r>
  <r>
    <n v="10918"/>
    <x v="52"/>
    <n v="18"/>
    <n v="60"/>
    <n v="0.25"/>
    <x v="66"/>
    <x v="432"/>
    <n v="810"/>
    <x v="6"/>
    <x v="2"/>
    <x v="52"/>
  </r>
  <r>
    <n v="10918"/>
    <x v="11"/>
    <n v="34"/>
    <n v="25"/>
    <n v="0.25"/>
    <x v="66"/>
    <x v="432"/>
    <n v="637.5"/>
    <x v="0"/>
    <x v="2"/>
    <x v="11"/>
  </r>
  <r>
    <n v="10919"/>
    <x v="19"/>
    <n v="17.45"/>
    <n v="24"/>
    <n v="0"/>
    <x v="67"/>
    <x v="432"/>
    <n v="418.79999999999995"/>
    <x v="5"/>
    <x v="2"/>
    <x v="19"/>
  </r>
  <r>
    <n v="10919"/>
    <x v="66"/>
    <n v="14"/>
    <n v="24"/>
    <n v="0"/>
    <x v="67"/>
    <x v="432"/>
    <n v="336"/>
    <x v="5"/>
    <x v="2"/>
    <x v="66"/>
  </r>
  <r>
    <n v="10919"/>
    <x v="37"/>
    <n v="18.399999999999999"/>
    <n v="20"/>
    <n v="0"/>
    <x v="67"/>
    <x v="432"/>
    <n v="368"/>
    <x v="3"/>
    <x v="2"/>
    <x v="37"/>
  </r>
  <r>
    <n v="10920"/>
    <x v="72"/>
    <n v="16.25"/>
    <n v="24"/>
    <n v="0"/>
    <x v="55"/>
    <x v="433"/>
    <n v="390"/>
    <x v="5"/>
    <x v="2"/>
    <x v="72"/>
  </r>
  <r>
    <n v="10921"/>
    <x v="31"/>
    <n v="18"/>
    <n v="10"/>
    <n v="0"/>
    <x v="61"/>
    <x v="433"/>
    <n v="180"/>
    <x v="6"/>
    <x v="2"/>
    <x v="31"/>
  </r>
  <r>
    <n v="10921"/>
    <x v="46"/>
    <n v="43.9"/>
    <n v="40"/>
    <n v="0"/>
    <x v="61"/>
    <x v="433"/>
    <n v="1756"/>
    <x v="4"/>
    <x v="2"/>
    <x v="46"/>
  </r>
  <r>
    <n v="10922"/>
    <x v="35"/>
    <n v="39"/>
    <n v="15"/>
    <n v="0"/>
    <x v="2"/>
    <x v="433"/>
    <n v="585"/>
    <x v="7"/>
    <x v="2"/>
    <x v="35"/>
  </r>
  <r>
    <n v="10922"/>
    <x v="15"/>
    <n v="4.5"/>
    <n v="35"/>
    <n v="0"/>
    <x v="2"/>
    <x v="433"/>
    <n v="157.5"/>
    <x v="6"/>
    <x v="2"/>
    <x v="15"/>
  </r>
  <r>
    <n v="10923"/>
    <x v="1"/>
    <n v="14"/>
    <n v="10"/>
    <n v="0.20000000298023224"/>
    <x v="53"/>
    <x v="433"/>
    <n v="111.99999958276749"/>
    <x v="1"/>
    <x v="2"/>
    <x v="1"/>
  </r>
  <r>
    <n v="10923"/>
    <x v="40"/>
    <n v="46"/>
    <n v="10"/>
    <n v="0.20000000298023224"/>
    <x v="53"/>
    <x v="433"/>
    <n v="367.99999862909317"/>
    <x v="6"/>
    <x v="2"/>
    <x v="40"/>
  </r>
  <r>
    <n v="10923"/>
    <x v="51"/>
    <n v="14"/>
    <n v="24"/>
    <n v="0.20000000298023224"/>
    <x v="53"/>
    <x v="433"/>
    <n v="268.79999899864197"/>
    <x v="6"/>
    <x v="2"/>
    <x v="51"/>
  </r>
  <r>
    <n v="10924"/>
    <x v="41"/>
    <n v="31"/>
    <n v="20"/>
    <n v="0.10000000149011612"/>
    <x v="25"/>
    <x v="434"/>
    <n v="557.99999907612801"/>
    <x v="3"/>
    <x v="2"/>
    <x v="41"/>
  </r>
  <r>
    <n v="10924"/>
    <x v="44"/>
    <n v="45.6"/>
    <n v="30"/>
    <n v="0.10000000149011612"/>
    <x v="25"/>
    <x v="434"/>
    <n v="1231.1999979615211"/>
    <x v="2"/>
    <x v="2"/>
    <x v="44"/>
  </r>
  <r>
    <n v="10924"/>
    <x v="48"/>
    <n v="7.75"/>
    <n v="6"/>
    <n v="0"/>
    <x v="25"/>
    <x v="434"/>
    <n v="46.5"/>
    <x v="6"/>
    <x v="2"/>
    <x v="48"/>
  </r>
  <r>
    <n v="10925"/>
    <x v="20"/>
    <n v="19"/>
    <n v="25"/>
    <n v="0.15000000596046448"/>
    <x v="2"/>
    <x v="434"/>
    <n v="403.74999716877937"/>
    <x v="3"/>
    <x v="2"/>
    <x v="20"/>
  </r>
  <r>
    <n v="10925"/>
    <x v="65"/>
    <n v="7"/>
    <n v="12"/>
    <n v="0.15000000596046448"/>
    <x v="2"/>
    <x v="434"/>
    <n v="71.399999499320984"/>
    <x v="1"/>
    <x v="2"/>
    <x v="65"/>
  </r>
  <r>
    <n v="10926"/>
    <x v="0"/>
    <n v="21"/>
    <n v="2"/>
    <n v="0"/>
    <x v="39"/>
    <x v="434"/>
    <n v="42"/>
    <x v="0"/>
    <x v="2"/>
    <x v="0"/>
  </r>
  <r>
    <n v="10926"/>
    <x v="43"/>
    <n v="6"/>
    <n v="10"/>
    <n v="0"/>
    <x v="39"/>
    <x v="434"/>
    <n v="60"/>
    <x v="3"/>
    <x v="2"/>
    <x v="43"/>
  </r>
  <r>
    <n v="10926"/>
    <x v="49"/>
    <n v="9.1999999999999993"/>
    <n v="7"/>
    <n v="0"/>
    <x v="39"/>
    <x v="434"/>
    <n v="64.399999999999991"/>
    <x v="5"/>
    <x v="2"/>
    <x v="49"/>
  </r>
  <r>
    <n v="10926"/>
    <x v="2"/>
    <n v="34.799999999999997"/>
    <n v="10"/>
    <n v="0"/>
    <x v="39"/>
    <x v="434"/>
    <n v="348"/>
    <x v="0"/>
    <x v="2"/>
    <x v="2"/>
  </r>
  <r>
    <n v="10927"/>
    <x v="9"/>
    <n v="81"/>
    <n v="5"/>
    <n v="0"/>
    <x v="88"/>
    <x v="435"/>
    <n v="405"/>
    <x v="5"/>
    <x v="2"/>
    <x v="9"/>
  </r>
  <r>
    <n v="10927"/>
    <x v="65"/>
    <n v="7"/>
    <n v="5"/>
    <n v="0"/>
    <x v="88"/>
    <x v="435"/>
    <n v="35"/>
    <x v="1"/>
    <x v="2"/>
    <x v="65"/>
  </r>
  <r>
    <n v="10927"/>
    <x v="38"/>
    <n v="18"/>
    <n v="20"/>
    <n v="0"/>
    <x v="88"/>
    <x v="435"/>
    <n v="360"/>
    <x v="6"/>
    <x v="2"/>
    <x v="38"/>
  </r>
  <r>
    <n v="10928"/>
    <x v="69"/>
    <n v="9.5"/>
    <n v="5"/>
    <n v="0"/>
    <x v="60"/>
    <x v="435"/>
    <n v="47.5"/>
    <x v="5"/>
    <x v="2"/>
    <x v="69"/>
  </r>
  <r>
    <n v="10928"/>
    <x v="38"/>
    <n v="18"/>
    <n v="5"/>
    <n v="0"/>
    <x v="60"/>
    <x v="435"/>
    <n v="90"/>
    <x v="6"/>
    <x v="2"/>
    <x v="38"/>
  </r>
  <r>
    <n v="10929"/>
    <x v="27"/>
    <n v="10"/>
    <n v="60"/>
    <n v="0"/>
    <x v="17"/>
    <x v="435"/>
    <n v="600"/>
    <x v="5"/>
    <x v="2"/>
    <x v="27"/>
  </r>
  <r>
    <n v="10929"/>
    <x v="48"/>
    <n v="7.75"/>
    <n v="49"/>
    <n v="0"/>
    <x v="17"/>
    <x v="435"/>
    <n v="379.75"/>
    <x v="6"/>
    <x v="2"/>
    <x v="48"/>
  </r>
  <r>
    <n v="10929"/>
    <x v="23"/>
    <n v="13"/>
    <n v="15"/>
    <n v="0"/>
    <x v="17"/>
    <x v="435"/>
    <n v="195"/>
    <x v="4"/>
    <x v="2"/>
    <x v="23"/>
  </r>
  <r>
    <n v="10930"/>
    <x v="27"/>
    <n v="10"/>
    <n v="36"/>
    <n v="0"/>
    <x v="4"/>
    <x v="436"/>
    <n v="360"/>
    <x v="5"/>
    <x v="2"/>
    <x v="27"/>
  </r>
  <r>
    <n v="10930"/>
    <x v="24"/>
    <n v="43.9"/>
    <n v="25"/>
    <n v="0"/>
    <x v="4"/>
    <x v="436"/>
    <n v="1097.5"/>
    <x v="5"/>
    <x v="2"/>
    <x v="24"/>
  </r>
  <r>
    <n v="10930"/>
    <x v="16"/>
    <n v="24"/>
    <n v="25"/>
    <n v="0.20000000298023224"/>
    <x v="4"/>
    <x v="436"/>
    <n v="479.99999821186066"/>
    <x v="7"/>
    <x v="2"/>
    <x v="16"/>
  </r>
  <r>
    <n v="10930"/>
    <x v="64"/>
    <n v="13.25"/>
    <n v="30"/>
    <n v="0.20000000298023224"/>
    <x v="4"/>
    <x v="436"/>
    <n v="317.99999881535769"/>
    <x v="3"/>
    <x v="2"/>
    <x v="64"/>
  </r>
  <r>
    <n v="10931"/>
    <x v="43"/>
    <n v="6"/>
    <n v="42"/>
    <n v="0.15000000596046448"/>
    <x v="6"/>
    <x v="436"/>
    <n v="214.19999849796295"/>
    <x v="3"/>
    <x v="2"/>
    <x v="43"/>
  </r>
  <r>
    <n v="10931"/>
    <x v="8"/>
    <n v="19.5"/>
    <n v="30"/>
    <n v="0"/>
    <x v="6"/>
    <x v="436"/>
    <n v="585"/>
    <x v="1"/>
    <x v="2"/>
    <x v="8"/>
  </r>
  <r>
    <n v="10932"/>
    <x v="19"/>
    <n v="17.45"/>
    <n v="30"/>
    <n v="0.10000000149011612"/>
    <x v="48"/>
    <x v="436"/>
    <n v="471.14999921992421"/>
    <x v="5"/>
    <x v="2"/>
    <x v="19"/>
  </r>
  <r>
    <n v="10932"/>
    <x v="29"/>
    <n v="49.3"/>
    <n v="14"/>
    <n v="0.10000000149011612"/>
    <x v="48"/>
    <x v="436"/>
    <n v="621.17999897152174"/>
    <x v="5"/>
    <x v="2"/>
    <x v="29"/>
  </r>
  <r>
    <n v="10932"/>
    <x v="2"/>
    <n v="34.799999999999997"/>
    <n v="16"/>
    <n v="0"/>
    <x v="48"/>
    <x v="436"/>
    <n v="556.79999999999995"/>
    <x v="0"/>
    <x v="2"/>
    <x v="2"/>
  </r>
  <r>
    <n v="10932"/>
    <x v="48"/>
    <n v="7.75"/>
    <n v="20"/>
    <n v="0.10000000149011612"/>
    <x v="48"/>
    <x v="436"/>
    <n v="139.499999769032"/>
    <x v="6"/>
    <x v="2"/>
    <x v="48"/>
  </r>
  <r>
    <n v="10933"/>
    <x v="22"/>
    <n v="32.799999999999997"/>
    <n v="2"/>
    <n v="0"/>
    <x v="42"/>
    <x v="436"/>
    <n v="65.599999999999994"/>
    <x v="7"/>
    <x v="2"/>
    <x v="22"/>
  </r>
  <r>
    <n v="10933"/>
    <x v="75"/>
    <n v="28.5"/>
    <n v="30"/>
    <n v="0"/>
    <x v="42"/>
    <x v="436"/>
    <n v="855"/>
    <x v="4"/>
    <x v="2"/>
    <x v="75"/>
  </r>
  <r>
    <n v="10934"/>
    <x v="63"/>
    <n v="25"/>
    <n v="20"/>
    <n v="0"/>
    <x v="26"/>
    <x v="437"/>
    <n v="500"/>
    <x v="4"/>
    <x v="2"/>
    <x v="63"/>
  </r>
  <r>
    <n v="10935"/>
    <x v="52"/>
    <n v="18"/>
    <n v="21"/>
    <n v="0"/>
    <x v="7"/>
    <x v="437"/>
    <n v="378"/>
    <x v="6"/>
    <x v="2"/>
    <x v="52"/>
  </r>
  <r>
    <n v="10935"/>
    <x v="59"/>
    <n v="62.5"/>
    <n v="4"/>
    <n v="0.25"/>
    <x v="7"/>
    <x v="437"/>
    <n v="187.5"/>
    <x v="3"/>
    <x v="2"/>
    <x v="59"/>
  </r>
  <r>
    <n v="10935"/>
    <x v="70"/>
    <n v="9"/>
    <n v="8"/>
    <n v="0.25"/>
    <x v="7"/>
    <x v="437"/>
    <n v="54"/>
    <x v="1"/>
    <x v="2"/>
    <x v="70"/>
  </r>
  <r>
    <n v="10936"/>
    <x v="20"/>
    <n v="19"/>
    <n v="30"/>
    <n v="0.20000000298023224"/>
    <x v="79"/>
    <x v="437"/>
    <n v="455.99999830126762"/>
    <x v="3"/>
    <x v="2"/>
    <x v="20"/>
  </r>
  <r>
    <n v="10937"/>
    <x v="44"/>
    <n v="45.6"/>
    <n v="8"/>
    <n v="0"/>
    <x v="78"/>
    <x v="438"/>
    <n v="364.8"/>
    <x v="2"/>
    <x v="2"/>
    <x v="44"/>
  </r>
  <r>
    <n v="10937"/>
    <x v="53"/>
    <n v="14"/>
    <n v="20"/>
    <n v="0"/>
    <x v="78"/>
    <x v="438"/>
    <n v="280"/>
    <x v="6"/>
    <x v="2"/>
    <x v="53"/>
  </r>
  <r>
    <n v="10938"/>
    <x v="43"/>
    <n v="6"/>
    <n v="20"/>
    <n v="0.25"/>
    <x v="21"/>
    <x v="438"/>
    <n v="90"/>
    <x v="3"/>
    <x v="2"/>
    <x v="43"/>
  </r>
  <r>
    <n v="10938"/>
    <x v="40"/>
    <n v="46"/>
    <n v="24"/>
    <n v="0.25"/>
    <x v="21"/>
    <x v="438"/>
    <n v="828"/>
    <x v="6"/>
    <x v="2"/>
    <x v="40"/>
  </r>
  <r>
    <n v="10938"/>
    <x v="11"/>
    <n v="34"/>
    <n v="49"/>
    <n v="0.25"/>
    <x v="21"/>
    <x v="438"/>
    <n v="1249.5"/>
    <x v="0"/>
    <x v="2"/>
    <x v="11"/>
  </r>
  <r>
    <n v="10938"/>
    <x v="42"/>
    <n v="21.5"/>
    <n v="35"/>
    <n v="0.25"/>
    <x v="21"/>
    <x v="438"/>
    <n v="564.375"/>
    <x v="0"/>
    <x v="2"/>
    <x v="42"/>
  </r>
  <r>
    <n v="10939"/>
    <x v="18"/>
    <n v="19"/>
    <n v="10"/>
    <n v="0.15000000596046448"/>
    <x v="22"/>
    <x v="438"/>
    <n v="161.49999886751175"/>
    <x v="6"/>
    <x v="2"/>
    <x v="18"/>
  </r>
  <r>
    <n v="10939"/>
    <x v="51"/>
    <n v="14"/>
    <n v="40"/>
    <n v="0.15000000596046448"/>
    <x v="22"/>
    <x v="438"/>
    <n v="475.99999666213989"/>
    <x v="6"/>
    <x v="2"/>
    <x v="51"/>
  </r>
  <r>
    <n v="10940"/>
    <x v="32"/>
    <n v="30"/>
    <n v="8"/>
    <n v="0"/>
    <x v="48"/>
    <x v="439"/>
    <n v="240"/>
    <x v="2"/>
    <x v="2"/>
    <x v="32"/>
  </r>
  <r>
    <n v="10940"/>
    <x v="43"/>
    <n v="6"/>
    <n v="20"/>
    <n v="0"/>
    <x v="48"/>
    <x v="439"/>
    <n v="120"/>
    <x v="3"/>
    <x v="2"/>
    <x v="43"/>
  </r>
  <r>
    <n v="10941"/>
    <x v="12"/>
    <n v="12.5"/>
    <n v="44"/>
    <n v="0.25"/>
    <x v="45"/>
    <x v="439"/>
    <n v="412.5"/>
    <x v="0"/>
    <x v="2"/>
    <x v="12"/>
  </r>
  <r>
    <n v="10941"/>
    <x v="29"/>
    <n v="49.3"/>
    <n v="30"/>
    <n v="0.25"/>
    <x v="45"/>
    <x v="439"/>
    <n v="1109.25"/>
    <x v="5"/>
    <x v="2"/>
    <x v="29"/>
  </r>
  <r>
    <n v="10941"/>
    <x v="56"/>
    <n v="12.5"/>
    <n v="80"/>
    <n v="0.25"/>
    <x v="45"/>
    <x v="439"/>
    <n v="750"/>
    <x v="5"/>
    <x v="2"/>
    <x v="56"/>
  </r>
  <r>
    <n v="10941"/>
    <x v="2"/>
    <n v="34.799999999999997"/>
    <n v="50"/>
    <n v="0"/>
    <x v="45"/>
    <x v="439"/>
    <n v="1739.9999999999998"/>
    <x v="0"/>
    <x v="2"/>
    <x v="2"/>
  </r>
  <r>
    <n v="10942"/>
    <x v="14"/>
    <n v="20"/>
    <n v="28"/>
    <n v="0"/>
    <x v="30"/>
    <x v="439"/>
    <n v="560"/>
    <x v="5"/>
    <x v="2"/>
    <x v="14"/>
  </r>
  <r>
    <n v="10943"/>
    <x v="43"/>
    <n v="6"/>
    <n v="15"/>
    <n v="0"/>
    <x v="31"/>
    <x v="439"/>
    <n v="90"/>
    <x v="3"/>
    <x v="2"/>
    <x v="43"/>
  </r>
  <r>
    <n v="10943"/>
    <x v="7"/>
    <n v="21"/>
    <n v="21"/>
    <n v="0"/>
    <x v="31"/>
    <x v="439"/>
    <n v="441"/>
    <x v="1"/>
    <x v="2"/>
    <x v="7"/>
  </r>
  <r>
    <n v="10943"/>
    <x v="54"/>
    <n v="12"/>
    <n v="15"/>
    <n v="0"/>
    <x v="31"/>
    <x v="439"/>
    <n v="180"/>
    <x v="3"/>
    <x v="2"/>
    <x v="54"/>
  </r>
  <r>
    <n v="10944"/>
    <x v="0"/>
    <n v="21"/>
    <n v="5"/>
    <n v="0.25"/>
    <x v="66"/>
    <x v="440"/>
    <n v="78.75"/>
    <x v="0"/>
    <x v="2"/>
    <x v="0"/>
  </r>
  <r>
    <n v="10944"/>
    <x v="45"/>
    <n v="19.45"/>
    <n v="18"/>
    <n v="0.25"/>
    <x v="66"/>
    <x v="440"/>
    <n v="262.57499999999999"/>
    <x v="4"/>
    <x v="2"/>
    <x v="45"/>
  </r>
  <r>
    <n v="10944"/>
    <x v="33"/>
    <n v="38"/>
    <n v="18"/>
    <n v="0"/>
    <x v="66"/>
    <x v="440"/>
    <n v="684"/>
    <x v="1"/>
    <x v="2"/>
    <x v="33"/>
  </r>
  <r>
    <n v="10945"/>
    <x v="43"/>
    <n v="6"/>
    <n v="20"/>
    <n v="0"/>
    <x v="24"/>
    <x v="440"/>
    <n v="120"/>
    <x v="3"/>
    <x v="2"/>
    <x v="43"/>
  </r>
  <r>
    <n v="10945"/>
    <x v="12"/>
    <n v="12.5"/>
    <n v="10"/>
    <n v="0"/>
    <x v="24"/>
    <x v="440"/>
    <n v="125"/>
    <x v="0"/>
    <x v="2"/>
    <x v="12"/>
  </r>
  <r>
    <n v="10946"/>
    <x v="41"/>
    <n v="31"/>
    <n v="25"/>
    <n v="0"/>
    <x v="61"/>
    <x v="440"/>
    <n v="775"/>
    <x v="3"/>
    <x v="2"/>
    <x v="41"/>
  </r>
  <r>
    <n v="10946"/>
    <x v="15"/>
    <n v="4.5"/>
    <n v="25"/>
    <n v="0"/>
    <x v="61"/>
    <x v="440"/>
    <n v="112.5"/>
    <x v="6"/>
    <x v="2"/>
    <x v="15"/>
  </r>
  <r>
    <n v="10946"/>
    <x v="23"/>
    <n v="13"/>
    <n v="40"/>
    <n v="0"/>
    <x v="61"/>
    <x v="440"/>
    <n v="520"/>
    <x v="4"/>
    <x v="2"/>
    <x v="23"/>
  </r>
  <r>
    <n v="10947"/>
    <x v="21"/>
    <n v="55"/>
    <n v="4"/>
    <n v="0"/>
    <x v="31"/>
    <x v="441"/>
    <n v="220"/>
    <x v="0"/>
    <x v="2"/>
    <x v="21"/>
  </r>
  <r>
    <n v="10948"/>
    <x v="72"/>
    <n v="16.25"/>
    <n v="9"/>
    <n v="0"/>
    <x v="36"/>
    <x v="441"/>
    <n v="146.25"/>
    <x v="5"/>
    <x v="2"/>
    <x v="72"/>
  </r>
  <r>
    <n v="10948"/>
    <x v="4"/>
    <n v="53"/>
    <n v="40"/>
    <n v="0"/>
    <x v="36"/>
    <x v="441"/>
    <n v="2120"/>
    <x v="2"/>
    <x v="2"/>
    <x v="4"/>
  </r>
  <r>
    <n v="10948"/>
    <x v="16"/>
    <n v="24"/>
    <n v="4"/>
    <n v="0"/>
    <x v="36"/>
    <x v="441"/>
    <n v="96"/>
    <x v="7"/>
    <x v="2"/>
    <x v="16"/>
  </r>
  <r>
    <n v="10949"/>
    <x v="63"/>
    <n v="25"/>
    <n v="12"/>
    <n v="0"/>
    <x v="66"/>
    <x v="441"/>
    <n v="300"/>
    <x v="4"/>
    <x v="2"/>
    <x v="63"/>
  </r>
  <r>
    <n v="10949"/>
    <x v="41"/>
    <n v="31"/>
    <n v="30"/>
    <n v="0"/>
    <x v="66"/>
    <x v="441"/>
    <n v="930"/>
    <x v="3"/>
    <x v="2"/>
    <x v="41"/>
  </r>
  <r>
    <n v="10949"/>
    <x v="35"/>
    <n v="39"/>
    <n v="6"/>
    <n v="0"/>
    <x v="66"/>
    <x v="441"/>
    <n v="234"/>
    <x v="7"/>
    <x v="2"/>
    <x v="35"/>
  </r>
  <r>
    <n v="10949"/>
    <x v="29"/>
    <n v="49.3"/>
    <n v="60"/>
    <n v="0"/>
    <x v="66"/>
    <x v="441"/>
    <n v="2958"/>
    <x v="5"/>
    <x v="2"/>
    <x v="29"/>
  </r>
  <r>
    <n v="10950"/>
    <x v="62"/>
    <n v="22"/>
    <n v="5"/>
    <n v="0"/>
    <x v="22"/>
    <x v="442"/>
    <n v="110"/>
    <x v="4"/>
    <x v="2"/>
    <x v="62"/>
  </r>
  <r>
    <n v="10951"/>
    <x v="10"/>
    <n v="2.5"/>
    <n v="15"/>
    <n v="5.000000074505806E-2"/>
    <x v="6"/>
    <x v="442"/>
    <n v="35.624999972060323"/>
    <x v="0"/>
    <x v="2"/>
    <x v="10"/>
  </r>
  <r>
    <n v="10951"/>
    <x v="5"/>
    <n v="9.65"/>
    <n v="6"/>
    <n v="5.000000074505806E-2"/>
    <x v="6"/>
    <x v="442"/>
    <n v="55.004999956861141"/>
    <x v="3"/>
    <x v="2"/>
    <x v="5"/>
  </r>
  <r>
    <n v="10951"/>
    <x v="48"/>
    <n v="7.75"/>
    <n v="50"/>
    <n v="5.000000074505806E-2"/>
    <x v="6"/>
    <x v="442"/>
    <n v="368.12499971129"/>
    <x v="6"/>
    <x v="2"/>
    <x v="48"/>
  </r>
  <r>
    <n v="10952"/>
    <x v="63"/>
    <n v="25"/>
    <n v="16"/>
    <n v="5.000000074505806E-2"/>
    <x v="85"/>
    <x v="442"/>
    <n v="379.99999970197678"/>
    <x v="4"/>
    <x v="2"/>
    <x v="63"/>
  </r>
  <r>
    <n v="10952"/>
    <x v="44"/>
    <n v="45.6"/>
    <n v="2"/>
    <n v="0"/>
    <x v="85"/>
    <x v="442"/>
    <n v="91.2"/>
    <x v="2"/>
    <x v="2"/>
    <x v="44"/>
  </r>
  <r>
    <n v="10953"/>
    <x v="9"/>
    <n v="81"/>
    <n v="50"/>
    <n v="5.000000074505806E-2"/>
    <x v="55"/>
    <x v="442"/>
    <n v="3847.4999969825149"/>
    <x v="5"/>
    <x v="2"/>
    <x v="9"/>
  </r>
  <r>
    <n v="10953"/>
    <x v="12"/>
    <n v="12.5"/>
    <n v="50"/>
    <n v="5.000000074505806E-2"/>
    <x v="55"/>
    <x v="442"/>
    <n v="593.74999953433871"/>
    <x v="0"/>
    <x v="2"/>
    <x v="12"/>
  </r>
  <r>
    <n v="10954"/>
    <x v="19"/>
    <n v="17.45"/>
    <n v="28"/>
    <n v="0.15000000596046448"/>
    <x v="67"/>
    <x v="443"/>
    <n v="415.30999708771702"/>
    <x v="5"/>
    <x v="2"/>
    <x v="19"/>
  </r>
  <r>
    <n v="10954"/>
    <x v="12"/>
    <n v="12.5"/>
    <n v="25"/>
    <n v="0.15000000596046448"/>
    <x v="67"/>
    <x v="443"/>
    <n v="265.62499813735485"/>
    <x v="0"/>
    <x v="2"/>
    <x v="12"/>
  </r>
  <r>
    <n v="10954"/>
    <x v="73"/>
    <n v="9.5"/>
    <n v="30"/>
    <n v="0"/>
    <x v="67"/>
    <x v="443"/>
    <n v="285"/>
    <x v="3"/>
    <x v="2"/>
    <x v="73"/>
  </r>
  <r>
    <n v="10954"/>
    <x v="11"/>
    <n v="34"/>
    <n v="24"/>
    <n v="0.15000000596046448"/>
    <x v="67"/>
    <x v="443"/>
    <n v="693.59999513626099"/>
    <x v="0"/>
    <x v="2"/>
    <x v="11"/>
  </r>
  <r>
    <n v="10955"/>
    <x v="48"/>
    <n v="7.75"/>
    <n v="12"/>
    <n v="0.20000000298023224"/>
    <x v="14"/>
    <x v="443"/>
    <n v="74.399999722838402"/>
    <x v="6"/>
    <x v="2"/>
    <x v="48"/>
  </r>
  <r>
    <n v="10956"/>
    <x v="27"/>
    <n v="10"/>
    <n v="12"/>
    <n v="0"/>
    <x v="76"/>
    <x v="443"/>
    <n v="120"/>
    <x v="5"/>
    <x v="2"/>
    <x v="27"/>
  </r>
  <r>
    <n v="10956"/>
    <x v="69"/>
    <n v="9.5"/>
    <n v="14"/>
    <n v="0"/>
    <x v="76"/>
    <x v="443"/>
    <n v="133"/>
    <x v="5"/>
    <x v="2"/>
    <x v="69"/>
  </r>
  <r>
    <n v="10956"/>
    <x v="4"/>
    <n v="53"/>
    <n v="8"/>
    <n v="0"/>
    <x v="76"/>
    <x v="443"/>
    <n v="424"/>
    <x v="2"/>
    <x v="2"/>
    <x v="4"/>
  </r>
  <r>
    <n v="10957"/>
    <x v="34"/>
    <n v="25.89"/>
    <n v="30"/>
    <n v="0"/>
    <x v="8"/>
    <x v="444"/>
    <n v="776.7"/>
    <x v="3"/>
    <x v="2"/>
    <x v="34"/>
  </r>
  <r>
    <n v="10957"/>
    <x v="31"/>
    <n v="18"/>
    <n v="40"/>
    <n v="0"/>
    <x v="8"/>
    <x v="444"/>
    <n v="720"/>
    <x v="6"/>
    <x v="2"/>
    <x v="31"/>
  </r>
  <r>
    <n v="10957"/>
    <x v="58"/>
    <n v="33.25"/>
    <n v="8"/>
    <n v="0"/>
    <x v="8"/>
    <x v="444"/>
    <n v="266"/>
    <x v="1"/>
    <x v="2"/>
    <x v="58"/>
  </r>
  <r>
    <n v="10958"/>
    <x v="25"/>
    <n v="21.35"/>
    <n v="20"/>
    <n v="0"/>
    <x v="69"/>
    <x v="444"/>
    <n v="427"/>
    <x v="4"/>
    <x v="2"/>
    <x v="25"/>
  </r>
  <r>
    <n v="10958"/>
    <x v="32"/>
    <n v="30"/>
    <n v="6"/>
    <n v="0"/>
    <x v="69"/>
    <x v="444"/>
    <n v="180"/>
    <x v="2"/>
    <x v="2"/>
    <x v="32"/>
  </r>
  <r>
    <n v="10958"/>
    <x v="2"/>
    <n v="34.799999999999997"/>
    <n v="5"/>
    <n v="0"/>
    <x v="69"/>
    <x v="444"/>
    <n v="174"/>
    <x v="0"/>
    <x v="2"/>
    <x v="2"/>
  </r>
  <r>
    <n v="10959"/>
    <x v="48"/>
    <n v="7.75"/>
    <n v="20"/>
    <n v="0.15000000596046448"/>
    <x v="71"/>
    <x v="444"/>
    <n v="131.74999907612801"/>
    <x v="6"/>
    <x v="2"/>
    <x v="48"/>
  </r>
  <r>
    <n v="10960"/>
    <x v="15"/>
    <n v="4.5"/>
    <n v="10"/>
    <n v="0.25"/>
    <x v="8"/>
    <x v="445"/>
    <n v="33.75"/>
    <x v="6"/>
    <x v="2"/>
    <x v="15"/>
  </r>
  <r>
    <n v="10960"/>
    <x v="5"/>
    <n v="9.65"/>
    <n v="24"/>
    <n v="0"/>
    <x v="8"/>
    <x v="445"/>
    <n v="231.60000000000002"/>
    <x v="3"/>
    <x v="2"/>
    <x v="5"/>
  </r>
  <r>
    <n v="10961"/>
    <x v="65"/>
    <n v="7"/>
    <n v="6"/>
    <n v="5.000000074505806E-2"/>
    <x v="62"/>
    <x v="445"/>
    <n v="39.899999968707561"/>
    <x v="1"/>
    <x v="2"/>
    <x v="65"/>
  </r>
  <r>
    <n v="10961"/>
    <x v="38"/>
    <n v="18"/>
    <n v="60"/>
    <n v="0"/>
    <x v="62"/>
    <x v="445"/>
    <n v="1080"/>
    <x v="6"/>
    <x v="2"/>
    <x v="38"/>
  </r>
  <r>
    <n v="10962"/>
    <x v="32"/>
    <n v="30"/>
    <n v="45"/>
    <n v="0"/>
    <x v="21"/>
    <x v="445"/>
    <n v="1350"/>
    <x v="2"/>
    <x v="2"/>
    <x v="32"/>
  </r>
  <r>
    <n v="10962"/>
    <x v="43"/>
    <n v="6"/>
    <n v="77"/>
    <n v="0"/>
    <x v="21"/>
    <x v="445"/>
    <n v="462"/>
    <x v="3"/>
    <x v="2"/>
    <x v="43"/>
  </r>
  <r>
    <n v="10962"/>
    <x v="22"/>
    <n v="32.799999999999997"/>
    <n v="20"/>
    <n v="0"/>
    <x v="21"/>
    <x v="445"/>
    <n v="656"/>
    <x v="7"/>
    <x v="2"/>
    <x v="22"/>
  </r>
  <r>
    <n v="10962"/>
    <x v="60"/>
    <n v="36"/>
    <n v="9"/>
    <n v="0"/>
    <x v="21"/>
    <x v="445"/>
    <n v="324"/>
    <x v="0"/>
    <x v="2"/>
    <x v="60"/>
  </r>
  <r>
    <n v="10962"/>
    <x v="38"/>
    <n v="18"/>
    <n v="44"/>
    <n v="0"/>
    <x v="21"/>
    <x v="445"/>
    <n v="792"/>
    <x v="6"/>
    <x v="2"/>
    <x v="38"/>
  </r>
  <r>
    <n v="10963"/>
    <x v="11"/>
    <n v="34"/>
    <n v="2"/>
    <n v="0.15000000596046448"/>
    <x v="47"/>
    <x v="445"/>
    <n v="57.799999594688416"/>
    <x v="0"/>
    <x v="2"/>
    <x v="11"/>
  </r>
  <r>
    <n v="10964"/>
    <x v="59"/>
    <n v="62.5"/>
    <n v="6"/>
    <n v="0"/>
    <x v="87"/>
    <x v="446"/>
    <n v="375"/>
    <x v="3"/>
    <x v="2"/>
    <x v="59"/>
  </r>
  <r>
    <n v="10964"/>
    <x v="67"/>
    <n v="263.5"/>
    <n v="5"/>
    <n v="0"/>
    <x v="87"/>
    <x v="446"/>
    <n v="1317.5"/>
    <x v="6"/>
    <x v="2"/>
    <x v="67"/>
  </r>
  <r>
    <n v="10964"/>
    <x v="60"/>
    <n v="36"/>
    <n v="10"/>
    <n v="0"/>
    <x v="87"/>
    <x v="446"/>
    <n v="360"/>
    <x v="0"/>
    <x v="2"/>
    <x v="60"/>
  </r>
  <r>
    <n v="10965"/>
    <x v="4"/>
    <n v="53"/>
    <n v="16"/>
    <n v="0"/>
    <x v="37"/>
    <x v="446"/>
    <n v="848"/>
    <x v="2"/>
    <x v="2"/>
    <x v="4"/>
  </r>
  <r>
    <n v="10966"/>
    <x v="28"/>
    <n v="26"/>
    <n v="8"/>
    <n v="0"/>
    <x v="5"/>
    <x v="446"/>
    <n v="208"/>
    <x v="3"/>
    <x v="2"/>
    <x v="28"/>
  </r>
  <r>
    <n v="10966"/>
    <x v="33"/>
    <n v="38"/>
    <n v="12"/>
    <n v="0.15000000596046448"/>
    <x v="5"/>
    <x v="446"/>
    <n v="387.5999972820282"/>
    <x v="1"/>
    <x v="2"/>
    <x v="33"/>
  </r>
  <r>
    <n v="10966"/>
    <x v="29"/>
    <n v="49.3"/>
    <n v="12"/>
    <n v="0.15000000596046448"/>
    <x v="5"/>
    <x v="446"/>
    <n v="502.85999647378912"/>
    <x v="5"/>
    <x v="2"/>
    <x v="29"/>
  </r>
  <r>
    <n v="10967"/>
    <x v="49"/>
    <n v="9.1999999999999993"/>
    <n v="12"/>
    <n v="0"/>
    <x v="1"/>
    <x v="447"/>
    <n v="110.39999999999999"/>
    <x v="5"/>
    <x v="2"/>
    <x v="49"/>
  </r>
  <r>
    <n v="10967"/>
    <x v="14"/>
    <n v="20"/>
    <n v="40"/>
    <n v="0"/>
    <x v="1"/>
    <x v="447"/>
    <n v="800"/>
    <x v="5"/>
    <x v="2"/>
    <x v="14"/>
  </r>
  <r>
    <n v="10968"/>
    <x v="36"/>
    <n v="38"/>
    <n v="30"/>
    <n v="0"/>
    <x v="9"/>
    <x v="447"/>
    <n v="1140"/>
    <x v="0"/>
    <x v="2"/>
    <x v="36"/>
  </r>
  <r>
    <n v="10968"/>
    <x v="15"/>
    <n v="4.5"/>
    <n v="30"/>
    <n v="0"/>
    <x v="9"/>
    <x v="447"/>
    <n v="135"/>
    <x v="6"/>
    <x v="2"/>
    <x v="15"/>
  </r>
  <r>
    <n v="10968"/>
    <x v="58"/>
    <n v="33.25"/>
    <n v="4"/>
    <n v="0"/>
    <x v="9"/>
    <x v="447"/>
    <n v="133"/>
    <x v="1"/>
    <x v="2"/>
    <x v="58"/>
  </r>
  <r>
    <n v="10969"/>
    <x v="54"/>
    <n v="12"/>
    <n v="9"/>
    <n v="0"/>
    <x v="32"/>
    <x v="447"/>
    <n v="108"/>
    <x v="3"/>
    <x v="2"/>
    <x v="54"/>
  </r>
  <r>
    <n v="10970"/>
    <x v="65"/>
    <n v="7"/>
    <n v="40"/>
    <n v="0.20000000298023224"/>
    <x v="46"/>
    <x v="448"/>
    <n v="223.99999916553497"/>
    <x v="1"/>
    <x v="2"/>
    <x v="65"/>
  </r>
  <r>
    <n v="10971"/>
    <x v="39"/>
    <n v="123.79"/>
    <n v="14"/>
    <n v="0"/>
    <x v="86"/>
    <x v="448"/>
    <n v="1733.0600000000002"/>
    <x v="7"/>
    <x v="2"/>
    <x v="39"/>
  </r>
  <r>
    <n v="10972"/>
    <x v="35"/>
    <n v="39"/>
    <n v="6"/>
    <n v="0"/>
    <x v="88"/>
    <x v="448"/>
    <n v="234"/>
    <x v="7"/>
    <x v="2"/>
    <x v="35"/>
  </r>
  <r>
    <n v="10972"/>
    <x v="10"/>
    <n v="2.5"/>
    <n v="7"/>
    <n v="0"/>
    <x v="88"/>
    <x v="448"/>
    <n v="17.5"/>
    <x v="0"/>
    <x v="2"/>
    <x v="10"/>
  </r>
  <r>
    <n v="10973"/>
    <x v="68"/>
    <n v="31.23"/>
    <n v="5"/>
    <n v="0"/>
    <x v="88"/>
    <x v="448"/>
    <n v="156.15"/>
    <x v="5"/>
    <x v="2"/>
    <x v="68"/>
  </r>
  <r>
    <n v="10973"/>
    <x v="5"/>
    <n v="9.65"/>
    <n v="6"/>
    <n v="0"/>
    <x v="88"/>
    <x v="448"/>
    <n v="57.900000000000006"/>
    <x v="3"/>
    <x v="2"/>
    <x v="5"/>
  </r>
  <r>
    <n v="10973"/>
    <x v="48"/>
    <n v="7.75"/>
    <n v="10"/>
    <n v="0"/>
    <x v="88"/>
    <x v="448"/>
    <n v="77.5"/>
    <x v="6"/>
    <x v="2"/>
    <x v="48"/>
  </r>
  <r>
    <n v="10974"/>
    <x v="46"/>
    <n v="43.9"/>
    <n v="10"/>
    <n v="0"/>
    <x v="20"/>
    <x v="449"/>
    <n v="439"/>
    <x v="4"/>
    <x v="2"/>
    <x v="46"/>
  </r>
  <r>
    <n v="10975"/>
    <x v="71"/>
    <n v="40"/>
    <n v="16"/>
    <n v="0"/>
    <x v="66"/>
    <x v="449"/>
    <n v="640"/>
    <x v="4"/>
    <x v="2"/>
    <x v="71"/>
  </r>
  <r>
    <n v="10975"/>
    <x v="48"/>
    <n v="7.75"/>
    <n v="10"/>
    <n v="0"/>
    <x v="66"/>
    <x v="449"/>
    <n v="77.5"/>
    <x v="6"/>
    <x v="2"/>
    <x v="48"/>
  </r>
  <r>
    <n v="10976"/>
    <x v="44"/>
    <n v="45.6"/>
    <n v="20"/>
    <n v="0"/>
    <x v="8"/>
    <x v="449"/>
    <n v="912"/>
    <x v="2"/>
    <x v="2"/>
    <x v="44"/>
  </r>
  <r>
    <n v="10977"/>
    <x v="13"/>
    <n v="18"/>
    <n v="30"/>
    <n v="0"/>
    <x v="14"/>
    <x v="450"/>
    <n v="540"/>
    <x v="6"/>
    <x v="2"/>
    <x v="13"/>
  </r>
  <r>
    <n v="10977"/>
    <x v="69"/>
    <n v="9.5"/>
    <n v="30"/>
    <n v="0"/>
    <x v="14"/>
    <x v="450"/>
    <n v="285"/>
    <x v="5"/>
    <x v="2"/>
    <x v="69"/>
  </r>
  <r>
    <n v="10977"/>
    <x v="4"/>
    <n v="53"/>
    <n v="10"/>
    <n v="0"/>
    <x v="14"/>
    <x v="450"/>
    <n v="530"/>
    <x v="2"/>
    <x v="2"/>
    <x v="4"/>
  </r>
  <r>
    <n v="10977"/>
    <x v="46"/>
    <n v="43.9"/>
    <n v="20"/>
    <n v="0"/>
    <x v="14"/>
    <x v="450"/>
    <n v="878"/>
    <x v="4"/>
    <x v="2"/>
    <x v="46"/>
  </r>
  <r>
    <n v="10978"/>
    <x v="71"/>
    <n v="40"/>
    <n v="20"/>
    <n v="0.15000000596046448"/>
    <x v="80"/>
    <x v="450"/>
    <n v="679.99999523162842"/>
    <x v="4"/>
    <x v="2"/>
    <x v="71"/>
  </r>
  <r>
    <n v="10978"/>
    <x v="27"/>
    <n v="10"/>
    <n v="40"/>
    <n v="0.15000000596046448"/>
    <x v="80"/>
    <x v="450"/>
    <n v="339.99999761581421"/>
    <x v="5"/>
    <x v="2"/>
    <x v="27"/>
  </r>
  <r>
    <n v="10978"/>
    <x v="37"/>
    <n v="18.399999999999999"/>
    <n v="10"/>
    <n v="0"/>
    <x v="80"/>
    <x v="450"/>
    <n v="184"/>
    <x v="3"/>
    <x v="2"/>
    <x v="37"/>
  </r>
  <r>
    <n v="10978"/>
    <x v="45"/>
    <n v="19.45"/>
    <n v="6"/>
    <n v="0.15000000596046448"/>
    <x v="80"/>
    <x v="450"/>
    <n v="99.194999304413784"/>
    <x v="4"/>
    <x v="2"/>
    <x v="45"/>
  </r>
  <r>
    <n v="10979"/>
    <x v="32"/>
    <n v="30"/>
    <n v="18"/>
    <n v="0"/>
    <x v="9"/>
    <x v="450"/>
    <n v="540"/>
    <x v="2"/>
    <x v="2"/>
    <x v="32"/>
  </r>
  <r>
    <n v="10979"/>
    <x v="36"/>
    <n v="38"/>
    <n v="20"/>
    <n v="0"/>
    <x v="9"/>
    <x v="450"/>
    <n v="760"/>
    <x v="0"/>
    <x v="2"/>
    <x v="36"/>
  </r>
  <r>
    <n v="10979"/>
    <x v="15"/>
    <n v="4.5"/>
    <n v="80"/>
    <n v="0"/>
    <x v="9"/>
    <x v="450"/>
    <n v="360"/>
    <x v="6"/>
    <x v="2"/>
    <x v="15"/>
  </r>
  <r>
    <n v="10979"/>
    <x v="24"/>
    <n v="43.9"/>
    <n v="30"/>
    <n v="0"/>
    <x v="9"/>
    <x v="450"/>
    <n v="1317"/>
    <x v="5"/>
    <x v="2"/>
    <x v="24"/>
  </r>
  <r>
    <n v="10979"/>
    <x v="12"/>
    <n v="12.5"/>
    <n v="24"/>
    <n v="0"/>
    <x v="9"/>
    <x v="450"/>
    <n v="300"/>
    <x v="0"/>
    <x v="2"/>
    <x v="12"/>
  </r>
  <r>
    <n v="10979"/>
    <x v="46"/>
    <n v="43.9"/>
    <n v="35"/>
    <n v="0"/>
    <x v="9"/>
    <x v="450"/>
    <n v="1536.5"/>
    <x v="4"/>
    <x v="2"/>
    <x v="46"/>
  </r>
  <r>
    <n v="10980"/>
    <x v="48"/>
    <n v="7.75"/>
    <n v="40"/>
    <n v="0.20000000298023224"/>
    <x v="14"/>
    <x v="451"/>
    <n v="247.99999907612801"/>
    <x v="6"/>
    <x v="2"/>
    <x v="48"/>
  </r>
  <r>
    <n v="10981"/>
    <x v="67"/>
    <n v="263.5"/>
    <n v="60"/>
    <n v="0"/>
    <x v="2"/>
    <x v="451"/>
    <n v="15810"/>
    <x v="6"/>
    <x v="2"/>
    <x v="67"/>
  </r>
  <r>
    <n v="10982"/>
    <x v="32"/>
    <n v="30"/>
    <n v="20"/>
    <n v="0"/>
    <x v="66"/>
    <x v="451"/>
    <n v="600"/>
    <x v="2"/>
    <x v="2"/>
    <x v="32"/>
  </r>
  <r>
    <n v="10982"/>
    <x v="40"/>
    <n v="46"/>
    <n v="9"/>
    <n v="0"/>
    <x v="66"/>
    <x v="451"/>
    <n v="414"/>
    <x v="6"/>
    <x v="2"/>
    <x v="40"/>
  </r>
  <r>
    <n v="10983"/>
    <x v="43"/>
    <n v="6"/>
    <n v="84"/>
    <n v="0.15000000596046448"/>
    <x v="45"/>
    <x v="451"/>
    <n v="428.3999969959259"/>
    <x v="3"/>
    <x v="2"/>
    <x v="43"/>
  </r>
  <r>
    <n v="10983"/>
    <x v="8"/>
    <n v="19.5"/>
    <n v="15"/>
    <n v="0"/>
    <x v="45"/>
    <x v="451"/>
    <n v="292.5"/>
    <x v="1"/>
    <x v="2"/>
    <x v="8"/>
  </r>
  <r>
    <n v="10984"/>
    <x v="19"/>
    <n v="17.45"/>
    <n v="55"/>
    <n v="0"/>
    <x v="45"/>
    <x v="452"/>
    <n v="959.75"/>
    <x v="5"/>
    <x v="2"/>
    <x v="19"/>
  </r>
  <r>
    <n v="10984"/>
    <x v="15"/>
    <n v="4.5"/>
    <n v="20"/>
    <n v="0"/>
    <x v="45"/>
    <x v="452"/>
    <n v="90"/>
    <x v="6"/>
    <x v="2"/>
    <x v="15"/>
  </r>
  <r>
    <n v="10984"/>
    <x v="20"/>
    <n v="19"/>
    <n v="40"/>
    <n v="0"/>
    <x v="45"/>
    <x v="452"/>
    <n v="760"/>
    <x v="3"/>
    <x v="2"/>
    <x v="20"/>
  </r>
  <r>
    <n v="10985"/>
    <x v="19"/>
    <n v="17.45"/>
    <n v="36"/>
    <n v="0.10000000149011612"/>
    <x v="34"/>
    <x v="452"/>
    <n v="565.37999906390894"/>
    <x v="5"/>
    <x v="2"/>
    <x v="19"/>
  </r>
  <r>
    <n v="10985"/>
    <x v="59"/>
    <n v="62.5"/>
    <n v="8"/>
    <n v="0.10000000149011612"/>
    <x v="34"/>
    <x v="452"/>
    <n v="449.99999925494194"/>
    <x v="3"/>
    <x v="2"/>
    <x v="59"/>
  </r>
  <r>
    <n v="10985"/>
    <x v="26"/>
    <n v="32"/>
    <n v="35"/>
    <n v="0.10000000149011612"/>
    <x v="34"/>
    <x v="452"/>
    <n v="1007.9999983310699"/>
    <x v="0"/>
    <x v="2"/>
    <x v="26"/>
  </r>
  <r>
    <n v="10986"/>
    <x v="0"/>
    <n v="21"/>
    <n v="30"/>
    <n v="0"/>
    <x v="69"/>
    <x v="452"/>
    <n v="630"/>
    <x v="0"/>
    <x v="2"/>
    <x v="0"/>
  </r>
  <r>
    <n v="10986"/>
    <x v="9"/>
    <n v="81"/>
    <n v="15"/>
    <n v="0"/>
    <x v="69"/>
    <x v="452"/>
    <n v="1215"/>
    <x v="5"/>
    <x v="2"/>
    <x v="9"/>
  </r>
  <r>
    <n v="10986"/>
    <x v="38"/>
    <n v="18"/>
    <n v="10"/>
    <n v="0"/>
    <x v="69"/>
    <x v="452"/>
    <n v="180"/>
    <x v="6"/>
    <x v="2"/>
    <x v="38"/>
  </r>
  <r>
    <n v="10986"/>
    <x v="23"/>
    <n v="13"/>
    <n v="15"/>
    <n v="0"/>
    <x v="69"/>
    <x v="452"/>
    <n v="195"/>
    <x v="4"/>
    <x v="2"/>
    <x v="23"/>
  </r>
  <r>
    <n v="10987"/>
    <x v="32"/>
    <n v="30"/>
    <n v="60"/>
    <n v="0"/>
    <x v="58"/>
    <x v="453"/>
    <n v="1800"/>
    <x v="2"/>
    <x v="2"/>
    <x v="32"/>
  </r>
  <r>
    <n v="10987"/>
    <x v="40"/>
    <n v="46"/>
    <n v="6"/>
    <n v="0"/>
    <x v="58"/>
    <x v="453"/>
    <n v="276"/>
    <x v="6"/>
    <x v="2"/>
    <x v="40"/>
  </r>
  <r>
    <n v="10987"/>
    <x v="2"/>
    <n v="34.799999999999997"/>
    <n v="20"/>
    <n v="0"/>
    <x v="58"/>
    <x v="453"/>
    <n v="696"/>
    <x v="0"/>
    <x v="2"/>
    <x v="2"/>
  </r>
  <r>
    <n v="10988"/>
    <x v="32"/>
    <n v="30"/>
    <n v="60"/>
    <n v="0"/>
    <x v="13"/>
    <x v="453"/>
    <n v="1800"/>
    <x v="2"/>
    <x v="2"/>
    <x v="32"/>
  </r>
  <r>
    <n v="10988"/>
    <x v="29"/>
    <n v="49.3"/>
    <n v="40"/>
    <n v="0.10000000149011612"/>
    <x v="13"/>
    <x v="453"/>
    <n v="1774.799997061491"/>
    <x v="5"/>
    <x v="2"/>
    <x v="29"/>
  </r>
  <r>
    <n v="10989"/>
    <x v="63"/>
    <n v="25"/>
    <n v="40"/>
    <n v="0"/>
    <x v="12"/>
    <x v="453"/>
    <n v="1000"/>
    <x v="4"/>
    <x v="2"/>
    <x v="63"/>
  </r>
  <r>
    <n v="10989"/>
    <x v="0"/>
    <n v="21"/>
    <n v="15"/>
    <n v="0"/>
    <x v="12"/>
    <x v="453"/>
    <n v="315"/>
    <x v="0"/>
    <x v="2"/>
    <x v="0"/>
  </r>
  <r>
    <n v="10989"/>
    <x v="5"/>
    <n v="9.65"/>
    <n v="4"/>
    <n v="0"/>
    <x v="12"/>
    <x v="453"/>
    <n v="38.6"/>
    <x v="3"/>
    <x v="2"/>
    <x v="5"/>
  </r>
  <r>
    <n v="10990"/>
    <x v="27"/>
    <n v="10"/>
    <n v="65"/>
    <n v="0"/>
    <x v="9"/>
    <x v="454"/>
    <n v="650"/>
    <x v="5"/>
    <x v="3"/>
    <x v="27"/>
  </r>
  <r>
    <n v="10990"/>
    <x v="53"/>
    <n v="14"/>
    <n v="60"/>
    <n v="0.15000000596046448"/>
    <x v="9"/>
    <x v="454"/>
    <n v="713.99999499320984"/>
    <x v="6"/>
    <x v="3"/>
    <x v="53"/>
  </r>
  <r>
    <n v="10990"/>
    <x v="16"/>
    <n v="24"/>
    <n v="65"/>
    <n v="0.15000000596046448"/>
    <x v="9"/>
    <x v="454"/>
    <n v="1325.9999907016754"/>
    <x v="7"/>
    <x v="3"/>
    <x v="16"/>
  </r>
  <r>
    <n v="10990"/>
    <x v="75"/>
    <n v="28.5"/>
    <n v="66"/>
    <n v="0.15000000596046448"/>
    <x v="9"/>
    <x v="454"/>
    <n v="1598.8499887883663"/>
    <x v="4"/>
    <x v="3"/>
    <x v="75"/>
  </r>
  <r>
    <n v="10991"/>
    <x v="18"/>
    <n v="19"/>
    <n v="50"/>
    <n v="0.20000000298023224"/>
    <x v="21"/>
    <x v="454"/>
    <n v="759.99999716877937"/>
    <x v="6"/>
    <x v="3"/>
    <x v="18"/>
  </r>
  <r>
    <n v="10991"/>
    <x v="30"/>
    <n v="15"/>
    <n v="20"/>
    <n v="0.20000000298023224"/>
    <x v="21"/>
    <x v="454"/>
    <n v="239.99999910593033"/>
    <x v="6"/>
    <x v="3"/>
    <x v="30"/>
  </r>
  <r>
    <n v="10991"/>
    <x v="38"/>
    <n v="18"/>
    <n v="90"/>
    <n v="0.20000000298023224"/>
    <x v="21"/>
    <x v="454"/>
    <n v="1295.9999951720238"/>
    <x v="6"/>
    <x v="3"/>
    <x v="38"/>
  </r>
  <r>
    <n v="10992"/>
    <x v="2"/>
    <n v="34.799999999999997"/>
    <n v="2"/>
    <n v="0"/>
    <x v="40"/>
    <x v="454"/>
    <n v="69.599999999999994"/>
    <x v="0"/>
    <x v="3"/>
    <x v="2"/>
  </r>
  <r>
    <n v="10993"/>
    <x v="39"/>
    <n v="123.79"/>
    <n v="50"/>
    <n v="0.25"/>
    <x v="14"/>
    <x v="454"/>
    <n v="4642.125"/>
    <x v="7"/>
    <x v="3"/>
    <x v="39"/>
  </r>
  <r>
    <n v="10993"/>
    <x v="5"/>
    <n v="9.65"/>
    <n v="35"/>
    <n v="0.25"/>
    <x v="14"/>
    <x v="454"/>
    <n v="253.3125"/>
    <x v="3"/>
    <x v="3"/>
    <x v="5"/>
  </r>
  <r>
    <n v="10994"/>
    <x v="21"/>
    <n v="55"/>
    <n v="18"/>
    <n v="5.000000074505806E-2"/>
    <x v="61"/>
    <x v="455"/>
    <n v="940.49999926239252"/>
    <x v="0"/>
    <x v="3"/>
    <x v="21"/>
  </r>
  <r>
    <n v="10995"/>
    <x v="4"/>
    <n v="53"/>
    <n v="20"/>
    <n v="0"/>
    <x v="43"/>
    <x v="455"/>
    <n v="1060"/>
    <x v="2"/>
    <x v="3"/>
    <x v="4"/>
  </r>
  <r>
    <n v="10995"/>
    <x v="11"/>
    <n v="34"/>
    <n v="4"/>
    <n v="0"/>
    <x v="43"/>
    <x v="455"/>
    <n v="136"/>
    <x v="0"/>
    <x v="3"/>
    <x v="11"/>
  </r>
  <r>
    <n v="10996"/>
    <x v="1"/>
    <n v="14"/>
    <n v="40"/>
    <n v="0"/>
    <x v="21"/>
    <x v="455"/>
    <n v="560"/>
    <x v="1"/>
    <x v="3"/>
    <x v="1"/>
  </r>
  <r>
    <n v="10997"/>
    <x v="26"/>
    <n v="32"/>
    <n v="50"/>
    <n v="0"/>
    <x v="28"/>
    <x v="456"/>
    <n v="1600"/>
    <x v="0"/>
    <x v="3"/>
    <x v="26"/>
  </r>
  <r>
    <n v="10997"/>
    <x v="54"/>
    <n v="12"/>
    <n v="20"/>
    <n v="0.25"/>
    <x v="28"/>
    <x v="456"/>
    <n v="180"/>
    <x v="3"/>
    <x v="3"/>
    <x v="54"/>
  </r>
  <r>
    <n v="10997"/>
    <x v="65"/>
    <n v="7"/>
    <n v="20"/>
    <n v="0.25"/>
    <x v="28"/>
    <x v="456"/>
    <n v="105"/>
    <x v="1"/>
    <x v="3"/>
    <x v="65"/>
  </r>
  <r>
    <n v="10998"/>
    <x v="15"/>
    <n v="4.5"/>
    <n v="12"/>
    <n v="0"/>
    <x v="63"/>
    <x v="456"/>
    <n v="54"/>
    <x v="6"/>
    <x v="3"/>
    <x v="15"/>
  </r>
  <r>
    <n v="10998"/>
    <x v="75"/>
    <n v="28.5"/>
    <n v="7"/>
    <n v="0"/>
    <x v="63"/>
    <x v="456"/>
    <n v="199.5"/>
    <x v="4"/>
    <x v="3"/>
    <x v="75"/>
  </r>
  <r>
    <n v="10998"/>
    <x v="17"/>
    <n v="10"/>
    <n v="20"/>
    <n v="0"/>
    <x v="63"/>
    <x v="456"/>
    <n v="200"/>
    <x v="2"/>
    <x v="3"/>
    <x v="17"/>
  </r>
  <r>
    <n v="10998"/>
    <x v="48"/>
    <n v="7.75"/>
    <n v="30"/>
    <n v="0"/>
    <x v="63"/>
    <x v="456"/>
    <n v="232.5"/>
    <x v="6"/>
    <x v="3"/>
    <x v="48"/>
  </r>
  <r>
    <n v="10999"/>
    <x v="5"/>
    <n v="9.65"/>
    <n v="20"/>
    <n v="5.000000074505806E-2"/>
    <x v="11"/>
    <x v="456"/>
    <n v="183.34999985620379"/>
    <x v="3"/>
    <x v="3"/>
    <x v="5"/>
  </r>
  <r>
    <n v="10999"/>
    <x v="4"/>
    <n v="53"/>
    <n v="15"/>
    <n v="5.000000074505806E-2"/>
    <x v="11"/>
    <x v="456"/>
    <n v="755.24999940767884"/>
    <x v="2"/>
    <x v="3"/>
    <x v="4"/>
  </r>
  <r>
    <n v="10999"/>
    <x v="23"/>
    <n v="13"/>
    <n v="21"/>
    <n v="5.000000074505806E-2"/>
    <x v="11"/>
    <x v="456"/>
    <n v="259.34999979659915"/>
    <x v="4"/>
    <x v="3"/>
    <x v="23"/>
  </r>
  <r>
    <n v="11000"/>
    <x v="62"/>
    <n v="22"/>
    <n v="25"/>
    <n v="0.25"/>
    <x v="13"/>
    <x v="457"/>
    <n v="412.5"/>
    <x v="4"/>
    <x v="3"/>
    <x v="62"/>
  </r>
  <r>
    <n v="11000"/>
    <x v="15"/>
    <n v="4.5"/>
    <n v="30"/>
    <n v="0.25"/>
    <x v="13"/>
    <x v="457"/>
    <n v="101.25"/>
    <x v="6"/>
    <x v="3"/>
    <x v="15"/>
  </r>
  <r>
    <n v="11000"/>
    <x v="23"/>
    <n v="13"/>
    <n v="30"/>
    <n v="0"/>
    <x v="13"/>
    <x v="457"/>
    <n v="390"/>
    <x v="4"/>
    <x v="3"/>
    <x v="23"/>
  </r>
  <r>
    <n v="11001"/>
    <x v="32"/>
    <n v="30"/>
    <n v="60"/>
    <n v="0"/>
    <x v="14"/>
    <x v="457"/>
    <n v="1800"/>
    <x v="2"/>
    <x v="3"/>
    <x v="32"/>
  </r>
  <r>
    <n v="11001"/>
    <x v="7"/>
    <n v="21"/>
    <n v="25"/>
    <n v="0"/>
    <x v="14"/>
    <x v="457"/>
    <n v="525"/>
    <x v="1"/>
    <x v="3"/>
    <x v="7"/>
  </r>
  <r>
    <n v="11001"/>
    <x v="54"/>
    <n v="12"/>
    <n v="25"/>
    <n v="0"/>
    <x v="14"/>
    <x v="457"/>
    <n v="300"/>
    <x v="3"/>
    <x v="3"/>
    <x v="54"/>
  </r>
  <r>
    <n v="11001"/>
    <x v="16"/>
    <n v="24"/>
    <n v="6"/>
    <n v="0"/>
    <x v="14"/>
    <x v="457"/>
    <n v="144"/>
    <x v="7"/>
    <x v="3"/>
    <x v="16"/>
  </r>
  <r>
    <n v="11002"/>
    <x v="43"/>
    <n v="6"/>
    <n v="56"/>
    <n v="0"/>
    <x v="45"/>
    <x v="457"/>
    <n v="336"/>
    <x v="3"/>
    <x v="3"/>
    <x v="43"/>
  </r>
  <r>
    <n v="11002"/>
    <x v="31"/>
    <n v="18"/>
    <n v="15"/>
    <n v="0.15000000596046448"/>
    <x v="45"/>
    <x v="457"/>
    <n v="229.49999839067459"/>
    <x v="6"/>
    <x v="3"/>
    <x v="31"/>
  </r>
  <r>
    <n v="11002"/>
    <x v="1"/>
    <n v="14"/>
    <n v="24"/>
    <n v="0.15000000596046448"/>
    <x v="45"/>
    <x v="457"/>
    <n v="285.59999799728394"/>
    <x v="1"/>
    <x v="3"/>
    <x v="1"/>
  </r>
  <r>
    <n v="11002"/>
    <x v="16"/>
    <n v="24"/>
    <n v="40"/>
    <n v="0"/>
    <x v="45"/>
    <x v="457"/>
    <n v="960"/>
    <x v="7"/>
    <x v="3"/>
    <x v="16"/>
  </r>
  <r>
    <n v="11003"/>
    <x v="52"/>
    <n v="18"/>
    <n v="4"/>
    <n v="0"/>
    <x v="84"/>
    <x v="457"/>
    <n v="72"/>
    <x v="6"/>
    <x v="3"/>
    <x v="52"/>
  </r>
  <r>
    <n v="11003"/>
    <x v="37"/>
    <n v="18.399999999999999"/>
    <n v="10"/>
    <n v="0"/>
    <x v="84"/>
    <x v="457"/>
    <n v="184"/>
    <x v="3"/>
    <x v="3"/>
    <x v="37"/>
  </r>
  <r>
    <n v="11003"/>
    <x v="65"/>
    <n v="7"/>
    <n v="10"/>
    <n v="0"/>
    <x v="84"/>
    <x v="457"/>
    <n v="70"/>
    <x v="1"/>
    <x v="3"/>
    <x v="65"/>
  </r>
  <r>
    <n v="11004"/>
    <x v="68"/>
    <n v="31.23"/>
    <n v="6"/>
    <n v="0"/>
    <x v="80"/>
    <x v="458"/>
    <n v="187.38"/>
    <x v="5"/>
    <x v="3"/>
    <x v="68"/>
  </r>
  <r>
    <n v="11004"/>
    <x v="38"/>
    <n v="18"/>
    <n v="6"/>
    <n v="0"/>
    <x v="80"/>
    <x v="458"/>
    <n v="108"/>
    <x v="6"/>
    <x v="3"/>
    <x v="38"/>
  </r>
  <r>
    <n v="11005"/>
    <x v="52"/>
    <n v="18"/>
    <n v="2"/>
    <n v="0"/>
    <x v="83"/>
    <x v="458"/>
    <n v="36"/>
    <x v="6"/>
    <x v="3"/>
    <x v="52"/>
  </r>
  <r>
    <n v="11005"/>
    <x v="21"/>
    <n v="55"/>
    <n v="10"/>
    <n v="0"/>
    <x v="83"/>
    <x v="458"/>
    <n v="550"/>
    <x v="0"/>
    <x v="3"/>
    <x v="21"/>
  </r>
  <r>
    <n v="11006"/>
    <x v="52"/>
    <n v="18"/>
    <n v="8"/>
    <n v="0"/>
    <x v="79"/>
    <x v="458"/>
    <n v="144"/>
    <x v="6"/>
    <x v="3"/>
    <x v="52"/>
  </r>
  <r>
    <n v="11006"/>
    <x v="39"/>
    <n v="123.79"/>
    <n v="2"/>
    <n v="0.25"/>
    <x v="79"/>
    <x v="458"/>
    <n v="185.685"/>
    <x v="7"/>
    <x v="3"/>
    <x v="39"/>
  </r>
  <r>
    <n v="11007"/>
    <x v="71"/>
    <n v="40"/>
    <n v="30"/>
    <n v="0"/>
    <x v="50"/>
    <x v="459"/>
    <n v="1200"/>
    <x v="4"/>
    <x v="3"/>
    <x v="71"/>
  </r>
  <r>
    <n v="11007"/>
    <x v="39"/>
    <n v="123.79"/>
    <n v="10"/>
    <n v="0"/>
    <x v="50"/>
    <x v="459"/>
    <n v="1237.9000000000001"/>
    <x v="7"/>
    <x v="3"/>
    <x v="39"/>
  </r>
  <r>
    <n v="11007"/>
    <x v="1"/>
    <n v="14"/>
    <n v="14"/>
    <n v="0"/>
    <x v="50"/>
    <x v="459"/>
    <n v="196"/>
    <x v="1"/>
    <x v="3"/>
    <x v="1"/>
  </r>
  <r>
    <n v="11008"/>
    <x v="44"/>
    <n v="45.6"/>
    <n v="70"/>
    <n v="5.000000074505806E-2"/>
    <x v="9"/>
    <x v="459"/>
    <n v="3032.3999976217747"/>
    <x v="2"/>
    <x v="3"/>
    <x v="44"/>
  </r>
  <r>
    <n v="11008"/>
    <x v="53"/>
    <n v="14"/>
    <n v="90"/>
    <n v="5.000000074505806E-2"/>
    <x v="9"/>
    <x v="459"/>
    <n v="1196.9999990612268"/>
    <x v="6"/>
    <x v="3"/>
    <x v="53"/>
  </r>
  <r>
    <n v="11008"/>
    <x v="42"/>
    <n v="21.5"/>
    <n v="21"/>
    <n v="0"/>
    <x v="9"/>
    <x v="459"/>
    <n v="451.5"/>
    <x v="0"/>
    <x v="3"/>
    <x v="42"/>
  </r>
  <r>
    <n v="11009"/>
    <x v="15"/>
    <n v="4.5"/>
    <n v="12"/>
    <n v="0"/>
    <x v="36"/>
    <x v="459"/>
    <n v="54"/>
    <x v="6"/>
    <x v="3"/>
    <x v="15"/>
  </r>
  <r>
    <n v="11009"/>
    <x v="20"/>
    <n v="19"/>
    <n v="18"/>
    <n v="0.25"/>
    <x v="36"/>
    <x v="459"/>
    <n v="256.5"/>
    <x v="3"/>
    <x v="3"/>
    <x v="20"/>
  </r>
  <r>
    <n v="11009"/>
    <x v="11"/>
    <n v="34"/>
    <n v="9"/>
    <n v="0"/>
    <x v="36"/>
    <x v="459"/>
    <n v="306"/>
    <x v="0"/>
    <x v="3"/>
    <x v="11"/>
  </r>
  <r>
    <n v="11010"/>
    <x v="32"/>
    <n v="30"/>
    <n v="20"/>
    <n v="0"/>
    <x v="30"/>
    <x v="460"/>
    <n v="600"/>
    <x v="2"/>
    <x v="3"/>
    <x v="32"/>
  </r>
  <r>
    <n v="11010"/>
    <x v="15"/>
    <n v="4.5"/>
    <n v="10"/>
    <n v="0"/>
    <x v="30"/>
    <x v="460"/>
    <n v="45"/>
    <x v="6"/>
    <x v="3"/>
    <x v="15"/>
  </r>
  <r>
    <n v="11011"/>
    <x v="64"/>
    <n v="13.25"/>
    <n v="40"/>
    <n v="5.000000074505806E-2"/>
    <x v="85"/>
    <x v="460"/>
    <n v="503.49999960511923"/>
    <x v="3"/>
    <x v="3"/>
    <x v="64"/>
  </r>
  <r>
    <n v="11011"/>
    <x v="42"/>
    <n v="21.5"/>
    <n v="20"/>
    <n v="0"/>
    <x v="85"/>
    <x v="460"/>
    <n v="430"/>
    <x v="0"/>
    <x v="3"/>
    <x v="42"/>
  </r>
  <r>
    <n v="11012"/>
    <x v="49"/>
    <n v="9.1999999999999993"/>
    <n v="50"/>
    <n v="5.000000074505806E-2"/>
    <x v="17"/>
    <x v="460"/>
    <n v="436.99999965727324"/>
    <x v="5"/>
    <x v="3"/>
    <x v="49"/>
  </r>
  <r>
    <n v="11012"/>
    <x v="11"/>
    <n v="34"/>
    <n v="36"/>
    <n v="5.000000074505806E-2"/>
    <x v="17"/>
    <x v="460"/>
    <n v="1162.7999990880489"/>
    <x v="0"/>
    <x v="3"/>
    <x v="11"/>
  </r>
  <r>
    <n v="11012"/>
    <x v="42"/>
    <n v="21.5"/>
    <n v="60"/>
    <n v="5.000000074505806E-2"/>
    <x v="17"/>
    <x v="460"/>
    <n v="1225.4999990388751"/>
    <x v="0"/>
    <x v="3"/>
    <x v="42"/>
  </r>
  <r>
    <n v="11013"/>
    <x v="70"/>
    <n v="9"/>
    <n v="10"/>
    <n v="0"/>
    <x v="27"/>
    <x v="460"/>
    <n v="90"/>
    <x v="1"/>
    <x v="3"/>
    <x v="70"/>
  </r>
  <r>
    <n v="11013"/>
    <x v="1"/>
    <n v="14"/>
    <n v="4"/>
    <n v="0"/>
    <x v="27"/>
    <x v="460"/>
    <n v="56"/>
    <x v="1"/>
    <x v="3"/>
    <x v="1"/>
  </r>
  <r>
    <n v="11013"/>
    <x v="73"/>
    <n v="9.5"/>
    <n v="20"/>
    <n v="0"/>
    <x v="27"/>
    <x v="460"/>
    <n v="190"/>
    <x v="3"/>
    <x v="3"/>
    <x v="73"/>
  </r>
  <r>
    <n v="11013"/>
    <x v="56"/>
    <n v="12.5"/>
    <n v="2"/>
    <n v="0"/>
    <x v="27"/>
    <x v="460"/>
    <n v="25"/>
    <x v="5"/>
    <x v="3"/>
    <x v="56"/>
  </r>
  <r>
    <n v="11014"/>
    <x v="5"/>
    <n v="9.65"/>
    <n v="28"/>
    <n v="0.10000000149011612"/>
    <x v="67"/>
    <x v="461"/>
    <n v="243.17999959737062"/>
    <x v="3"/>
    <x v="3"/>
    <x v="5"/>
  </r>
  <r>
    <n v="11015"/>
    <x v="34"/>
    <n v="25.89"/>
    <n v="15"/>
    <n v="0"/>
    <x v="65"/>
    <x v="461"/>
    <n v="388.35"/>
    <x v="3"/>
    <x v="3"/>
    <x v="34"/>
  </r>
  <r>
    <n v="11015"/>
    <x v="23"/>
    <n v="13"/>
    <n v="18"/>
    <n v="0"/>
    <x v="65"/>
    <x v="461"/>
    <n v="234"/>
    <x v="4"/>
    <x v="3"/>
    <x v="23"/>
  </r>
  <r>
    <n v="11016"/>
    <x v="12"/>
    <n v="12.5"/>
    <n v="15"/>
    <n v="0"/>
    <x v="55"/>
    <x v="461"/>
    <n v="187.5"/>
    <x v="0"/>
    <x v="3"/>
    <x v="12"/>
  </r>
  <r>
    <n v="11016"/>
    <x v="20"/>
    <n v="19"/>
    <n v="16"/>
    <n v="0"/>
    <x v="55"/>
    <x v="461"/>
    <n v="304"/>
    <x v="3"/>
    <x v="3"/>
    <x v="20"/>
  </r>
  <r>
    <n v="11017"/>
    <x v="57"/>
    <n v="10"/>
    <n v="25"/>
    <n v="0"/>
    <x v="9"/>
    <x v="462"/>
    <n v="250"/>
    <x v="4"/>
    <x v="3"/>
    <x v="57"/>
  </r>
  <r>
    <n v="11017"/>
    <x v="21"/>
    <n v="55"/>
    <n v="110"/>
    <n v="0"/>
    <x v="9"/>
    <x v="462"/>
    <n v="6050"/>
    <x v="0"/>
    <x v="3"/>
    <x v="21"/>
  </r>
  <r>
    <n v="11017"/>
    <x v="30"/>
    <n v="15"/>
    <n v="30"/>
    <n v="0"/>
    <x v="9"/>
    <x v="462"/>
    <n v="450"/>
    <x v="6"/>
    <x v="3"/>
    <x v="30"/>
  </r>
  <r>
    <n v="11018"/>
    <x v="36"/>
    <n v="38"/>
    <n v="20"/>
    <n v="0"/>
    <x v="38"/>
    <x v="462"/>
    <n v="760"/>
    <x v="0"/>
    <x v="3"/>
    <x v="36"/>
  </r>
  <r>
    <n v="11018"/>
    <x v="59"/>
    <n v="62.5"/>
    <n v="10"/>
    <n v="0"/>
    <x v="38"/>
    <x v="462"/>
    <n v="625"/>
    <x v="3"/>
    <x v="3"/>
    <x v="59"/>
  </r>
  <r>
    <n v="11018"/>
    <x v="33"/>
    <n v="38"/>
    <n v="5"/>
    <n v="0"/>
    <x v="38"/>
    <x v="462"/>
    <n v="190"/>
    <x v="1"/>
    <x v="3"/>
    <x v="33"/>
  </r>
  <r>
    <n v="11019"/>
    <x v="54"/>
    <n v="12"/>
    <n v="3"/>
    <n v="0"/>
    <x v="73"/>
    <x v="462"/>
    <n v="36"/>
    <x v="3"/>
    <x v="3"/>
    <x v="54"/>
  </r>
  <r>
    <n v="11019"/>
    <x v="14"/>
    <n v="20"/>
    <n v="2"/>
    <n v="0"/>
    <x v="73"/>
    <x v="462"/>
    <n v="40"/>
    <x v="5"/>
    <x v="3"/>
    <x v="14"/>
  </r>
  <r>
    <n v="11020"/>
    <x v="41"/>
    <n v="31"/>
    <n v="24"/>
    <n v="0.15000000596046448"/>
    <x v="11"/>
    <x v="463"/>
    <n v="632.39999556541443"/>
    <x v="3"/>
    <x v="3"/>
    <x v="41"/>
  </r>
  <r>
    <n v="11021"/>
    <x v="18"/>
    <n v="19"/>
    <n v="11"/>
    <n v="0.25"/>
    <x v="21"/>
    <x v="463"/>
    <n v="156.75"/>
    <x v="6"/>
    <x v="3"/>
    <x v="18"/>
  </r>
  <r>
    <n v="11021"/>
    <x v="9"/>
    <n v="81"/>
    <n v="15"/>
    <n v="0"/>
    <x v="21"/>
    <x v="463"/>
    <n v="1215"/>
    <x v="5"/>
    <x v="3"/>
    <x v="9"/>
  </r>
  <r>
    <n v="11021"/>
    <x v="68"/>
    <n v="31.23"/>
    <n v="63"/>
    <n v="0"/>
    <x v="21"/>
    <x v="463"/>
    <n v="1967.49"/>
    <x v="5"/>
    <x v="3"/>
    <x v="68"/>
  </r>
  <r>
    <n v="11021"/>
    <x v="4"/>
    <n v="53"/>
    <n v="44"/>
    <n v="0.25"/>
    <x v="21"/>
    <x v="463"/>
    <n v="1749"/>
    <x v="2"/>
    <x v="3"/>
    <x v="4"/>
  </r>
  <r>
    <n v="11021"/>
    <x v="2"/>
    <n v="34.799999999999997"/>
    <n v="35"/>
    <n v="0"/>
    <x v="21"/>
    <x v="463"/>
    <n v="1218"/>
    <x v="0"/>
    <x v="3"/>
    <x v="2"/>
  </r>
  <r>
    <n v="11022"/>
    <x v="49"/>
    <n v="9.1999999999999993"/>
    <n v="35"/>
    <n v="0"/>
    <x v="2"/>
    <x v="463"/>
    <n v="322"/>
    <x v="5"/>
    <x v="3"/>
    <x v="49"/>
  </r>
  <r>
    <n v="11022"/>
    <x v="60"/>
    <n v="36"/>
    <n v="30"/>
    <n v="0"/>
    <x v="2"/>
    <x v="463"/>
    <n v="1080"/>
    <x v="0"/>
    <x v="3"/>
    <x v="60"/>
  </r>
  <r>
    <n v="11023"/>
    <x v="32"/>
    <n v="30"/>
    <n v="4"/>
    <n v="0"/>
    <x v="31"/>
    <x v="463"/>
    <n v="120"/>
    <x v="2"/>
    <x v="3"/>
    <x v="32"/>
  </r>
  <r>
    <n v="11023"/>
    <x v="40"/>
    <n v="46"/>
    <n v="30"/>
    <n v="0"/>
    <x v="31"/>
    <x v="463"/>
    <n v="1380"/>
    <x v="6"/>
    <x v="3"/>
    <x v="40"/>
  </r>
  <r>
    <n v="11024"/>
    <x v="68"/>
    <n v="31.23"/>
    <n v="12"/>
    <n v="0"/>
    <x v="58"/>
    <x v="464"/>
    <n v="374.76"/>
    <x v="5"/>
    <x v="3"/>
    <x v="68"/>
  </r>
  <r>
    <n v="11024"/>
    <x v="10"/>
    <n v="2.5"/>
    <n v="30"/>
    <n v="0"/>
    <x v="58"/>
    <x v="464"/>
    <n v="75"/>
    <x v="0"/>
    <x v="3"/>
    <x v="10"/>
  </r>
  <r>
    <n v="11024"/>
    <x v="6"/>
    <n v="21.05"/>
    <n v="21"/>
    <n v="0"/>
    <x v="58"/>
    <x v="464"/>
    <n v="442.05"/>
    <x v="4"/>
    <x v="3"/>
    <x v="6"/>
  </r>
  <r>
    <n v="11024"/>
    <x v="42"/>
    <n v="21.5"/>
    <n v="50"/>
    <n v="0"/>
    <x v="58"/>
    <x v="464"/>
    <n v="1075"/>
    <x v="0"/>
    <x v="3"/>
    <x v="42"/>
  </r>
  <r>
    <n v="11025"/>
    <x v="52"/>
    <n v="18"/>
    <n v="10"/>
    <n v="0.10000000149011612"/>
    <x v="16"/>
    <x v="464"/>
    <n v="161.9999997317791"/>
    <x v="6"/>
    <x v="3"/>
    <x v="52"/>
  </r>
  <r>
    <n v="11025"/>
    <x v="43"/>
    <n v="6"/>
    <n v="20"/>
    <n v="0.10000000149011612"/>
    <x v="16"/>
    <x v="464"/>
    <n v="107.99999982118607"/>
    <x v="3"/>
    <x v="3"/>
    <x v="43"/>
  </r>
  <r>
    <n v="11026"/>
    <x v="59"/>
    <n v="62.5"/>
    <n v="8"/>
    <n v="0"/>
    <x v="70"/>
    <x v="464"/>
    <n v="500"/>
    <x v="3"/>
    <x v="3"/>
    <x v="59"/>
  </r>
  <r>
    <n v="11026"/>
    <x v="4"/>
    <n v="53"/>
    <n v="10"/>
    <n v="0"/>
    <x v="70"/>
    <x v="464"/>
    <n v="530"/>
    <x v="2"/>
    <x v="3"/>
    <x v="4"/>
  </r>
  <r>
    <n v="11027"/>
    <x v="15"/>
    <n v="4.5"/>
    <n v="30"/>
    <n v="0.25"/>
    <x v="66"/>
    <x v="465"/>
    <n v="101.25"/>
    <x v="6"/>
    <x v="3"/>
    <x v="15"/>
  </r>
  <r>
    <n v="11027"/>
    <x v="29"/>
    <n v="49.3"/>
    <n v="21"/>
    <n v="0.25"/>
    <x v="66"/>
    <x v="465"/>
    <n v="776.47499999999991"/>
    <x v="5"/>
    <x v="3"/>
    <x v="29"/>
  </r>
  <r>
    <n v="11028"/>
    <x v="16"/>
    <n v="24"/>
    <n v="35"/>
    <n v="0"/>
    <x v="44"/>
    <x v="465"/>
    <n v="840"/>
    <x v="7"/>
    <x v="3"/>
    <x v="16"/>
  </r>
  <r>
    <n v="11028"/>
    <x v="21"/>
    <n v="55"/>
    <n v="24"/>
    <n v="0"/>
    <x v="44"/>
    <x v="465"/>
    <n v="1320"/>
    <x v="0"/>
    <x v="3"/>
    <x v="21"/>
  </r>
  <r>
    <n v="11029"/>
    <x v="33"/>
    <n v="38"/>
    <n v="20"/>
    <n v="0"/>
    <x v="5"/>
    <x v="465"/>
    <n v="760"/>
    <x v="1"/>
    <x v="3"/>
    <x v="33"/>
  </r>
  <r>
    <n v="11029"/>
    <x v="46"/>
    <n v="43.9"/>
    <n v="12"/>
    <n v="0"/>
    <x v="5"/>
    <x v="465"/>
    <n v="526.79999999999995"/>
    <x v="4"/>
    <x v="3"/>
    <x v="46"/>
  </r>
  <r>
    <n v="11030"/>
    <x v="18"/>
    <n v="19"/>
    <n v="100"/>
    <n v="0.25"/>
    <x v="45"/>
    <x v="466"/>
    <n v="1425"/>
    <x v="6"/>
    <x v="3"/>
    <x v="18"/>
  </r>
  <r>
    <n v="11030"/>
    <x v="25"/>
    <n v="21.35"/>
    <n v="70"/>
    <n v="0"/>
    <x v="45"/>
    <x v="466"/>
    <n v="1494.5"/>
    <x v="4"/>
    <x v="3"/>
    <x v="25"/>
  </r>
  <r>
    <n v="11030"/>
    <x v="39"/>
    <n v="123.79"/>
    <n v="60"/>
    <n v="0.25"/>
    <x v="45"/>
    <x v="466"/>
    <n v="5570.55"/>
    <x v="7"/>
    <x v="3"/>
    <x v="39"/>
  </r>
  <r>
    <n v="11030"/>
    <x v="21"/>
    <n v="55"/>
    <n v="100"/>
    <n v="0.25"/>
    <x v="45"/>
    <x v="466"/>
    <n v="4125"/>
    <x v="0"/>
    <x v="3"/>
    <x v="21"/>
  </r>
  <r>
    <n v="11031"/>
    <x v="52"/>
    <n v="18"/>
    <n v="45"/>
    <n v="0"/>
    <x v="45"/>
    <x v="466"/>
    <n v="810"/>
    <x v="6"/>
    <x v="3"/>
    <x v="52"/>
  </r>
  <r>
    <n v="11031"/>
    <x v="43"/>
    <n v="6"/>
    <n v="80"/>
    <n v="0"/>
    <x v="45"/>
    <x v="466"/>
    <n v="480"/>
    <x v="3"/>
    <x v="3"/>
    <x v="43"/>
  </r>
  <r>
    <n v="11031"/>
    <x v="15"/>
    <n v="4.5"/>
    <n v="21"/>
    <n v="0"/>
    <x v="45"/>
    <x v="466"/>
    <n v="94.5"/>
    <x v="6"/>
    <x v="3"/>
    <x v="15"/>
  </r>
  <r>
    <n v="11031"/>
    <x v="58"/>
    <n v="33.25"/>
    <n v="20"/>
    <n v="0"/>
    <x v="45"/>
    <x v="466"/>
    <n v="665"/>
    <x v="1"/>
    <x v="3"/>
    <x v="58"/>
  </r>
  <r>
    <n v="11031"/>
    <x v="42"/>
    <n v="21.5"/>
    <n v="16"/>
    <n v="0"/>
    <x v="45"/>
    <x v="466"/>
    <n v="344"/>
    <x v="0"/>
    <x v="3"/>
    <x v="42"/>
  </r>
  <r>
    <n v="11032"/>
    <x v="20"/>
    <n v="19"/>
    <n v="35"/>
    <n v="0"/>
    <x v="19"/>
    <x v="466"/>
    <n v="665"/>
    <x v="3"/>
    <x v="3"/>
    <x v="20"/>
  </r>
  <r>
    <n v="11032"/>
    <x v="67"/>
    <n v="263.5"/>
    <n v="25"/>
    <n v="0"/>
    <x v="19"/>
    <x v="466"/>
    <n v="6587.5"/>
    <x v="6"/>
    <x v="3"/>
    <x v="67"/>
  </r>
  <r>
    <n v="11032"/>
    <x v="21"/>
    <n v="55"/>
    <n v="30"/>
    <n v="0"/>
    <x v="19"/>
    <x v="466"/>
    <n v="1650"/>
    <x v="0"/>
    <x v="3"/>
    <x v="21"/>
  </r>
  <r>
    <n v="11033"/>
    <x v="22"/>
    <n v="32.799999999999997"/>
    <n v="70"/>
    <n v="0.10000000149011612"/>
    <x v="6"/>
    <x v="466"/>
    <n v="2066.3999965786934"/>
    <x v="7"/>
    <x v="3"/>
    <x v="22"/>
  </r>
  <r>
    <n v="11033"/>
    <x v="60"/>
    <n v="36"/>
    <n v="36"/>
    <n v="0.10000000149011612"/>
    <x v="6"/>
    <x v="466"/>
    <n v="1166.3999980688095"/>
    <x v="0"/>
    <x v="3"/>
    <x v="60"/>
  </r>
  <r>
    <n v="11034"/>
    <x v="27"/>
    <n v="10"/>
    <n v="15"/>
    <n v="0.10000000149011612"/>
    <x v="37"/>
    <x v="467"/>
    <n v="134.99999977648258"/>
    <x v="5"/>
    <x v="3"/>
    <x v="27"/>
  </r>
  <r>
    <n v="11034"/>
    <x v="45"/>
    <n v="19.45"/>
    <n v="12"/>
    <n v="0"/>
    <x v="37"/>
    <x v="467"/>
    <n v="233.39999999999998"/>
    <x v="4"/>
    <x v="3"/>
    <x v="45"/>
  </r>
  <r>
    <n v="11034"/>
    <x v="75"/>
    <n v="28.5"/>
    <n v="6"/>
    <n v="0"/>
    <x v="37"/>
    <x v="467"/>
    <n v="171"/>
    <x v="4"/>
    <x v="3"/>
    <x v="75"/>
  </r>
  <r>
    <n v="11035"/>
    <x v="52"/>
    <n v="18"/>
    <n v="10"/>
    <n v="0"/>
    <x v="4"/>
    <x v="467"/>
    <n v="180"/>
    <x v="6"/>
    <x v="3"/>
    <x v="52"/>
  </r>
  <r>
    <n v="11035"/>
    <x v="31"/>
    <n v="18"/>
    <n v="60"/>
    <n v="0"/>
    <x v="4"/>
    <x v="467"/>
    <n v="1080"/>
    <x v="6"/>
    <x v="3"/>
    <x v="31"/>
  </r>
  <r>
    <n v="11035"/>
    <x v="1"/>
    <n v="14"/>
    <n v="30"/>
    <n v="0"/>
    <x v="4"/>
    <x v="467"/>
    <n v="420"/>
    <x v="1"/>
    <x v="3"/>
    <x v="1"/>
  </r>
  <r>
    <n v="11035"/>
    <x v="55"/>
    <n v="7.45"/>
    <n v="10"/>
    <n v="0"/>
    <x v="4"/>
    <x v="467"/>
    <n v="74.5"/>
    <x v="7"/>
    <x v="3"/>
    <x v="55"/>
  </r>
  <r>
    <n v="11036"/>
    <x v="43"/>
    <n v="6"/>
    <n v="7"/>
    <n v="0"/>
    <x v="57"/>
    <x v="467"/>
    <n v="42"/>
    <x v="3"/>
    <x v="3"/>
    <x v="43"/>
  </r>
  <r>
    <n v="11036"/>
    <x v="21"/>
    <n v="55"/>
    <n v="30"/>
    <n v="0"/>
    <x v="57"/>
    <x v="467"/>
    <n v="1650"/>
    <x v="0"/>
    <x v="3"/>
    <x v="21"/>
  </r>
  <r>
    <n v="11037"/>
    <x v="30"/>
    <n v="15"/>
    <n v="4"/>
    <n v="0"/>
    <x v="36"/>
    <x v="468"/>
    <n v="60"/>
    <x v="6"/>
    <x v="3"/>
    <x v="30"/>
  </r>
  <r>
    <n v="11038"/>
    <x v="37"/>
    <n v="18.399999999999999"/>
    <n v="5"/>
    <n v="0.20000000298023224"/>
    <x v="4"/>
    <x v="468"/>
    <n v="73.599999725818634"/>
    <x v="3"/>
    <x v="3"/>
    <x v="37"/>
  </r>
  <r>
    <n v="11038"/>
    <x v="65"/>
    <n v="7"/>
    <n v="2"/>
    <n v="0"/>
    <x v="4"/>
    <x v="468"/>
    <n v="14"/>
    <x v="1"/>
    <x v="3"/>
    <x v="65"/>
  </r>
  <r>
    <n v="11038"/>
    <x v="42"/>
    <n v="21.5"/>
    <n v="30"/>
    <n v="0"/>
    <x v="4"/>
    <x v="468"/>
    <n v="645"/>
    <x v="0"/>
    <x v="3"/>
    <x v="42"/>
  </r>
  <r>
    <n v="11039"/>
    <x v="44"/>
    <n v="45.6"/>
    <n v="20"/>
    <n v="0"/>
    <x v="67"/>
    <x v="468"/>
    <n v="912"/>
    <x v="2"/>
    <x v="3"/>
    <x v="44"/>
  </r>
  <r>
    <n v="11039"/>
    <x v="31"/>
    <n v="18"/>
    <n v="24"/>
    <n v="0"/>
    <x v="67"/>
    <x v="468"/>
    <n v="432"/>
    <x v="6"/>
    <x v="3"/>
    <x v="31"/>
  </r>
  <r>
    <n v="11039"/>
    <x v="14"/>
    <n v="20"/>
    <n v="60"/>
    <n v="0"/>
    <x v="67"/>
    <x v="468"/>
    <n v="1200"/>
    <x v="5"/>
    <x v="3"/>
    <x v="14"/>
  </r>
  <r>
    <n v="11039"/>
    <x v="8"/>
    <n v="19.5"/>
    <n v="28"/>
    <n v="0"/>
    <x v="67"/>
    <x v="468"/>
    <n v="546"/>
    <x v="1"/>
    <x v="3"/>
    <x v="8"/>
  </r>
  <r>
    <n v="11040"/>
    <x v="27"/>
    <n v="10"/>
    <n v="20"/>
    <n v="0"/>
    <x v="79"/>
    <x v="469"/>
    <n v="200"/>
    <x v="5"/>
    <x v="3"/>
    <x v="27"/>
  </r>
  <r>
    <n v="11041"/>
    <x v="18"/>
    <n v="19"/>
    <n v="30"/>
    <n v="0.20000000298023224"/>
    <x v="5"/>
    <x v="469"/>
    <n v="455.99999830126762"/>
    <x v="6"/>
    <x v="3"/>
    <x v="18"/>
  </r>
  <r>
    <n v="11041"/>
    <x v="46"/>
    <n v="43.9"/>
    <n v="30"/>
    <n v="0"/>
    <x v="5"/>
    <x v="469"/>
    <n v="1317"/>
    <x v="4"/>
    <x v="3"/>
    <x v="46"/>
  </r>
  <r>
    <n v="11042"/>
    <x v="45"/>
    <n v="19.45"/>
    <n v="15"/>
    <n v="0"/>
    <x v="32"/>
    <x v="469"/>
    <n v="291.75"/>
    <x v="4"/>
    <x v="3"/>
    <x v="45"/>
  </r>
  <r>
    <n v="11042"/>
    <x v="75"/>
    <n v="28.5"/>
    <n v="4"/>
    <n v="0"/>
    <x v="32"/>
    <x v="469"/>
    <n v="114"/>
    <x v="4"/>
    <x v="3"/>
    <x v="75"/>
  </r>
  <r>
    <n v="11043"/>
    <x v="0"/>
    <n v="21"/>
    <n v="10"/>
    <n v="0"/>
    <x v="87"/>
    <x v="469"/>
    <n v="210"/>
    <x v="0"/>
    <x v="3"/>
    <x v="0"/>
  </r>
  <r>
    <n v="11044"/>
    <x v="29"/>
    <n v="49.3"/>
    <n v="12"/>
    <n v="0"/>
    <x v="63"/>
    <x v="470"/>
    <n v="591.59999999999991"/>
    <x v="5"/>
    <x v="3"/>
    <x v="29"/>
  </r>
  <r>
    <n v="11045"/>
    <x v="10"/>
    <n v="2.5"/>
    <n v="15"/>
    <n v="0"/>
    <x v="66"/>
    <x v="470"/>
    <n v="37.5"/>
    <x v="0"/>
    <x v="3"/>
    <x v="10"/>
  </r>
  <r>
    <n v="11045"/>
    <x v="4"/>
    <n v="53"/>
    <n v="24"/>
    <n v="0"/>
    <x v="66"/>
    <x v="470"/>
    <n v="1272"/>
    <x v="2"/>
    <x v="3"/>
    <x v="4"/>
  </r>
  <r>
    <n v="11046"/>
    <x v="36"/>
    <n v="38"/>
    <n v="20"/>
    <n v="5.000000074505806E-2"/>
    <x v="35"/>
    <x v="470"/>
    <n v="721.99999943375587"/>
    <x v="0"/>
    <x v="3"/>
    <x v="36"/>
  </r>
  <r>
    <n v="11046"/>
    <x v="26"/>
    <n v="32"/>
    <n v="15"/>
    <n v="5.000000074505806E-2"/>
    <x v="35"/>
    <x v="470"/>
    <n v="455.99999964237213"/>
    <x v="0"/>
    <x v="3"/>
    <x v="26"/>
  </r>
  <r>
    <n v="11046"/>
    <x v="31"/>
    <n v="18"/>
    <n v="18"/>
    <n v="5.000000074505806E-2"/>
    <x v="35"/>
    <x v="470"/>
    <n v="307.79999975860119"/>
    <x v="6"/>
    <x v="3"/>
    <x v="31"/>
  </r>
  <r>
    <n v="11047"/>
    <x v="52"/>
    <n v="18"/>
    <n v="25"/>
    <n v="0.25"/>
    <x v="58"/>
    <x v="471"/>
    <n v="337.5"/>
    <x v="6"/>
    <x v="3"/>
    <x v="52"/>
  </r>
  <r>
    <n v="11047"/>
    <x v="25"/>
    <n v="21.35"/>
    <n v="30"/>
    <n v="0.25"/>
    <x v="58"/>
    <x v="471"/>
    <n v="480.375"/>
    <x v="4"/>
    <x v="3"/>
    <x v="25"/>
  </r>
  <r>
    <n v="11048"/>
    <x v="56"/>
    <n v="12.5"/>
    <n v="42"/>
    <n v="0"/>
    <x v="66"/>
    <x v="471"/>
    <n v="525"/>
    <x v="5"/>
    <x v="3"/>
    <x v="56"/>
  </r>
  <r>
    <n v="11049"/>
    <x v="18"/>
    <n v="19"/>
    <n v="10"/>
    <n v="0.20000000298023224"/>
    <x v="71"/>
    <x v="471"/>
    <n v="151.99999943375587"/>
    <x v="6"/>
    <x v="3"/>
    <x v="18"/>
  </r>
  <r>
    <n v="11049"/>
    <x v="36"/>
    <n v="38"/>
    <n v="4"/>
    <n v="0.20000000298023224"/>
    <x v="71"/>
    <x v="471"/>
    <n v="121.5999995470047"/>
    <x v="0"/>
    <x v="3"/>
    <x v="36"/>
  </r>
  <r>
    <n v="11050"/>
    <x v="38"/>
    <n v="18"/>
    <n v="50"/>
    <n v="0.10000000149011612"/>
    <x v="14"/>
    <x v="472"/>
    <n v="809.99999865889549"/>
    <x v="6"/>
    <x v="3"/>
    <x v="38"/>
  </r>
  <r>
    <n v="11051"/>
    <x v="15"/>
    <n v="4.5"/>
    <n v="10"/>
    <n v="0.20000000298023224"/>
    <x v="53"/>
    <x v="472"/>
    <n v="35.999999865889549"/>
    <x v="6"/>
    <x v="3"/>
    <x v="15"/>
  </r>
  <r>
    <n v="11052"/>
    <x v="40"/>
    <n v="46"/>
    <n v="30"/>
    <n v="0.20000000298023224"/>
    <x v="2"/>
    <x v="472"/>
    <n v="1103.9999958872795"/>
    <x v="6"/>
    <x v="3"/>
    <x v="40"/>
  </r>
  <r>
    <n v="11052"/>
    <x v="75"/>
    <n v="28.5"/>
    <n v="10"/>
    <n v="0.20000000298023224"/>
    <x v="2"/>
    <x v="472"/>
    <n v="227.99999915063381"/>
    <x v="4"/>
    <x v="3"/>
    <x v="75"/>
  </r>
  <r>
    <n v="11053"/>
    <x v="59"/>
    <n v="62.5"/>
    <n v="35"/>
    <n v="0.20000000298023224"/>
    <x v="54"/>
    <x v="472"/>
    <n v="1749.999993480742"/>
    <x v="3"/>
    <x v="3"/>
    <x v="59"/>
  </r>
  <r>
    <n v="11053"/>
    <x v="26"/>
    <n v="32"/>
    <n v="20"/>
    <n v="0"/>
    <x v="54"/>
    <x v="472"/>
    <n v="640"/>
    <x v="0"/>
    <x v="3"/>
    <x v="26"/>
  </r>
  <r>
    <n v="11053"/>
    <x v="58"/>
    <n v="33.25"/>
    <n v="25"/>
    <n v="0.20000000298023224"/>
    <x v="54"/>
    <x v="472"/>
    <n v="664.99999752268195"/>
    <x v="1"/>
    <x v="3"/>
    <x v="58"/>
  </r>
  <r>
    <n v="11054"/>
    <x v="10"/>
    <n v="2.5"/>
    <n v="10"/>
    <n v="0"/>
    <x v="78"/>
    <x v="473"/>
    <n v="25"/>
    <x v="0"/>
    <x v="3"/>
    <x v="10"/>
  </r>
  <r>
    <n v="11054"/>
    <x v="51"/>
    <n v="14"/>
    <n v="20"/>
    <n v="0"/>
    <x v="78"/>
    <x v="473"/>
    <n v="280"/>
    <x v="6"/>
    <x v="3"/>
    <x v="51"/>
  </r>
  <r>
    <n v="11055"/>
    <x v="15"/>
    <n v="4.5"/>
    <n v="15"/>
    <n v="0"/>
    <x v="8"/>
    <x v="473"/>
    <n v="67.5"/>
    <x v="6"/>
    <x v="3"/>
    <x v="15"/>
  </r>
  <r>
    <n v="11055"/>
    <x v="66"/>
    <n v="14"/>
    <n v="15"/>
    <n v="0"/>
    <x v="8"/>
    <x v="473"/>
    <n v="210"/>
    <x v="5"/>
    <x v="3"/>
    <x v="66"/>
  </r>
  <r>
    <n v="11055"/>
    <x v="4"/>
    <n v="53"/>
    <n v="20"/>
    <n v="0"/>
    <x v="8"/>
    <x v="473"/>
    <n v="1060"/>
    <x v="2"/>
    <x v="3"/>
    <x v="4"/>
  </r>
  <r>
    <n v="11055"/>
    <x v="8"/>
    <n v="19.5"/>
    <n v="20"/>
    <n v="0"/>
    <x v="8"/>
    <x v="473"/>
    <n v="390"/>
    <x v="1"/>
    <x v="3"/>
    <x v="8"/>
  </r>
  <r>
    <n v="11056"/>
    <x v="32"/>
    <n v="30"/>
    <n v="40"/>
    <n v="0"/>
    <x v="58"/>
    <x v="473"/>
    <n v="1200"/>
    <x v="2"/>
    <x v="3"/>
    <x v="32"/>
  </r>
  <r>
    <n v="11056"/>
    <x v="16"/>
    <n v="24"/>
    <n v="35"/>
    <n v="0"/>
    <x v="58"/>
    <x v="473"/>
    <n v="840"/>
    <x v="7"/>
    <x v="3"/>
    <x v="16"/>
  </r>
  <r>
    <n v="11056"/>
    <x v="11"/>
    <n v="34"/>
    <n v="50"/>
    <n v="0"/>
    <x v="58"/>
    <x v="473"/>
    <n v="1700"/>
    <x v="0"/>
    <x v="3"/>
    <x v="11"/>
  </r>
  <r>
    <n v="11057"/>
    <x v="30"/>
    <n v="15"/>
    <n v="3"/>
    <n v="0"/>
    <x v="77"/>
    <x v="474"/>
    <n v="45"/>
    <x v="6"/>
    <x v="3"/>
    <x v="30"/>
  </r>
  <r>
    <n v="11058"/>
    <x v="27"/>
    <n v="10"/>
    <n v="3"/>
    <n v="0"/>
    <x v="76"/>
    <x v="474"/>
    <n v="30"/>
    <x v="5"/>
    <x v="3"/>
    <x v="27"/>
  </r>
  <r>
    <n v="11058"/>
    <x v="11"/>
    <n v="34"/>
    <n v="21"/>
    <n v="0"/>
    <x v="76"/>
    <x v="474"/>
    <n v="714"/>
    <x v="0"/>
    <x v="3"/>
    <x v="11"/>
  </r>
  <r>
    <n v="11058"/>
    <x v="75"/>
    <n v="28.5"/>
    <n v="4"/>
    <n v="0"/>
    <x v="76"/>
    <x v="474"/>
    <n v="114"/>
    <x v="4"/>
    <x v="3"/>
    <x v="75"/>
  </r>
  <r>
    <n v="11059"/>
    <x v="43"/>
    <n v="6"/>
    <n v="30"/>
    <n v="0"/>
    <x v="29"/>
    <x v="474"/>
    <n v="180"/>
    <x v="3"/>
    <x v="3"/>
    <x v="43"/>
  </r>
  <r>
    <n v="11059"/>
    <x v="35"/>
    <n v="39"/>
    <n v="12"/>
    <n v="0"/>
    <x v="29"/>
    <x v="474"/>
    <n v="468"/>
    <x v="7"/>
    <x v="3"/>
    <x v="35"/>
  </r>
  <r>
    <n v="11059"/>
    <x v="11"/>
    <n v="34"/>
    <n v="35"/>
    <n v="0"/>
    <x v="29"/>
    <x v="474"/>
    <n v="1190"/>
    <x v="0"/>
    <x v="3"/>
    <x v="11"/>
  </r>
  <r>
    <n v="11060"/>
    <x v="11"/>
    <n v="34"/>
    <n v="4"/>
    <n v="0"/>
    <x v="70"/>
    <x v="475"/>
    <n v="136"/>
    <x v="0"/>
    <x v="3"/>
    <x v="11"/>
  </r>
  <r>
    <n v="11060"/>
    <x v="23"/>
    <n v="13"/>
    <n v="10"/>
    <n v="0"/>
    <x v="70"/>
    <x v="475"/>
    <n v="130"/>
    <x v="4"/>
    <x v="3"/>
    <x v="23"/>
  </r>
  <r>
    <n v="11061"/>
    <x v="11"/>
    <n v="34"/>
    <n v="15"/>
    <n v="0"/>
    <x v="79"/>
    <x v="475"/>
    <n v="510"/>
    <x v="0"/>
    <x v="3"/>
    <x v="11"/>
  </r>
  <r>
    <n v="11062"/>
    <x v="22"/>
    <n v="32.799999999999997"/>
    <n v="10"/>
    <n v="0.20000000298023224"/>
    <x v="30"/>
    <x v="475"/>
    <n v="262.39999902248383"/>
    <x v="7"/>
    <x v="3"/>
    <x v="22"/>
  </r>
  <r>
    <n v="11062"/>
    <x v="30"/>
    <n v="15"/>
    <n v="12"/>
    <n v="0.20000000298023224"/>
    <x v="30"/>
    <x v="475"/>
    <n v="143.9999994635582"/>
    <x v="6"/>
    <x v="3"/>
    <x v="30"/>
  </r>
  <r>
    <n v="11063"/>
    <x v="53"/>
    <n v="14"/>
    <n v="30"/>
    <n v="0"/>
    <x v="34"/>
    <x v="475"/>
    <n v="420"/>
    <x v="6"/>
    <x v="3"/>
    <x v="53"/>
  </r>
  <r>
    <n v="11063"/>
    <x v="37"/>
    <n v="18.399999999999999"/>
    <n v="40"/>
    <n v="0.10000000149011612"/>
    <x v="34"/>
    <x v="475"/>
    <n v="662.39999890327454"/>
    <x v="3"/>
    <x v="3"/>
    <x v="37"/>
  </r>
  <r>
    <n v="11063"/>
    <x v="5"/>
    <n v="9.65"/>
    <n v="30"/>
    <n v="0.10000000149011612"/>
    <x v="34"/>
    <x v="475"/>
    <n v="260.54999956861138"/>
    <x v="3"/>
    <x v="3"/>
    <x v="5"/>
  </r>
  <r>
    <n v="11064"/>
    <x v="35"/>
    <n v="39"/>
    <n v="77"/>
    <n v="0.10000000149011612"/>
    <x v="45"/>
    <x v="476"/>
    <n v="2702.6999955251813"/>
    <x v="7"/>
    <x v="3"/>
    <x v="35"/>
  </r>
  <r>
    <n v="11064"/>
    <x v="5"/>
    <n v="9.65"/>
    <n v="12"/>
    <n v="0"/>
    <x v="45"/>
    <x v="476"/>
    <n v="115.80000000000001"/>
    <x v="3"/>
    <x v="3"/>
    <x v="5"/>
  </r>
  <r>
    <n v="11064"/>
    <x v="22"/>
    <n v="32.799999999999997"/>
    <n v="25"/>
    <n v="0.10000000149011612"/>
    <x v="45"/>
    <x v="476"/>
    <n v="737.99999877810467"/>
    <x v="7"/>
    <x v="3"/>
    <x v="22"/>
  </r>
  <r>
    <n v="11064"/>
    <x v="16"/>
    <n v="24"/>
    <n v="4"/>
    <n v="0.10000000149011612"/>
    <x v="45"/>
    <x v="476"/>
    <n v="86.399999856948853"/>
    <x v="7"/>
    <x v="3"/>
    <x v="16"/>
  </r>
  <r>
    <n v="11064"/>
    <x v="56"/>
    <n v="12.5"/>
    <n v="55"/>
    <n v="0"/>
    <x v="45"/>
    <x v="476"/>
    <n v="687.5"/>
    <x v="5"/>
    <x v="3"/>
    <x v="56"/>
  </r>
  <r>
    <n v="11065"/>
    <x v="34"/>
    <n v="25.89"/>
    <n v="4"/>
    <n v="0.25"/>
    <x v="28"/>
    <x v="476"/>
    <n v="77.67"/>
    <x v="3"/>
    <x v="3"/>
    <x v="34"/>
  </r>
  <r>
    <n v="11065"/>
    <x v="55"/>
    <n v="7.45"/>
    <n v="20"/>
    <n v="0.25"/>
    <x v="28"/>
    <x v="476"/>
    <n v="111.75"/>
    <x v="7"/>
    <x v="3"/>
    <x v="55"/>
  </r>
  <r>
    <n v="11066"/>
    <x v="19"/>
    <n v="17.45"/>
    <n v="3"/>
    <n v="0"/>
    <x v="19"/>
    <x v="476"/>
    <n v="52.349999999999994"/>
    <x v="5"/>
    <x v="3"/>
    <x v="19"/>
  </r>
  <r>
    <n v="11066"/>
    <x v="49"/>
    <n v="9.1999999999999993"/>
    <n v="42"/>
    <n v="0"/>
    <x v="19"/>
    <x v="476"/>
    <n v="386.4"/>
    <x v="5"/>
    <x v="3"/>
    <x v="49"/>
  </r>
  <r>
    <n v="11066"/>
    <x v="53"/>
    <n v="14"/>
    <n v="35"/>
    <n v="0"/>
    <x v="19"/>
    <x v="476"/>
    <n v="490"/>
    <x v="6"/>
    <x v="3"/>
    <x v="53"/>
  </r>
  <r>
    <n v="11067"/>
    <x v="5"/>
    <n v="9.65"/>
    <n v="9"/>
    <n v="0"/>
    <x v="57"/>
    <x v="477"/>
    <n v="86.850000000000009"/>
    <x v="3"/>
    <x v="3"/>
    <x v="5"/>
  </r>
  <r>
    <n v="11068"/>
    <x v="44"/>
    <n v="45.6"/>
    <n v="8"/>
    <n v="0.15000000596046448"/>
    <x v="62"/>
    <x v="477"/>
    <n v="310.07999782562257"/>
    <x v="2"/>
    <x v="3"/>
    <x v="44"/>
  </r>
  <r>
    <n v="11068"/>
    <x v="40"/>
    <n v="46"/>
    <n v="36"/>
    <n v="0.15000000596046448"/>
    <x v="62"/>
    <x v="477"/>
    <n v="1407.5999901294708"/>
    <x v="6"/>
    <x v="3"/>
    <x v="40"/>
  </r>
  <r>
    <n v="11068"/>
    <x v="23"/>
    <n v="13"/>
    <n v="28"/>
    <n v="0.15000000596046448"/>
    <x v="62"/>
    <x v="477"/>
    <n v="309.39999783039093"/>
    <x v="4"/>
    <x v="3"/>
    <x v="23"/>
  </r>
  <r>
    <n v="11069"/>
    <x v="13"/>
    <n v="18"/>
    <n v="20"/>
    <n v="0"/>
    <x v="23"/>
    <x v="477"/>
    <n v="360"/>
    <x v="6"/>
    <x v="3"/>
    <x v="13"/>
  </r>
  <r>
    <n v="11070"/>
    <x v="52"/>
    <n v="18"/>
    <n v="40"/>
    <n v="0.15000000596046448"/>
    <x v="26"/>
    <x v="478"/>
    <n v="611.99999570846558"/>
    <x v="6"/>
    <x v="3"/>
    <x v="52"/>
  </r>
  <r>
    <n v="11070"/>
    <x v="18"/>
    <n v="19"/>
    <n v="20"/>
    <n v="0.15000000596046448"/>
    <x v="26"/>
    <x v="478"/>
    <n v="322.9999977350235"/>
    <x v="6"/>
    <x v="3"/>
    <x v="18"/>
  </r>
  <r>
    <n v="11070"/>
    <x v="19"/>
    <n v="17.45"/>
    <n v="30"/>
    <n v="0.15000000596046448"/>
    <x v="26"/>
    <x v="478"/>
    <n v="444.97499687969685"/>
    <x v="5"/>
    <x v="3"/>
    <x v="19"/>
  </r>
  <r>
    <n v="11070"/>
    <x v="12"/>
    <n v="12.5"/>
    <n v="20"/>
    <n v="0"/>
    <x v="26"/>
    <x v="478"/>
    <n v="250"/>
    <x v="0"/>
    <x v="3"/>
    <x v="12"/>
  </r>
  <r>
    <n v="11071"/>
    <x v="32"/>
    <n v="30"/>
    <n v="15"/>
    <n v="5.000000074505806E-2"/>
    <x v="28"/>
    <x v="478"/>
    <n v="427.49999966472387"/>
    <x v="2"/>
    <x v="3"/>
    <x v="32"/>
  </r>
  <r>
    <n v="11071"/>
    <x v="43"/>
    <n v="6"/>
    <n v="10"/>
    <n v="5.000000074505806E-2"/>
    <x v="28"/>
    <x v="478"/>
    <n v="56.999999955296516"/>
    <x v="3"/>
    <x v="3"/>
    <x v="43"/>
  </r>
  <r>
    <n v="11072"/>
    <x v="18"/>
    <n v="19"/>
    <n v="8"/>
    <n v="0"/>
    <x v="9"/>
    <x v="478"/>
    <n v="152"/>
    <x v="6"/>
    <x v="3"/>
    <x v="18"/>
  </r>
  <r>
    <n v="11072"/>
    <x v="5"/>
    <n v="9.65"/>
    <n v="40"/>
    <n v="0"/>
    <x v="9"/>
    <x v="478"/>
    <n v="386"/>
    <x v="3"/>
    <x v="3"/>
    <x v="5"/>
  </r>
  <r>
    <n v="11072"/>
    <x v="72"/>
    <n v="16.25"/>
    <n v="22"/>
    <n v="0"/>
    <x v="9"/>
    <x v="478"/>
    <n v="357.5"/>
    <x v="5"/>
    <x v="3"/>
    <x v="72"/>
  </r>
  <r>
    <n v="11072"/>
    <x v="58"/>
    <n v="33.25"/>
    <n v="130"/>
    <n v="0"/>
    <x v="9"/>
    <x v="478"/>
    <n v="4322.5"/>
    <x v="1"/>
    <x v="3"/>
    <x v="58"/>
  </r>
  <r>
    <n v="11073"/>
    <x v="0"/>
    <n v="21"/>
    <n v="10"/>
    <n v="0"/>
    <x v="43"/>
    <x v="478"/>
    <n v="210"/>
    <x v="0"/>
    <x v="3"/>
    <x v="0"/>
  </r>
  <r>
    <n v="11073"/>
    <x v="15"/>
    <n v="4.5"/>
    <n v="20"/>
    <n v="0"/>
    <x v="43"/>
    <x v="478"/>
    <n v="90"/>
    <x v="6"/>
    <x v="3"/>
    <x v="15"/>
  </r>
  <r>
    <n v="11074"/>
    <x v="19"/>
    <n v="17.45"/>
    <n v="14"/>
    <n v="5.000000074505806E-2"/>
    <x v="51"/>
    <x v="479"/>
    <n v="232.08499981798229"/>
    <x v="5"/>
    <x v="3"/>
    <x v="19"/>
  </r>
  <r>
    <n v="11075"/>
    <x v="18"/>
    <n v="19"/>
    <n v="10"/>
    <n v="0.15000000596046448"/>
    <x v="6"/>
    <x v="479"/>
    <n v="161.49999886751175"/>
    <x v="6"/>
    <x v="3"/>
    <x v="18"/>
  </r>
  <r>
    <n v="11075"/>
    <x v="54"/>
    <n v="12"/>
    <n v="30"/>
    <n v="0.15000000596046448"/>
    <x v="6"/>
    <x v="479"/>
    <n v="305.99999785423279"/>
    <x v="3"/>
    <x v="3"/>
    <x v="54"/>
  </r>
  <r>
    <n v="11075"/>
    <x v="38"/>
    <n v="18"/>
    <n v="2"/>
    <n v="0.15000000596046448"/>
    <x v="6"/>
    <x v="479"/>
    <n v="30.599999785423279"/>
    <x v="6"/>
    <x v="3"/>
    <x v="38"/>
  </r>
  <r>
    <n v="11076"/>
    <x v="63"/>
    <n v="25"/>
    <n v="20"/>
    <n v="0.25"/>
    <x v="48"/>
    <x v="479"/>
    <n v="375"/>
    <x v="4"/>
    <x v="3"/>
    <x v="63"/>
  </r>
  <r>
    <n v="11076"/>
    <x v="3"/>
    <n v="23.25"/>
    <n v="20"/>
    <n v="0.25"/>
    <x v="48"/>
    <x v="479"/>
    <n v="348.75"/>
    <x v="2"/>
    <x v="3"/>
    <x v="3"/>
  </r>
  <r>
    <n v="11076"/>
    <x v="49"/>
    <n v="9.1999999999999993"/>
    <n v="10"/>
    <n v="0.25"/>
    <x v="48"/>
    <x v="479"/>
    <n v="69"/>
    <x v="5"/>
    <x v="3"/>
    <x v="49"/>
  </r>
  <r>
    <n v="11077"/>
    <x v="18"/>
    <n v="19"/>
    <n v="24"/>
    <n v="0.20000000298023224"/>
    <x v="13"/>
    <x v="479"/>
    <n v="364.7999986410141"/>
    <x v="6"/>
    <x v="3"/>
    <x v="18"/>
  </r>
  <r>
    <n v="11077"/>
    <x v="57"/>
    <n v="10"/>
    <n v="4"/>
    <n v="0"/>
    <x v="13"/>
    <x v="479"/>
    <n v="40"/>
    <x v="4"/>
    <x v="3"/>
    <x v="57"/>
  </r>
  <r>
    <n v="11077"/>
    <x v="62"/>
    <n v="22"/>
    <n v="1"/>
    <n v="0"/>
    <x v="13"/>
    <x v="479"/>
    <n v="22"/>
    <x v="4"/>
    <x v="3"/>
    <x v="62"/>
  </r>
  <r>
    <n v="11077"/>
    <x v="63"/>
    <n v="25"/>
    <n v="1"/>
    <n v="1.9999999552965164E-2"/>
    <x v="13"/>
    <x v="479"/>
    <n v="24.500000011175871"/>
    <x v="4"/>
    <x v="3"/>
    <x v="63"/>
  </r>
  <r>
    <n v="11077"/>
    <x v="32"/>
    <n v="30"/>
    <n v="1"/>
    <n v="5.000000074505806E-2"/>
    <x v="13"/>
    <x v="479"/>
    <n v="28.499999977648258"/>
    <x v="2"/>
    <x v="3"/>
    <x v="32"/>
  </r>
  <r>
    <n v="11077"/>
    <x v="71"/>
    <n v="40"/>
    <n v="2"/>
    <n v="0.10000000149011612"/>
    <x v="13"/>
    <x v="479"/>
    <n v="71.99999988079071"/>
    <x v="4"/>
    <x v="3"/>
    <x v="71"/>
  </r>
  <r>
    <n v="11077"/>
    <x v="41"/>
    <n v="31"/>
    <n v="1"/>
    <n v="0"/>
    <x v="13"/>
    <x v="479"/>
    <n v="31"/>
    <x v="3"/>
    <x v="3"/>
    <x v="41"/>
  </r>
  <r>
    <n v="11077"/>
    <x v="36"/>
    <n v="38"/>
    <n v="2"/>
    <n v="5.000000074505806E-2"/>
    <x v="13"/>
    <x v="479"/>
    <n v="72.199999943375587"/>
    <x v="0"/>
    <x v="3"/>
    <x v="36"/>
  </r>
  <r>
    <n v="11077"/>
    <x v="43"/>
    <n v="6"/>
    <n v="4"/>
    <n v="0"/>
    <x v="13"/>
    <x v="479"/>
    <n v="24"/>
    <x v="3"/>
    <x v="3"/>
    <x v="43"/>
  </r>
  <r>
    <n v="11077"/>
    <x v="3"/>
    <n v="23.25"/>
    <n v="1"/>
    <n v="2.9999999329447746E-2"/>
    <x v="13"/>
    <x v="479"/>
    <n v="22.55250001559034"/>
    <x v="2"/>
    <x v="3"/>
    <x v="3"/>
  </r>
  <r>
    <n v="11077"/>
    <x v="19"/>
    <n v="17.45"/>
    <n v="2"/>
    <n v="2.9999999329447746E-2"/>
    <x v="13"/>
    <x v="479"/>
    <n v="33.853000023402274"/>
    <x v="5"/>
    <x v="3"/>
    <x v="19"/>
  </r>
  <r>
    <n v="11077"/>
    <x v="9"/>
    <n v="81"/>
    <n v="1"/>
    <n v="3.9999999105930328E-2"/>
    <x v="13"/>
    <x v="479"/>
    <n v="77.760000072419643"/>
    <x v="5"/>
    <x v="3"/>
    <x v="9"/>
  </r>
  <r>
    <n v="11077"/>
    <x v="70"/>
    <n v="9"/>
    <n v="2"/>
    <n v="0"/>
    <x v="13"/>
    <x v="479"/>
    <n v="18"/>
    <x v="1"/>
    <x v="3"/>
    <x v="70"/>
  </r>
  <r>
    <n v="11077"/>
    <x v="26"/>
    <n v="32"/>
    <n v="1"/>
    <n v="0"/>
    <x v="13"/>
    <x v="479"/>
    <n v="32"/>
    <x v="0"/>
    <x v="3"/>
    <x v="26"/>
  </r>
  <r>
    <n v="11077"/>
    <x v="13"/>
    <n v="18"/>
    <n v="2"/>
    <n v="5.000000074505806E-2"/>
    <x v="13"/>
    <x v="479"/>
    <n v="34.19999997317791"/>
    <x v="6"/>
    <x v="3"/>
    <x v="13"/>
  </r>
  <r>
    <n v="11077"/>
    <x v="5"/>
    <n v="9.65"/>
    <n v="3"/>
    <n v="0"/>
    <x v="13"/>
    <x v="479"/>
    <n v="28.950000000000003"/>
    <x v="3"/>
    <x v="3"/>
    <x v="5"/>
  </r>
  <r>
    <n v="11077"/>
    <x v="54"/>
    <n v="12"/>
    <n v="3"/>
    <n v="1.9999999552965164E-2"/>
    <x v="13"/>
    <x v="479"/>
    <n v="35.280000016093254"/>
    <x v="3"/>
    <x v="3"/>
    <x v="54"/>
  </r>
  <r>
    <n v="11077"/>
    <x v="65"/>
    <n v="7"/>
    <n v="2"/>
    <n v="0"/>
    <x v="13"/>
    <x v="479"/>
    <n v="14"/>
    <x v="1"/>
    <x v="3"/>
    <x v="65"/>
  </r>
  <r>
    <n v="11077"/>
    <x v="16"/>
    <n v="24"/>
    <n v="2"/>
    <n v="0"/>
    <x v="13"/>
    <x v="479"/>
    <n v="48"/>
    <x v="7"/>
    <x v="3"/>
    <x v="16"/>
  </r>
  <r>
    <n v="11077"/>
    <x v="11"/>
    <n v="34"/>
    <n v="2"/>
    <n v="5.9999998658895493E-2"/>
    <x v="13"/>
    <x v="479"/>
    <n v="63.920000091195107"/>
    <x v="0"/>
    <x v="3"/>
    <x v="11"/>
  </r>
  <r>
    <n v="11077"/>
    <x v="58"/>
    <n v="33.25"/>
    <n v="2"/>
    <n v="2.9999999329447746E-2"/>
    <x v="13"/>
    <x v="479"/>
    <n v="64.505000044591725"/>
    <x v="1"/>
    <x v="3"/>
    <x v="58"/>
  </r>
  <r>
    <n v="11077"/>
    <x v="61"/>
    <n v="17"/>
    <n v="1"/>
    <n v="0"/>
    <x v="13"/>
    <x v="479"/>
    <n v="17"/>
    <x v="4"/>
    <x v="3"/>
    <x v="61"/>
  </r>
  <r>
    <n v="11077"/>
    <x v="47"/>
    <n v="15"/>
    <n v="2"/>
    <n v="9.9999997764825821E-3"/>
    <x v="13"/>
    <x v="479"/>
    <n v="29.700000006705523"/>
    <x v="3"/>
    <x v="3"/>
    <x v="47"/>
  </r>
  <r>
    <n v="11077"/>
    <x v="48"/>
    <n v="7.75"/>
    <n v="4"/>
    <n v="0"/>
    <x v="13"/>
    <x v="479"/>
    <n v="31"/>
    <x v="6"/>
    <x v="3"/>
    <x v="48"/>
  </r>
  <r>
    <n v="11077"/>
    <x v="23"/>
    <n v="13"/>
    <n v="2"/>
    <n v="0"/>
    <x v="13"/>
    <x v="479"/>
    <n v="26"/>
    <x v="4"/>
    <x v="3"/>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98D483-D4FB-4B6B-A2DD-7A92207234E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Years and Season">
  <location ref="A1:B13" firstHeaderRow="1" firstDataRow="1" firstDataCol="1"/>
  <pivotFields count="13">
    <pivotField subtotalTop="0" showAll="0" defaultSubtotal="0"/>
    <pivotField subtotalTop="0" showAll="0" defaultSubtotal="0"/>
    <pivotField subtotalTop="0" showAll="0" defaultSubtotal="0"/>
    <pivotField subtotalTop="0" showAll="0" defaultSubtotal="0"/>
    <pivotField numFmtId="2" subtotalTop="0" showAll="0" defaultSubtotal="0"/>
    <pivotField subtotalTop="0" showAll="0" defaultSubtotal="0"/>
    <pivotField numFmtId="14" subtotalTop="0" showAll="0" defaultSubtotal="0">
      <items count="14">
        <item x="0"/>
        <item x="1"/>
        <item x="2"/>
        <item x="3"/>
        <item x="4"/>
        <item x="5"/>
        <item x="6"/>
        <item x="7"/>
        <item x="8"/>
        <item x="9"/>
        <item x="10"/>
        <item x="11"/>
        <item x="12"/>
        <item x="13"/>
      </items>
    </pivotField>
    <pivotField dataField="1" numFmtId="2" subtotalTop="0" showAll="0" defaultSubtotal="0"/>
    <pivotField subtotalTop="0" showAll="0" defaultSubtotal="0"/>
    <pivotField axis="axisRow" subtotalTop="0" showAll="0" defaultSubtotal="0">
      <items count="4">
        <item x="1"/>
        <item x="3"/>
        <item x="0"/>
        <item x="2"/>
      </items>
    </pivotField>
    <pivotField subtotalTop="0" showAll="0" defaultSubtotal="0"/>
    <pivotField subtotalTop="0" showAll="0" defaultSubtotal="0">
      <items count="6">
        <item sd="0" x="0"/>
        <item x="1"/>
        <item x="2"/>
        <item x="3"/>
        <item x="4"/>
        <item sd="0" x="5"/>
      </items>
    </pivotField>
    <pivotField axis="axisRow" subtotalTop="0" showAll="0" defaultSubtotal="0">
      <items count="5">
        <item sd="0" x="0"/>
        <item x="1"/>
        <item x="2"/>
        <item x="3"/>
        <item sd="0" x="4"/>
      </items>
    </pivotField>
  </pivotFields>
  <rowFields count="2">
    <field x="12"/>
    <field x="9"/>
  </rowFields>
  <rowItems count="12">
    <i>
      <x v="1"/>
    </i>
    <i r="1">
      <x/>
    </i>
    <i r="1">
      <x v="2"/>
    </i>
    <i>
      <x v="2"/>
    </i>
    <i r="1">
      <x/>
    </i>
    <i r="1">
      <x v="1"/>
    </i>
    <i r="1">
      <x v="2"/>
    </i>
    <i r="1">
      <x v="3"/>
    </i>
    <i>
      <x v="3"/>
    </i>
    <i r="1">
      <x v="1"/>
    </i>
    <i r="1">
      <x v="3"/>
    </i>
    <i t="grand">
      <x/>
    </i>
  </rowItems>
  <colItems count="1">
    <i/>
  </colItems>
  <dataFields count="1">
    <dataField name="Total Sales" fld="7" baseField="12" baseItem="1" numFmtId="1"/>
  </dataFields>
  <formats count="20">
    <format dxfId="131">
      <pivotArea type="all" dataOnly="0" outline="0" fieldPosition="0"/>
    </format>
    <format dxfId="130">
      <pivotArea outline="0" collapsedLevelsAreSubtotals="1" fieldPosition="0"/>
    </format>
    <format dxfId="129">
      <pivotArea field="12" type="button" dataOnly="0" labelOnly="1" outline="0" axis="axisRow" fieldPosition="0"/>
    </format>
    <format dxfId="128">
      <pivotArea dataOnly="0" labelOnly="1" fieldPosition="0">
        <references count="1">
          <reference field="12" count="3">
            <x v="1"/>
            <x v="2"/>
            <x v="3"/>
          </reference>
        </references>
      </pivotArea>
    </format>
    <format dxfId="127">
      <pivotArea dataOnly="0" labelOnly="1" grandRow="1" outline="0" fieldPosition="0"/>
    </format>
    <format dxfId="126">
      <pivotArea dataOnly="0" labelOnly="1" fieldPosition="0">
        <references count="2">
          <reference field="9" count="2">
            <x v="0"/>
            <x v="2"/>
          </reference>
          <reference field="12" count="1" selected="0">
            <x v="1"/>
          </reference>
        </references>
      </pivotArea>
    </format>
    <format dxfId="125">
      <pivotArea dataOnly="0" labelOnly="1" fieldPosition="0">
        <references count="2">
          <reference field="9" count="0"/>
          <reference field="12" count="1" selected="0">
            <x v="2"/>
          </reference>
        </references>
      </pivotArea>
    </format>
    <format dxfId="124">
      <pivotArea dataOnly="0" labelOnly="1" fieldPosition="0">
        <references count="2">
          <reference field="9" count="2">
            <x v="1"/>
            <x v="3"/>
          </reference>
          <reference field="12" count="1" selected="0">
            <x v="3"/>
          </reference>
        </references>
      </pivotArea>
    </format>
    <format dxfId="123">
      <pivotArea dataOnly="0" labelOnly="1" outline="0" fieldPosition="0">
        <references count="1">
          <reference field="4294967294" count="1">
            <x v="0"/>
          </reference>
        </references>
      </pivotArea>
    </format>
    <format dxfId="122">
      <pivotArea type="all" dataOnly="0" outline="0" fieldPosition="0"/>
    </format>
    <format dxfId="121">
      <pivotArea outline="0" collapsedLevelsAreSubtotals="1" fieldPosition="0"/>
    </format>
    <format dxfId="120">
      <pivotArea field="12" type="button" dataOnly="0" labelOnly="1" outline="0" axis="axisRow" fieldPosition="0"/>
    </format>
    <format dxfId="119">
      <pivotArea dataOnly="0" labelOnly="1" fieldPosition="0">
        <references count="1">
          <reference field="12" count="3">
            <x v="1"/>
            <x v="2"/>
            <x v="3"/>
          </reference>
        </references>
      </pivotArea>
    </format>
    <format dxfId="118">
      <pivotArea dataOnly="0" labelOnly="1" grandRow="1" outline="0" fieldPosition="0"/>
    </format>
    <format dxfId="117">
      <pivotArea dataOnly="0" labelOnly="1" fieldPosition="0">
        <references count="2">
          <reference field="9" count="2">
            <x v="0"/>
            <x v="2"/>
          </reference>
          <reference field="12" count="1" selected="0">
            <x v="1"/>
          </reference>
        </references>
      </pivotArea>
    </format>
    <format dxfId="116">
      <pivotArea dataOnly="0" labelOnly="1" fieldPosition="0">
        <references count="2">
          <reference field="9" count="0"/>
          <reference field="12" count="1" selected="0">
            <x v="2"/>
          </reference>
        </references>
      </pivotArea>
    </format>
    <format dxfId="115">
      <pivotArea dataOnly="0" labelOnly="1" fieldPosition="0">
        <references count="2">
          <reference field="9" count="2">
            <x v="1"/>
            <x v="3"/>
          </reference>
          <reference field="12" count="1" selected="0">
            <x v="3"/>
          </reference>
        </references>
      </pivotArea>
    </format>
    <format dxfId="114">
      <pivotArea dataOnly="0" labelOnly="1" outline="0" fieldPosition="0">
        <references count="1">
          <reference field="4294967294" count="1">
            <x v="0"/>
          </reference>
        </references>
      </pivotArea>
    </format>
    <format dxfId="113">
      <pivotArea outline="0" collapsedLevelsAreSubtotals="1" fieldPosition="0">
        <references count="1">
          <reference field="4294967294" count="1" selected="0">
            <x v="0"/>
          </reference>
        </references>
      </pivotArea>
    </format>
    <format dxfId="112">
      <pivotArea dataOnly="0" labelOnly="1"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D6DC9E-CE4A-48C7-8794-2ADC2630910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Years and Month">
  <location ref="H1:I28" firstHeaderRow="1" firstDataRow="1" firstDataCol="1"/>
  <pivotFields count="13">
    <pivotField subtotalTop="0" showAll="0" defaultSubtotal="0"/>
    <pivotField subtotalTop="0" showAll="0" defaultSubtotal="0"/>
    <pivotField subtotalTop="0" showAll="0" defaultSubtotal="0"/>
    <pivotField subtotalTop="0" showAll="0" defaultSubtotal="0"/>
    <pivotField numFmtId="2" subtotalTop="0" showAll="0" defaultSubtotal="0"/>
    <pivotField subtotalTop="0" showAll="0" defaultSubtotal="0"/>
    <pivotField axis="axisRow" numFmtId="14" subtotalTop="0" showAll="0" defaultSubtotal="0">
      <items count="14">
        <item x="0"/>
        <item x="1"/>
        <item x="2"/>
        <item x="3"/>
        <item x="4"/>
        <item x="5"/>
        <item x="6"/>
        <item x="7"/>
        <item x="8"/>
        <item x="9"/>
        <item x="10"/>
        <item x="11"/>
        <item x="12"/>
        <item x="13"/>
      </items>
    </pivotField>
    <pivotField dataField="1" numFmtId="2" subtotalTop="0" showAll="0" defaultSubtotal="0"/>
    <pivotField subtotalTop="0" showAll="0" defaultSubtotal="0"/>
    <pivotField subtotalTop="0" showAll="0" defaultSubtotal="0"/>
    <pivotField subtotalTop="0" showAll="0" defaultSubtotal="0"/>
    <pivotField subtotalTop="0" showAll="0" defaultSubtotal="0">
      <items count="6">
        <item sd="0" x="0"/>
        <item sd="0" x="1"/>
        <item sd="0" x="2"/>
        <item x="3"/>
        <item x="4"/>
        <item sd="0" x="5"/>
      </items>
    </pivotField>
    <pivotField axis="axisRow" subtotalTop="0" showAll="0" defaultSubtotal="0">
      <items count="5">
        <item sd="0" x="0"/>
        <item x="1"/>
        <item x="2"/>
        <item x="3"/>
        <item sd="0" x="4"/>
      </items>
    </pivotField>
  </pivotFields>
  <rowFields count="2">
    <field x="12"/>
    <field x="6"/>
  </rowFields>
  <rowItems count="27">
    <i>
      <x v="1"/>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Total Sales %" fld="7" baseField="6" baseItem="12" numFmtId="10">
      <extLst>
        <ext xmlns:x14="http://schemas.microsoft.com/office/spreadsheetml/2009/9/main" uri="{E15A36E0-9728-4e99-A89B-3F7291B0FE68}">
          <x14:dataField pivotShowAs="percentOfParentRow"/>
        </ext>
      </extLst>
    </dataField>
  </dataFields>
  <formats count="18">
    <format dxfId="149">
      <pivotArea type="all" dataOnly="0" outline="0" fieldPosition="0"/>
    </format>
    <format dxfId="148">
      <pivotArea outline="0" collapsedLevelsAreSubtotals="1" fieldPosition="0"/>
    </format>
    <format dxfId="147">
      <pivotArea field="12" type="button" dataOnly="0" labelOnly="1" outline="0" axis="axisRow" fieldPosition="0"/>
    </format>
    <format dxfId="146">
      <pivotArea dataOnly="0" labelOnly="1" fieldPosition="0">
        <references count="1">
          <reference field="12" count="3">
            <x v="1"/>
            <x v="2"/>
            <x v="3"/>
          </reference>
        </references>
      </pivotArea>
    </format>
    <format dxfId="145">
      <pivotArea dataOnly="0" labelOnly="1" grandRow="1" outline="0" fieldPosition="0"/>
    </format>
    <format dxfId="144">
      <pivotArea dataOnly="0" labelOnly="1" fieldPosition="0">
        <references count="2">
          <reference field="6" count="6">
            <x v="7"/>
            <x v="8"/>
            <x v="9"/>
            <x v="10"/>
            <x v="11"/>
            <x v="12"/>
          </reference>
          <reference field="12" count="1" selected="0">
            <x v="1"/>
          </reference>
        </references>
      </pivotArea>
    </format>
    <format dxfId="143">
      <pivotArea dataOnly="0" labelOnly="1" fieldPosition="0">
        <references count="2">
          <reference field="6" count="12">
            <x v="1"/>
            <x v="2"/>
            <x v="3"/>
            <x v="4"/>
            <x v="5"/>
            <x v="6"/>
            <x v="7"/>
            <x v="8"/>
            <x v="9"/>
            <x v="10"/>
            <x v="11"/>
            <x v="12"/>
          </reference>
          <reference field="12" count="1" selected="0">
            <x v="2"/>
          </reference>
        </references>
      </pivotArea>
    </format>
    <format dxfId="142">
      <pivotArea dataOnly="0" labelOnly="1" fieldPosition="0">
        <references count="2">
          <reference field="6" count="5">
            <x v="1"/>
            <x v="2"/>
            <x v="3"/>
            <x v="4"/>
            <x v="5"/>
          </reference>
          <reference field="12" count="1" selected="0">
            <x v="3"/>
          </reference>
        </references>
      </pivotArea>
    </format>
    <format dxfId="141">
      <pivotArea dataOnly="0" labelOnly="1" outline="0" fieldPosition="0">
        <references count="1">
          <reference field="4294967294" count="1">
            <x v="0"/>
          </reference>
        </references>
      </pivotArea>
    </format>
    <format dxfId="140">
      <pivotArea type="all" dataOnly="0" outline="0" fieldPosition="0"/>
    </format>
    <format dxfId="139">
      <pivotArea outline="0" collapsedLevelsAreSubtotals="1" fieldPosition="0"/>
    </format>
    <format dxfId="138">
      <pivotArea field="12" type="button" dataOnly="0" labelOnly="1" outline="0" axis="axisRow" fieldPosition="0"/>
    </format>
    <format dxfId="137">
      <pivotArea dataOnly="0" labelOnly="1" fieldPosition="0">
        <references count="1">
          <reference field="12" count="3">
            <x v="1"/>
            <x v="2"/>
            <x v="3"/>
          </reference>
        </references>
      </pivotArea>
    </format>
    <format dxfId="136">
      <pivotArea dataOnly="0" labelOnly="1" grandRow="1" outline="0" fieldPosition="0"/>
    </format>
    <format dxfId="135">
      <pivotArea dataOnly="0" labelOnly="1" fieldPosition="0">
        <references count="2">
          <reference field="6" count="6">
            <x v="7"/>
            <x v="8"/>
            <x v="9"/>
            <x v="10"/>
            <x v="11"/>
            <x v="12"/>
          </reference>
          <reference field="12" count="1" selected="0">
            <x v="1"/>
          </reference>
        </references>
      </pivotArea>
    </format>
    <format dxfId="134">
      <pivotArea dataOnly="0" labelOnly="1" fieldPosition="0">
        <references count="2">
          <reference field="6" count="12">
            <x v="1"/>
            <x v="2"/>
            <x v="3"/>
            <x v="4"/>
            <x v="5"/>
            <x v="6"/>
            <x v="7"/>
            <x v="8"/>
            <x v="9"/>
            <x v="10"/>
            <x v="11"/>
            <x v="12"/>
          </reference>
          <reference field="12" count="1" selected="0">
            <x v="2"/>
          </reference>
        </references>
      </pivotArea>
    </format>
    <format dxfId="133">
      <pivotArea dataOnly="0" labelOnly="1" fieldPosition="0">
        <references count="2">
          <reference field="6" count="5">
            <x v="1"/>
            <x v="2"/>
            <x v="3"/>
            <x v="4"/>
            <x v="5"/>
          </reference>
          <reference field="12" count="1" selected="0">
            <x v="3"/>
          </reference>
        </references>
      </pivotArea>
    </format>
    <format dxfId="132">
      <pivotArea dataOnly="0" labelOnly="1" outline="0" fieldPosition="0">
        <references count="1">
          <reference field="4294967294" count="1">
            <x v="0"/>
          </reference>
        </references>
      </pivotArea>
    </format>
  </format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3">
          <reference field="4294967294" count="1" selected="0">
            <x v="0"/>
          </reference>
          <reference field="6" count="1" selected="0">
            <x v="2"/>
          </reference>
          <reference field="12" count="1" selected="0">
            <x v="2"/>
          </reference>
        </references>
      </pivotArea>
    </chartFormat>
    <chartFormat chart="4" format="2">
      <pivotArea type="data" outline="0" fieldPosition="0">
        <references count="3">
          <reference field="4294967294" count="1" selected="0">
            <x v="0"/>
          </reference>
          <reference field="6" count="1" selected="0">
            <x v="11"/>
          </reference>
          <reference field="12" count="1" selected="0">
            <x v="2"/>
          </reference>
        </references>
      </pivotArea>
    </chartFormat>
    <chartFormat chart="4" format="3">
      <pivotArea type="data" outline="0" fieldPosition="0">
        <references count="3">
          <reference field="4294967294" count="1" selected="0">
            <x v="0"/>
          </reference>
          <reference field="6" count="1" selected="0">
            <x v="5"/>
          </reference>
          <reference field="12" count="1" selected="0">
            <x v="3"/>
          </reference>
        </references>
      </pivotArea>
    </chartFormat>
    <chartFormat chart="4" format="4">
      <pivotArea type="data" outline="0" fieldPosition="0">
        <references count="3">
          <reference field="4294967294" count="1" selected="0">
            <x v="0"/>
          </reference>
          <reference field="6" count="1" selected="0">
            <x v="12"/>
          </reference>
          <reference field="12" count="1" selected="0">
            <x v="2"/>
          </reference>
        </references>
      </pivotArea>
    </chartFormat>
    <chartFormat chart="4" format="5">
      <pivotArea type="data" outline="0" fieldPosition="0">
        <references count="3">
          <reference field="4294967294" count="1" selected="0">
            <x v="0"/>
          </reference>
          <reference field="6" count="1" selected="0">
            <x v="1"/>
          </reference>
          <reference field="12" count="1" selected="0">
            <x v="2"/>
          </reference>
        </references>
      </pivotArea>
    </chartFormat>
    <chartFormat chart="4" format="6">
      <pivotArea type="data" outline="0" fieldPosition="0">
        <references count="3">
          <reference field="4294967294" count="1" selected="0">
            <x v="0"/>
          </reference>
          <reference field="6" count="1" selected="0">
            <x v="12"/>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5F4A8B-804F-4D21-86C8-BDAD2CAC401C}" name="PivotTable1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rowHeaderCaption="CustomerID">
  <location ref="L1:N90" firstHeaderRow="0" firstDataRow="1" firstDataCol="1"/>
  <pivotFields count="13">
    <pivotField dataField="1" subtotalTop="0" showAll="0" defaultSubtotal="0"/>
    <pivotField subtotalTop="0" showAll="0" defaultSubtotal="0"/>
    <pivotField subtotalTop="0" showAll="0" defaultSubtotal="0"/>
    <pivotField subtotalTop="0" showAll="0" defaultSubtotal="0"/>
    <pivotField numFmtId="2" subtotalTop="0" showAll="0" defaultSubtotal="0"/>
    <pivotField axis="axisRow" subtotalTop="0" showAll="0" defaultSubtotal="0">
      <items count="89">
        <item x="85"/>
        <item x="39"/>
        <item x="59"/>
        <item x="55"/>
        <item x="25"/>
        <item x="76"/>
        <item x="15"/>
        <item x="46"/>
        <item x="48"/>
        <item x="66"/>
        <item x="31"/>
        <item x="78"/>
        <item x="10"/>
        <item x="5"/>
        <item x="32"/>
        <item x="72"/>
        <item x="57"/>
        <item x="41"/>
        <item x="58"/>
        <item x="9"/>
        <item x="52"/>
        <item x="68"/>
        <item x="14"/>
        <item x="17"/>
        <item x="86"/>
        <item x="70"/>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35"/>
        <item x="16"/>
        <item x="7"/>
        <item x="19"/>
        <item x="83"/>
        <item x="63"/>
      </items>
    </pivotField>
    <pivotField numFmtId="14" subtotalTop="0" showAll="0" defaultSubtotal="0">
      <items count="14">
        <item x="0"/>
        <item x="1"/>
        <item x="2"/>
        <item x="3"/>
        <item x="4"/>
        <item x="5"/>
        <item x="6"/>
        <item x="7"/>
        <item x="8"/>
        <item x="9"/>
        <item x="10"/>
        <item x="11"/>
        <item x="12"/>
        <item x="13"/>
      </items>
    </pivotField>
    <pivotField dataField="1" numFmtId="2" subtotalTop="0" showAll="0" defaultSubtotal="0"/>
    <pivotField subtotalTop="0" showAll="0" defaultSubtotal="0"/>
    <pivotField subtotalTop="0" showAll="0" defaultSubtotal="0"/>
    <pivotField subtotalTop="0" showAll="0" defaultSubtotal="0"/>
    <pivotField subtotalTop="0" showAll="0" defaultSubtotal="0">
      <items count="6">
        <item sd="0" x="0"/>
        <item x="1"/>
        <item x="2"/>
        <item x="3"/>
        <item x="4"/>
        <item sd="0" x="5"/>
      </items>
    </pivotField>
    <pivotField subtotalTop="0" showAll="0" defaultSubtotal="0">
      <items count="5">
        <item sd="0" x="0"/>
        <item x="1"/>
        <item x="2"/>
        <item x="3"/>
        <item sd="0" x="4"/>
      </items>
    </pivotField>
  </pivotFields>
  <rowFields count="1">
    <field x="5"/>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rowItems>
  <colFields count="1">
    <field x="-2"/>
  </colFields>
  <colItems count="2">
    <i>
      <x/>
    </i>
    <i i="1">
      <x v="1"/>
    </i>
  </colItems>
  <dataFields count="2">
    <dataField name="Count of OrderID" fld="0" subtotal="count" baseField="0" baseItem="0"/>
    <dataField name="Sum of Sales Amount" fld="7" baseField="0" baseItem="0" numFmtId="1"/>
  </dataFields>
  <formats count="14">
    <format dxfId="85">
      <pivotArea type="all" dataOnly="0" outline="0" fieldPosition="0"/>
    </format>
    <format dxfId="84">
      <pivotArea outline="0" collapsedLevelsAreSubtotals="1" fieldPosition="0"/>
    </format>
    <format dxfId="83">
      <pivotArea field="5" type="button" dataOnly="0" labelOnly="1" outline="0" axis="axisRow" fieldPosition="0"/>
    </format>
    <format dxfId="82">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1">
      <pivotArea dataOnly="0" labelOnly="1" fieldPosition="0">
        <references count="1">
          <reference field="5" count="39">
            <x v="50"/>
            <x v="51"/>
            <x v="52"/>
            <x v="53"/>
            <x v="54"/>
            <x v="55"/>
            <x v="56"/>
            <x v="57"/>
            <x v="58"/>
            <x v="59"/>
            <x v="60"/>
            <x v="61"/>
            <x v="62"/>
            <x v="63"/>
            <x v="64"/>
            <x v="65"/>
            <x v="66"/>
            <x v="67"/>
            <x v="68"/>
            <x v="69"/>
            <x v="70"/>
            <x v="71"/>
            <x v="72"/>
            <x v="73"/>
            <x v="74"/>
            <x v="75"/>
            <x v="76"/>
            <x v="77"/>
            <x v="78"/>
            <x v="79"/>
            <x v="80"/>
            <x v="81"/>
            <x v="82"/>
            <x v="83"/>
            <x v="84"/>
            <x v="85"/>
            <x v="86"/>
            <x v="87"/>
            <x v="88"/>
          </reference>
        </references>
      </pivotArea>
    </format>
    <format dxfId="80">
      <pivotArea dataOnly="0" labelOnly="1" outline="0" fieldPosition="0">
        <references count="1">
          <reference field="4294967294" count="2">
            <x v="0"/>
            <x v="1"/>
          </reference>
        </references>
      </pivotArea>
    </format>
    <format dxfId="79">
      <pivotArea type="all" dataOnly="0" outline="0" fieldPosition="0"/>
    </format>
    <format dxfId="78">
      <pivotArea outline="0" collapsedLevelsAreSubtotals="1" fieldPosition="0"/>
    </format>
    <format dxfId="77">
      <pivotArea field="5" type="button" dataOnly="0" labelOnly="1" outline="0" axis="axisRow" fieldPosition="0"/>
    </format>
    <format dxfId="76">
      <pivotArea dataOnly="0" labelOnly="1" fieldPosition="0">
        <references count="1">
          <reference field="5"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5">
      <pivotArea dataOnly="0" labelOnly="1" fieldPosition="0">
        <references count="1">
          <reference field="5" count="39">
            <x v="50"/>
            <x v="51"/>
            <x v="52"/>
            <x v="53"/>
            <x v="54"/>
            <x v="55"/>
            <x v="56"/>
            <x v="57"/>
            <x v="58"/>
            <x v="59"/>
            <x v="60"/>
            <x v="61"/>
            <x v="62"/>
            <x v="63"/>
            <x v="64"/>
            <x v="65"/>
            <x v="66"/>
            <x v="67"/>
            <x v="68"/>
            <x v="69"/>
            <x v="70"/>
            <x v="71"/>
            <x v="72"/>
            <x v="73"/>
            <x v="74"/>
            <x v="75"/>
            <x v="76"/>
            <x v="77"/>
            <x v="78"/>
            <x v="79"/>
            <x v="80"/>
            <x v="81"/>
            <x v="82"/>
            <x v="83"/>
            <x v="84"/>
            <x v="85"/>
            <x v="86"/>
            <x v="87"/>
            <x v="88"/>
          </reference>
        </references>
      </pivotArea>
    </format>
    <format dxfId="74">
      <pivotArea dataOnly="0" labelOnly="1" outline="0" fieldPosition="0">
        <references count="1">
          <reference field="4294967294" count="2">
            <x v="0"/>
            <x v="1"/>
          </reference>
        </references>
      </pivotArea>
    </format>
    <format dxfId="73">
      <pivotArea outline="0" collapsedLevelsAreSubtotals="1" fieldPosition="0">
        <references count="1">
          <reference field="4294967294" count="1" selected="0">
            <x v="1"/>
          </reference>
        </references>
      </pivotArea>
    </format>
    <format dxfId="72">
      <pivotArea dataOnly="0" labelOnly="1"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DAFAD7-85E5-4A2D-BC9E-7E5A298BA41C}"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1:I10" firstHeaderRow="1" firstDataRow="1" firstDataCol="1"/>
  <pivotFields count="13">
    <pivotField subtotalTop="0" showAll="0"/>
    <pivotField subtotalTop="0" showAll="0"/>
    <pivotField subtotalTop="0" showAll="0"/>
    <pivotField subtotalTop="0" showAll="0"/>
    <pivotField numFmtId="2" subtotalTop="0" showAll="0"/>
    <pivotField subtotalTop="0" showAll="0"/>
    <pivotField numFmtId="14" subtotalTop="0" showAll="0">
      <items count="15">
        <item x="0"/>
        <item x="1"/>
        <item x="2"/>
        <item x="3"/>
        <item x="4"/>
        <item x="5"/>
        <item x="6"/>
        <item x="7"/>
        <item x="8"/>
        <item x="9"/>
        <item x="10"/>
        <item x="11"/>
        <item x="12"/>
        <item x="13"/>
        <item t="default"/>
      </items>
    </pivotField>
    <pivotField dataField="1" numFmtId="2" subtotalTop="0" showAll="0"/>
    <pivotField axis="axisRow" subtotalTop="0" showAll="0">
      <items count="9">
        <item x="6"/>
        <item x="4"/>
        <item x="5"/>
        <item x="0"/>
        <item x="1"/>
        <item x="7"/>
        <item x="2"/>
        <item x="3"/>
        <item t="default"/>
      </items>
    </pivotField>
    <pivotField subtotalTop="0" showAll="0"/>
    <pivotField subtotalTop="0"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6"/>
        <item x="19"/>
        <item x="22"/>
        <item x="0"/>
        <item x="36"/>
        <item x="21"/>
        <item x="8"/>
        <item x="48"/>
        <item x="47"/>
        <item x="73"/>
        <item x="44"/>
        <item x="53"/>
        <item x="24"/>
        <item x="56"/>
        <item x="1"/>
        <item x="9"/>
        <item x="27"/>
        <item x="75"/>
        <item x="54"/>
        <item x="31"/>
        <item x="29"/>
        <item x="49"/>
        <item x="39"/>
        <item x="3"/>
        <item x="55"/>
        <item x="70"/>
        <item x="32"/>
        <item x="72"/>
        <item x="46"/>
        <item x="58"/>
        <item x="69"/>
        <item t="default"/>
      </items>
    </pivotField>
    <pivotField subtotalTop="0" showAll="0">
      <items count="7">
        <item sd="0" x="0"/>
        <item x="1"/>
        <item x="2"/>
        <item x="3"/>
        <item x="4"/>
        <item sd="0" x="5"/>
        <item t="default"/>
      </items>
    </pivotField>
    <pivotField subtotalTop="0" showAll="0">
      <items count="6">
        <item sd="0" x="0"/>
        <item x="1"/>
        <item x="2"/>
        <item x="3"/>
        <item sd="0" x="4"/>
        <item t="default"/>
      </items>
    </pivotField>
  </pivotFields>
  <rowFields count="1">
    <field x="8"/>
  </rowFields>
  <rowItems count="9">
    <i>
      <x/>
    </i>
    <i>
      <x v="1"/>
    </i>
    <i>
      <x v="2"/>
    </i>
    <i>
      <x v="3"/>
    </i>
    <i>
      <x v="4"/>
    </i>
    <i>
      <x v="5"/>
    </i>
    <i>
      <x v="6"/>
    </i>
    <i>
      <x v="7"/>
    </i>
    <i t="grand">
      <x/>
    </i>
  </rowItems>
  <colItems count="1">
    <i/>
  </colItems>
  <dataFields count="1">
    <dataField name="Sum of Sales Amount2" fld="7" baseField="10" baseItem="28" numFmtId="10">
      <extLst>
        <ext xmlns:x14="http://schemas.microsoft.com/office/spreadsheetml/2009/9/main" uri="{E15A36E0-9728-4e99-A89B-3F7291B0FE68}">
          <x14:dataField pivotShowAs="percentOfParentRow"/>
        </ext>
      </extLst>
    </dataField>
  </dataFields>
  <formats count="10">
    <format dxfId="95">
      <pivotArea type="all" dataOnly="0" outline="0" fieldPosition="0"/>
    </format>
    <format dxfId="94">
      <pivotArea outline="0" collapsedLevelsAreSubtotals="1" fieldPosition="0"/>
    </format>
    <format dxfId="93">
      <pivotArea field="10" type="button" dataOnly="0" labelOnly="1" outline="0"/>
    </format>
    <format dxfId="92">
      <pivotArea dataOnly="0" labelOnly="1" grandRow="1" outline="0" fieldPosition="0"/>
    </format>
    <format dxfId="91">
      <pivotArea dataOnly="0" labelOnly="1" outline="0" fieldPosition="0">
        <references count="1">
          <reference field="4294967294" count="1">
            <x v="0"/>
          </reference>
        </references>
      </pivotArea>
    </format>
    <format dxfId="90">
      <pivotArea type="all" dataOnly="0" outline="0" fieldPosition="0"/>
    </format>
    <format dxfId="89">
      <pivotArea outline="0" collapsedLevelsAreSubtotals="1" fieldPosition="0"/>
    </format>
    <format dxfId="88">
      <pivotArea field="10" type="button" dataOnly="0" labelOnly="1" outline="0"/>
    </format>
    <format dxfId="87">
      <pivotArea dataOnly="0" labelOnly="1" grandRow="1" outline="0" fieldPosition="0"/>
    </format>
    <format dxfId="86">
      <pivotArea dataOnly="0" labelOnly="1"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4616C-530B-469E-B7BE-43A94905C8EE}"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rowHeaderCaption="ProductName">
  <location ref="A1:B79" firstHeaderRow="1" firstDataRow="1" firstDataCol="1"/>
  <pivotFields count="13">
    <pivotField subtotalTop="0" showAll="0"/>
    <pivotField subtotalTop="0" showAll="0"/>
    <pivotField subtotalTop="0" showAll="0"/>
    <pivotField subtotalTop="0" showAll="0"/>
    <pivotField numFmtId="2" subtotalTop="0" showAll="0"/>
    <pivotField subtotalTop="0" showAll="0"/>
    <pivotField numFmtId="14" subtotalTop="0" showAll="0">
      <items count="15">
        <item x="0"/>
        <item x="1"/>
        <item x="2"/>
        <item x="3"/>
        <item x="4"/>
        <item x="5"/>
        <item x="6"/>
        <item x="7"/>
        <item x="8"/>
        <item x="9"/>
        <item x="10"/>
        <item x="11"/>
        <item x="12"/>
        <item x="13"/>
        <item t="default"/>
      </items>
    </pivotField>
    <pivotField dataField="1" numFmtId="2" subtotalTop="0" showAll="0"/>
    <pivotField subtotalTop="0" showAll="0"/>
    <pivotField subtotalTop="0" showAll="0"/>
    <pivotField axis="axisRow" subtotalTop="0" showAll="0" sortType="descending">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6"/>
        <item x="19"/>
        <item x="22"/>
        <item x="0"/>
        <item x="36"/>
        <item x="21"/>
        <item x="8"/>
        <item x="48"/>
        <item x="47"/>
        <item x="73"/>
        <item x="44"/>
        <item x="53"/>
        <item x="24"/>
        <item x="56"/>
        <item x="1"/>
        <item x="9"/>
        <item x="27"/>
        <item x="75"/>
        <item x="54"/>
        <item x="31"/>
        <item x="29"/>
        <item x="49"/>
        <item x="39"/>
        <item x="3"/>
        <item x="55"/>
        <item x="70"/>
        <item x="32"/>
        <item x="72"/>
        <item x="46"/>
        <item x="58"/>
        <item x="69"/>
        <item t="default"/>
      </items>
      <autoSortScope>
        <pivotArea dataOnly="0" outline="0" fieldPosition="0">
          <references count="1">
            <reference field="4294967294" count="1" selected="0">
              <x v="0"/>
            </reference>
          </references>
        </pivotArea>
      </autoSortScope>
    </pivotField>
    <pivotField subtotalTop="0" showAll="0">
      <items count="7">
        <item sd="0" x="0"/>
        <item x="1"/>
        <item x="2"/>
        <item x="3"/>
        <item x="4"/>
        <item sd="0" x="5"/>
        <item t="default"/>
      </items>
    </pivotField>
    <pivotField subtotalTop="0" showAll="0">
      <items count="6">
        <item sd="0" x="0"/>
        <item x="1"/>
        <item x="2"/>
        <item x="3"/>
        <item sd="0" x="4"/>
        <item t="default"/>
      </items>
    </pivotField>
  </pivotFields>
  <rowFields count="1">
    <field x="10"/>
  </rowFields>
  <rowItems count="78">
    <i>
      <x v="11"/>
    </i>
    <i>
      <x v="68"/>
    </i>
    <i>
      <x v="51"/>
    </i>
    <i>
      <x v="66"/>
    </i>
    <i>
      <x v="3"/>
    </i>
    <i>
      <x v="17"/>
    </i>
    <i>
      <x v="36"/>
    </i>
    <i>
      <x/>
    </i>
    <i>
      <x v="4"/>
    </i>
    <i>
      <x v="56"/>
    </i>
    <i>
      <x v="40"/>
    </i>
    <i>
      <x v="28"/>
    </i>
    <i>
      <x v="61"/>
    </i>
    <i>
      <x v="72"/>
    </i>
    <i>
      <x v="75"/>
    </i>
    <i>
      <x v="22"/>
    </i>
    <i>
      <x v="26"/>
    </i>
    <i>
      <x v="48"/>
    </i>
    <i>
      <x v="24"/>
    </i>
    <i>
      <x v="14"/>
    </i>
    <i>
      <x v="2"/>
    </i>
    <i>
      <x v="46"/>
    </i>
    <i>
      <x v="47"/>
    </i>
    <i>
      <x v="74"/>
    </i>
    <i>
      <x v="6"/>
    </i>
    <i>
      <x v="31"/>
    </i>
    <i>
      <x v="58"/>
    </i>
    <i>
      <x v="18"/>
    </i>
    <i>
      <x v="63"/>
    </i>
    <i>
      <x v="34"/>
    </i>
    <i>
      <x v="65"/>
    </i>
    <i>
      <x v="27"/>
    </i>
    <i>
      <x v="41"/>
    </i>
    <i>
      <x v="49"/>
    </i>
    <i>
      <x v="5"/>
    </i>
    <i>
      <x v="42"/>
    </i>
    <i>
      <x v="7"/>
    </i>
    <i>
      <x v="50"/>
    </i>
    <i>
      <x v="45"/>
    </i>
    <i>
      <x v="23"/>
    </i>
    <i>
      <x v="38"/>
    </i>
    <i>
      <x v="44"/>
    </i>
    <i>
      <x v="62"/>
    </i>
    <i>
      <x v="59"/>
    </i>
    <i>
      <x v="29"/>
    </i>
    <i>
      <x v="60"/>
    </i>
    <i>
      <x v="8"/>
    </i>
    <i>
      <x v="37"/>
    </i>
    <i>
      <x v="53"/>
    </i>
    <i>
      <x v="69"/>
    </i>
    <i>
      <x v="52"/>
    </i>
    <i>
      <x v="39"/>
    </i>
    <i>
      <x v="19"/>
    </i>
    <i>
      <x v="25"/>
    </i>
    <i>
      <x v="57"/>
    </i>
    <i>
      <x v="64"/>
    </i>
    <i>
      <x v="12"/>
    </i>
    <i>
      <x v="67"/>
    </i>
    <i>
      <x v="9"/>
    </i>
    <i>
      <x v="30"/>
    </i>
    <i>
      <x v="70"/>
    </i>
    <i>
      <x v="71"/>
    </i>
    <i>
      <x v="21"/>
    </i>
    <i>
      <x v="55"/>
    </i>
    <i>
      <x v="54"/>
    </i>
    <i>
      <x v="76"/>
    </i>
    <i>
      <x v="43"/>
    </i>
    <i>
      <x v="73"/>
    </i>
    <i>
      <x v="35"/>
    </i>
    <i>
      <x v="13"/>
    </i>
    <i>
      <x v="1"/>
    </i>
    <i>
      <x v="20"/>
    </i>
    <i>
      <x v="33"/>
    </i>
    <i>
      <x v="32"/>
    </i>
    <i>
      <x v="16"/>
    </i>
    <i>
      <x v="15"/>
    </i>
    <i>
      <x v="10"/>
    </i>
    <i t="grand">
      <x/>
    </i>
  </rowItems>
  <colItems count="1">
    <i/>
  </colItems>
  <dataFields count="1">
    <dataField name="Sum of Sales Amount" fld="7" baseField="0" baseItem="0" numFmtId="1"/>
  </dataFields>
  <formats count="16">
    <format dxfId="111">
      <pivotArea type="all" dataOnly="0" outline="0" fieldPosition="0"/>
    </format>
    <format dxfId="110">
      <pivotArea outline="0" collapsedLevelsAreSubtotals="1" fieldPosition="0"/>
    </format>
    <format dxfId="109">
      <pivotArea field="10" type="button" dataOnly="0" labelOnly="1" outline="0" axis="axisRow" fieldPosition="0"/>
    </format>
    <format dxfId="108">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7">
      <pivotArea dataOnly="0" labelOnly="1" fieldPosition="0">
        <references count="1">
          <reference field="10" count="27">
            <x v="50"/>
            <x v="51"/>
            <x v="52"/>
            <x v="53"/>
            <x v="54"/>
            <x v="55"/>
            <x v="56"/>
            <x v="57"/>
            <x v="58"/>
            <x v="59"/>
            <x v="60"/>
            <x v="61"/>
            <x v="62"/>
            <x v="63"/>
            <x v="64"/>
            <x v="65"/>
            <x v="66"/>
            <x v="67"/>
            <x v="68"/>
            <x v="69"/>
            <x v="70"/>
            <x v="71"/>
            <x v="72"/>
            <x v="73"/>
            <x v="74"/>
            <x v="75"/>
            <x v="76"/>
          </reference>
        </references>
      </pivotArea>
    </format>
    <format dxfId="106">
      <pivotArea dataOnly="0" labelOnly="1" grandRow="1" outline="0" fieldPosition="0"/>
    </format>
    <format dxfId="105">
      <pivotArea dataOnly="0" labelOnly="1" outline="0" fieldPosition="0">
        <references count="1">
          <reference field="4294967294" count="1">
            <x v="0"/>
          </reference>
        </references>
      </pivotArea>
    </format>
    <format dxfId="104">
      <pivotArea type="all" dataOnly="0" outline="0" fieldPosition="0"/>
    </format>
    <format dxfId="103">
      <pivotArea outline="0" collapsedLevelsAreSubtotals="1" fieldPosition="0"/>
    </format>
    <format dxfId="102">
      <pivotArea field="10" type="button" dataOnly="0" labelOnly="1" outline="0" axis="axisRow" fieldPosition="0"/>
    </format>
    <format dxfId="101">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0">
      <pivotArea dataOnly="0" labelOnly="1" fieldPosition="0">
        <references count="1">
          <reference field="10" count="27">
            <x v="50"/>
            <x v="51"/>
            <x v="52"/>
            <x v="53"/>
            <x v="54"/>
            <x v="55"/>
            <x v="56"/>
            <x v="57"/>
            <x v="58"/>
            <x v="59"/>
            <x v="60"/>
            <x v="61"/>
            <x v="62"/>
            <x v="63"/>
            <x v="64"/>
            <x v="65"/>
            <x v="66"/>
            <x v="67"/>
            <x v="68"/>
            <x v="69"/>
            <x v="70"/>
            <x v="71"/>
            <x v="72"/>
            <x v="73"/>
            <x v="74"/>
            <x v="75"/>
            <x v="76"/>
          </reference>
        </references>
      </pivotArea>
    </format>
    <format dxfId="99">
      <pivotArea dataOnly="0" labelOnly="1" grandRow="1" outline="0" fieldPosition="0"/>
    </format>
    <format dxfId="98">
      <pivotArea dataOnly="0" labelOnly="1" outline="0" fieldPosition="0">
        <references count="1">
          <reference field="4294967294" count="1">
            <x v="0"/>
          </reference>
        </references>
      </pivotArea>
    </format>
    <format dxfId="97">
      <pivotArea outline="0" collapsedLevelsAreSubtotals="1" fieldPosition="0">
        <references count="1">
          <reference field="4294967294" count="1" selected="0">
            <x v="0"/>
          </reference>
        </references>
      </pivotArea>
    </format>
    <format dxfId="96">
      <pivotArea dataOnly="0" labelOnly="1" outline="0" fieldPosition="0">
        <references count="1">
          <reference field="4294967294" count="1">
            <x v="0"/>
          </reference>
        </references>
      </pivotArea>
    </format>
  </format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0B5BB0-CCCA-45C6-85C2-59C05E0FEB3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ductName">
  <location ref="A1:B95" firstHeaderRow="1" firstDataRow="1" firstDataCol="1"/>
  <pivotFields count="13">
    <pivotField subtotalTop="0" showAll="0"/>
    <pivotField subtotalTop="0" showAll="0"/>
    <pivotField subtotalTop="0" showAll="0"/>
    <pivotField subtotalTop="0" showAll="0"/>
    <pivotField numFmtId="2" subtotalTop="0" showAll="0"/>
    <pivotField subtotalTop="0" showAll="0"/>
    <pivotField numFmtId="14" subtotalTop="0" showAll="0">
      <items count="15">
        <item x="0"/>
        <item x="1"/>
        <item x="2"/>
        <item x="3"/>
        <item x="4"/>
        <item x="5"/>
        <item x="6"/>
        <item x="7"/>
        <item x="8"/>
        <item x="9"/>
        <item x="10"/>
        <item x="11"/>
        <item x="12"/>
        <item x="13"/>
        <item t="default"/>
      </items>
    </pivotField>
    <pivotField dataField="1" numFmtId="2" subtotalTop="0" showAll="0"/>
    <pivotField axis="axisRow" subtotalTop="0" showAll="0">
      <items count="9">
        <item x="6"/>
        <item x="4"/>
        <item x="5"/>
        <item x="0"/>
        <item x="1"/>
        <item x="7"/>
        <item x="2"/>
        <item x="3"/>
        <item t="default"/>
      </items>
    </pivotField>
    <pivotField subtotalTop="0" showAll="0"/>
    <pivotField axis="axisRow" subtotalTop="0"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6"/>
        <item x="19"/>
        <item x="22"/>
        <item x="0"/>
        <item x="36"/>
        <item x="21"/>
        <item x="8"/>
        <item x="48"/>
        <item x="47"/>
        <item x="73"/>
        <item x="44"/>
        <item x="53"/>
        <item x="24"/>
        <item x="56"/>
        <item x="1"/>
        <item x="9"/>
        <item x="27"/>
        <item x="75"/>
        <item x="54"/>
        <item x="31"/>
        <item x="29"/>
        <item x="49"/>
        <item x="39"/>
        <item x="3"/>
        <item x="55"/>
        <item x="70"/>
        <item x="32"/>
        <item x="72"/>
        <item x="46"/>
        <item x="58"/>
        <item x="69"/>
        <item t="default"/>
      </items>
    </pivotField>
    <pivotField subtotalTop="0" showAll="0">
      <items count="7">
        <item sd="0" x="0"/>
        <item x="1"/>
        <item x="2"/>
        <item x="3"/>
        <item x="4"/>
        <item sd="0" x="5"/>
        <item t="default"/>
      </items>
    </pivotField>
    <pivotField subtotalTop="0" showAll="0">
      <items count="6">
        <item sd="0" x="0"/>
        <item x="1"/>
        <item x="2"/>
        <item x="3"/>
        <item sd="0" x="4"/>
        <item t="default"/>
      </items>
    </pivotField>
  </pivotFields>
  <rowFields count="2">
    <field x="8"/>
    <field x="10"/>
  </rowFields>
  <rowItems count="94">
    <i>
      <x/>
    </i>
    <i r="1">
      <x v="5"/>
    </i>
    <i r="1">
      <x v="6"/>
    </i>
    <i r="1">
      <x v="7"/>
    </i>
    <i r="1">
      <x v="11"/>
    </i>
    <i r="1">
      <x v="21"/>
    </i>
    <i r="1">
      <x v="28"/>
    </i>
    <i r="1">
      <x v="31"/>
    </i>
    <i r="1">
      <x v="32"/>
    </i>
    <i r="1">
      <x v="45"/>
    </i>
    <i r="1">
      <x v="53"/>
    </i>
    <i r="1">
      <x v="57"/>
    </i>
    <i r="1">
      <x v="65"/>
    </i>
    <i t="default">
      <x/>
    </i>
    <i>
      <x v="1"/>
    </i>
    <i r="1">
      <x v="1"/>
    </i>
    <i r="1">
      <x v="8"/>
    </i>
    <i r="1">
      <x v="9"/>
    </i>
    <i r="1">
      <x v="16"/>
    </i>
    <i r="1">
      <x v="19"/>
    </i>
    <i r="1">
      <x v="23"/>
    </i>
    <i r="1">
      <x v="34"/>
    </i>
    <i r="1">
      <x v="35"/>
    </i>
    <i r="1">
      <x v="42"/>
    </i>
    <i r="1">
      <x v="44"/>
    </i>
    <i r="1">
      <x v="63"/>
    </i>
    <i r="1">
      <x v="74"/>
    </i>
    <i t="default">
      <x v="1"/>
    </i>
    <i>
      <x v="2"/>
    </i>
    <i r="1">
      <x v="10"/>
    </i>
    <i r="1">
      <x v="24"/>
    </i>
    <i r="1">
      <x v="38"/>
    </i>
    <i r="1">
      <x v="43"/>
    </i>
    <i r="1">
      <x v="47"/>
    </i>
    <i r="1">
      <x v="58"/>
    </i>
    <i r="1">
      <x v="59"/>
    </i>
    <i r="1">
      <x v="61"/>
    </i>
    <i r="1">
      <x v="62"/>
    </i>
    <i r="1">
      <x v="66"/>
    </i>
    <i r="1">
      <x v="67"/>
    </i>
    <i r="1">
      <x v="73"/>
    </i>
    <i r="1">
      <x v="76"/>
    </i>
    <i t="default">
      <x v="2"/>
    </i>
    <i>
      <x v="3"/>
    </i>
    <i r="1">
      <x v="3"/>
    </i>
    <i r="1">
      <x v="14"/>
    </i>
    <i r="1">
      <x v="15"/>
    </i>
    <i r="1">
      <x v="18"/>
    </i>
    <i r="1">
      <x v="22"/>
    </i>
    <i r="1">
      <x v="37"/>
    </i>
    <i r="1">
      <x v="40"/>
    </i>
    <i r="1">
      <x v="49"/>
    </i>
    <i r="1">
      <x v="50"/>
    </i>
    <i r="1">
      <x v="51"/>
    </i>
    <i t="default">
      <x v="3"/>
    </i>
    <i>
      <x v="4"/>
    </i>
    <i r="1">
      <x v="13"/>
    </i>
    <i r="1">
      <x v="17"/>
    </i>
    <i r="1">
      <x v="25"/>
    </i>
    <i r="1">
      <x v="52"/>
    </i>
    <i r="1">
      <x v="60"/>
    </i>
    <i r="1">
      <x v="71"/>
    </i>
    <i r="1">
      <x v="75"/>
    </i>
    <i t="default">
      <x v="4"/>
    </i>
    <i>
      <x v="5"/>
    </i>
    <i r="1">
      <x/>
    </i>
    <i r="1">
      <x v="39"/>
    </i>
    <i r="1">
      <x v="46"/>
    </i>
    <i r="1">
      <x v="48"/>
    </i>
    <i r="1">
      <x v="68"/>
    </i>
    <i r="1">
      <x v="70"/>
    </i>
    <i t="default">
      <x v="5"/>
    </i>
    <i>
      <x v="6"/>
    </i>
    <i r="1">
      <x v="33"/>
    </i>
    <i r="1">
      <x v="36"/>
    </i>
    <i r="1">
      <x v="56"/>
    </i>
    <i r="1">
      <x v="69"/>
    </i>
    <i r="1">
      <x v="72"/>
    </i>
    <i t="default">
      <x v="6"/>
    </i>
    <i>
      <x v="7"/>
    </i>
    <i r="1">
      <x v="2"/>
    </i>
    <i r="1">
      <x v="4"/>
    </i>
    <i r="1">
      <x v="12"/>
    </i>
    <i r="1">
      <x v="20"/>
    </i>
    <i r="1">
      <x v="26"/>
    </i>
    <i r="1">
      <x v="27"/>
    </i>
    <i r="1">
      <x v="29"/>
    </i>
    <i r="1">
      <x v="30"/>
    </i>
    <i r="1">
      <x v="41"/>
    </i>
    <i r="1">
      <x v="54"/>
    </i>
    <i r="1">
      <x v="55"/>
    </i>
    <i r="1">
      <x v="64"/>
    </i>
    <i t="default">
      <x v="7"/>
    </i>
    <i t="grand">
      <x/>
    </i>
  </rowItems>
  <colItems count="1">
    <i/>
  </colItems>
  <dataFields count="1">
    <dataField name="Sum of Sales Amount2" fld="7" showDataAs="percentOfTotal" baseField="10" baseItem="28" numFmtId="10"/>
  </dataFields>
  <formats count="46">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fieldPosition="0">
        <references count="1">
          <reference field="8" count="0" defaultSubtotal="1"/>
        </references>
      </pivotArea>
    </format>
    <format dxfId="40">
      <pivotArea dataOnly="0" labelOnly="1" grandRow="1" outline="0" fieldPosition="0"/>
    </format>
    <format dxfId="39">
      <pivotArea dataOnly="0" labelOnly="1" fieldPosition="0">
        <references count="2">
          <reference field="8" count="1" selected="0">
            <x v="0"/>
          </reference>
          <reference field="10" count="12">
            <x v="5"/>
            <x v="6"/>
            <x v="7"/>
            <x v="11"/>
            <x v="21"/>
            <x v="28"/>
            <x v="31"/>
            <x v="32"/>
            <x v="45"/>
            <x v="53"/>
            <x v="57"/>
            <x v="65"/>
          </reference>
        </references>
      </pivotArea>
    </format>
    <format dxfId="38">
      <pivotArea dataOnly="0" labelOnly="1" fieldPosition="0">
        <references count="2">
          <reference field="8" count="1" selected="0">
            <x v="0"/>
          </reference>
          <reference field="10" count="12" defaultSubtotal="1">
            <x v="5"/>
            <x v="6"/>
            <x v="7"/>
            <x v="11"/>
            <x v="21"/>
            <x v="28"/>
            <x v="31"/>
            <x v="32"/>
            <x v="45"/>
            <x v="53"/>
            <x v="57"/>
            <x v="65"/>
          </reference>
        </references>
      </pivotArea>
    </format>
    <format dxfId="37">
      <pivotArea dataOnly="0" labelOnly="1" fieldPosition="0">
        <references count="2">
          <reference field="8" count="1" selected="0">
            <x v="1"/>
          </reference>
          <reference field="10" count="12">
            <x v="1"/>
            <x v="8"/>
            <x v="9"/>
            <x v="16"/>
            <x v="19"/>
            <x v="23"/>
            <x v="34"/>
            <x v="35"/>
            <x v="42"/>
            <x v="44"/>
            <x v="63"/>
            <x v="74"/>
          </reference>
        </references>
      </pivotArea>
    </format>
    <format dxfId="36">
      <pivotArea dataOnly="0" labelOnly="1" fieldPosition="0">
        <references count="2">
          <reference field="8" count="1" selected="0">
            <x v="1"/>
          </reference>
          <reference field="10" count="12" defaultSubtotal="1">
            <x v="1"/>
            <x v="8"/>
            <x v="9"/>
            <x v="16"/>
            <x v="19"/>
            <x v="23"/>
            <x v="34"/>
            <x v="35"/>
            <x v="42"/>
            <x v="44"/>
            <x v="63"/>
            <x v="74"/>
          </reference>
        </references>
      </pivotArea>
    </format>
    <format dxfId="35">
      <pivotArea dataOnly="0" labelOnly="1" fieldPosition="0">
        <references count="2">
          <reference field="8" count="1" selected="0">
            <x v="2"/>
          </reference>
          <reference field="10" count="13">
            <x v="10"/>
            <x v="24"/>
            <x v="38"/>
            <x v="43"/>
            <x v="47"/>
            <x v="58"/>
            <x v="59"/>
            <x v="61"/>
            <x v="62"/>
            <x v="66"/>
            <x v="67"/>
            <x v="73"/>
            <x v="76"/>
          </reference>
        </references>
      </pivotArea>
    </format>
    <format dxfId="34">
      <pivotArea dataOnly="0" labelOnly="1" fieldPosition="0">
        <references count="2">
          <reference field="8" count="1" selected="0">
            <x v="2"/>
          </reference>
          <reference field="10" count="13" defaultSubtotal="1">
            <x v="10"/>
            <x v="24"/>
            <x v="38"/>
            <x v="43"/>
            <x v="47"/>
            <x v="58"/>
            <x v="59"/>
            <x v="61"/>
            <x v="62"/>
            <x v="66"/>
            <x v="67"/>
            <x v="73"/>
            <x v="76"/>
          </reference>
        </references>
      </pivotArea>
    </format>
    <format dxfId="33">
      <pivotArea dataOnly="0" labelOnly="1" fieldPosition="0">
        <references count="2">
          <reference field="8" count="1" selected="0">
            <x v="3"/>
          </reference>
          <reference field="10" count="10">
            <x v="3"/>
            <x v="14"/>
            <x v="15"/>
            <x v="18"/>
            <x v="22"/>
            <x v="37"/>
            <x v="40"/>
            <x v="49"/>
            <x v="50"/>
            <x v="51"/>
          </reference>
        </references>
      </pivotArea>
    </format>
    <format dxfId="32">
      <pivotArea dataOnly="0" labelOnly="1" fieldPosition="0">
        <references count="2">
          <reference field="8" count="1" selected="0">
            <x v="3"/>
          </reference>
          <reference field="10" count="10" defaultSubtotal="1">
            <x v="3"/>
            <x v="14"/>
            <x v="15"/>
            <x v="18"/>
            <x v="22"/>
            <x v="37"/>
            <x v="40"/>
            <x v="49"/>
            <x v="50"/>
            <x v="51"/>
          </reference>
        </references>
      </pivotArea>
    </format>
    <format dxfId="31">
      <pivotArea dataOnly="0" labelOnly="1" fieldPosition="0">
        <references count="2">
          <reference field="8" count="1" selected="0">
            <x v="4"/>
          </reference>
          <reference field="10" count="7">
            <x v="13"/>
            <x v="17"/>
            <x v="25"/>
            <x v="52"/>
            <x v="60"/>
            <x v="71"/>
            <x v="75"/>
          </reference>
        </references>
      </pivotArea>
    </format>
    <format dxfId="30">
      <pivotArea dataOnly="0" labelOnly="1" fieldPosition="0">
        <references count="2">
          <reference field="8" count="1" selected="0">
            <x v="4"/>
          </reference>
          <reference field="10" count="7" defaultSubtotal="1">
            <x v="13"/>
            <x v="17"/>
            <x v="25"/>
            <x v="52"/>
            <x v="60"/>
            <x v="71"/>
            <x v="75"/>
          </reference>
        </references>
      </pivotArea>
    </format>
    <format dxfId="29">
      <pivotArea dataOnly="0" labelOnly="1" fieldPosition="0">
        <references count="2">
          <reference field="8" count="1" selected="0">
            <x v="5"/>
          </reference>
          <reference field="10" count="6">
            <x v="0"/>
            <x v="39"/>
            <x v="46"/>
            <x v="48"/>
            <x v="68"/>
            <x v="70"/>
          </reference>
        </references>
      </pivotArea>
    </format>
    <format dxfId="28">
      <pivotArea dataOnly="0" labelOnly="1" fieldPosition="0">
        <references count="2">
          <reference field="8" count="1" selected="0">
            <x v="5"/>
          </reference>
          <reference field="10" count="6" defaultSubtotal="1">
            <x v="0"/>
            <x v="39"/>
            <x v="46"/>
            <x v="48"/>
            <x v="68"/>
            <x v="70"/>
          </reference>
        </references>
      </pivotArea>
    </format>
    <format dxfId="27">
      <pivotArea dataOnly="0" labelOnly="1" fieldPosition="0">
        <references count="2">
          <reference field="8" count="1" selected="0">
            <x v="6"/>
          </reference>
          <reference field="10" count="5">
            <x v="33"/>
            <x v="36"/>
            <x v="56"/>
            <x v="69"/>
            <x v="72"/>
          </reference>
        </references>
      </pivotArea>
    </format>
    <format dxfId="26">
      <pivotArea dataOnly="0" labelOnly="1" fieldPosition="0">
        <references count="2">
          <reference field="8" count="1" selected="0">
            <x v="6"/>
          </reference>
          <reference field="10" count="5" defaultSubtotal="1">
            <x v="33"/>
            <x v="36"/>
            <x v="56"/>
            <x v="69"/>
            <x v="72"/>
          </reference>
        </references>
      </pivotArea>
    </format>
    <format dxfId="25">
      <pivotArea dataOnly="0" labelOnly="1" fieldPosition="0">
        <references count="2">
          <reference field="8" count="1" selected="0">
            <x v="7"/>
          </reference>
          <reference field="10" count="12">
            <x v="2"/>
            <x v="4"/>
            <x v="12"/>
            <x v="20"/>
            <x v="26"/>
            <x v="27"/>
            <x v="29"/>
            <x v="30"/>
            <x v="41"/>
            <x v="54"/>
            <x v="55"/>
            <x v="64"/>
          </reference>
        </references>
      </pivotArea>
    </format>
    <format dxfId="24">
      <pivotArea dataOnly="0" labelOnly="1" fieldPosition="0">
        <references count="2">
          <reference field="8" count="1" selected="0">
            <x v="7"/>
          </reference>
          <reference field="10" count="12" defaultSubtotal="1">
            <x v="2"/>
            <x v="4"/>
            <x v="12"/>
            <x v="20"/>
            <x v="26"/>
            <x v="27"/>
            <x v="29"/>
            <x v="30"/>
            <x v="41"/>
            <x v="54"/>
            <x v="55"/>
            <x v="64"/>
          </reference>
        </references>
      </pivotArea>
    </format>
    <format dxfId="23">
      <pivotArea dataOnly="0" labelOnly="1" outline="0" fieldPosition="0">
        <references count="1">
          <reference field="4294967294" count="1">
            <x v="0"/>
          </reference>
        </references>
      </pivotArea>
    </format>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fieldPosition="0">
        <references count="1">
          <reference field="8" count="0"/>
        </references>
      </pivotArea>
    </format>
    <format dxfId="18">
      <pivotArea dataOnly="0" labelOnly="1" fieldPosition="0">
        <references count="1">
          <reference field="8" count="0" defaultSubtotal="1"/>
        </references>
      </pivotArea>
    </format>
    <format dxfId="17">
      <pivotArea dataOnly="0" labelOnly="1" grandRow="1" outline="0" fieldPosition="0"/>
    </format>
    <format dxfId="16">
      <pivotArea dataOnly="0" labelOnly="1" fieldPosition="0">
        <references count="2">
          <reference field="8" count="1" selected="0">
            <x v="0"/>
          </reference>
          <reference field="10" count="12">
            <x v="5"/>
            <x v="6"/>
            <x v="7"/>
            <x v="11"/>
            <x v="21"/>
            <x v="28"/>
            <x v="31"/>
            <x v="32"/>
            <x v="45"/>
            <x v="53"/>
            <x v="57"/>
            <x v="65"/>
          </reference>
        </references>
      </pivotArea>
    </format>
    <format dxfId="15">
      <pivotArea dataOnly="0" labelOnly="1" fieldPosition="0">
        <references count="2">
          <reference field="8" count="1" selected="0">
            <x v="0"/>
          </reference>
          <reference field="10" count="12" defaultSubtotal="1">
            <x v="5"/>
            <x v="6"/>
            <x v="7"/>
            <x v="11"/>
            <x v="21"/>
            <x v="28"/>
            <x v="31"/>
            <x v="32"/>
            <x v="45"/>
            <x v="53"/>
            <x v="57"/>
            <x v="65"/>
          </reference>
        </references>
      </pivotArea>
    </format>
    <format dxfId="14">
      <pivotArea dataOnly="0" labelOnly="1" fieldPosition="0">
        <references count="2">
          <reference field="8" count="1" selected="0">
            <x v="1"/>
          </reference>
          <reference field="10" count="12">
            <x v="1"/>
            <x v="8"/>
            <x v="9"/>
            <x v="16"/>
            <x v="19"/>
            <x v="23"/>
            <x v="34"/>
            <x v="35"/>
            <x v="42"/>
            <x v="44"/>
            <x v="63"/>
            <x v="74"/>
          </reference>
        </references>
      </pivotArea>
    </format>
    <format dxfId="13">
      <pivotArea dataOnly="0" labelOnly="1" fieldPosition="0">
        <references count="2">
          <reference field="8" count="1" selected="0">
            <x v="1"/>
          </reference>
          <reference field="10" count="12" defaultSubtotal="1">
            <x v="1"/>
            <x v="8"/>
            <x v="9"/>
            <x v="16"/>
            <x v="19"/>
            <x v="23"/>
            <x v="34"/>
            <x v="35"/>
            <x v="42"/>
            <x v="44"/>
            <x v="63"/>
            <x v="74"/>
          </reference>
        </references>
      </pivotArea>
    </format>
    <format dxfId="12">
      <pivotArea dataOnly="0" labelOnly="1" fieldPosition="0">
        <references count="2">
          <reference field="8" count="1" selected="0">
            <x v="2"/>
          </reference>
          <reference field="10" count="13">
            <x v="10"/>
            <x v="24"/>
            <x v="38"/>
            <x v="43"/>
            <x v="47"/>
            <x v="58"/>
            <x v="59"/>
            <x v="61"/>
            <x v="62"/>
            <x v="66"/>
            <x v="67"/>
            <x v="73"/>
            <x v="76"/>
          </reference>
        </references>
      </pivotArea>
    </format>
    <format dxfId="11">
      <pivotArea dataOnly="0" labelOnly="1" fieldPosition="0">
        <references count="2">
          <reference field="8" count="1" selected="0">
            <x v="2"/>
          </reference>
          <reference field="10" count="13" defaultSubtotal="1">
            <x v="10"/>
            <x v="24"/>
            <x v="38"/>
            <x v="43"/>
            <x v="47"/>
            <x v="58"/>
            <x v="59"/>
            <x v="61"/>
            <x v="62"/>
            <x v="66"/>
            <x v="67"/>
            <x v="73"/>
            <x v="76"/>
          </reference>
        </references>
      </pivotArea>
    </format>
    <format dxfId="10">
      <pivotArea dataOnly="0" labelOnly="1" fieldPosition="0">
        <references count="2">
          <reference field="8" count="1" selected="0">
            <x v="3"/>
          </reference>
          <reference field="10" count="10">
            <x v="3"/>
            <x v="14"/>
            <x v="15"/>
            <x v="18"/>
            <x v="22"/>
            <x v="37"/>
            <x v="40"/>
            <x v="49"/>
            <x v="50"/>
            <x v="51"/>
          </reference>
        </references>
      </pivotArea>
    </format>
    <format dxfId="9">
      <pivotArea dataOnly="0" labelOnly="1" fieldPosition="0">
        <references count="2">
          <reference field="8" count="1" selected="0">
            <x v="3"/>
          </reference>
          <reference field="10" count="10" defaultSubtotal="1">
            <x v="3"/>
            <x v="14"/>
            <x v="15"/>
            <x v="18"/>
            <x v="22"/>
            <x v="37"/>
            <x v="40"/>
            <x v="49"/>
            <x v="50"/>
            <x v="51"/>
          </reference>
        </references>
      </pivotArea>
    </format>
    <format dxfId="8">
      <pivotArea dataOnly="0" labelOnly="1" fieldPosition="0">
        <references count="2">
          <reference field="8" count="1" selected="0">
            <x v="4"/>
          </reference>
          <reference field="10" count="7">
            <x v="13"/>
            <x v="17"/>
            <x v="25"/>
            <x v="52"/>
            <x v="60"/>
            <x v="71"/>
            <x v="75"/>
          </reference>
        </references>
      </pivotArea>
    </format>
    <format dxfId="7">
      <pivotArea dataOnly="0" labelOnly="1" fieldPosition="0">
        <references count="2">
          <reference field="8" count="1" selected="0">
            <x v="4"/>
          </reference>
          <reference field="10" count="7" defaultSubtotal="1">
            <x v="13"/>
            <x v="17"/>
            <x v="25"/>
            <x v="52"/>
            <x v="60"/>
            <x v="71"/>
            <x v="75"/>
          </reference>
        </references>
      </pivotArea>
    </format>
    <format dxfId="6">
      <pivotArea dataOnly="0" labelOnly="1" fieldPosition="0">
        <references count="2">
          <reference field="8" count="1" selected="0">
            <x v="5"/>
          </reference>
          <reference field="10" count="6">
            <x v="0"/>
            <x v="39"/>
            <x v="46"/>
            <x v="48"/>
            <x v="68"/>
            <x v="70"/>
          </reference>
        </references>
      </pivotArea>
    </format>
    <format dxfId="5">
      <pivotArea dataOnly="0" labelOnly="1" fieldPosition="0">
        <references count="2">
          <reference field="8" count="1" selected="0">
            <x v="5"/>
          </reference>
          <reference field="10" count="6" defaultSubtotal="1">
            <x v="0"/>
            <x v="39"/>
            <x v="46"/>
            <x v="48"/>
            <x v="68"/>
            <x v="70"/>
          </reference>
        </references>
      </pivotArea>
    </format>
    <format dxfId="4">
      <pivotArea dataOnly="0" labelOnly="1" fieldPosition="0">
        <references count="2">
          <reference field="8" count="1" selected="0">
            <x v="6"/>
          </reference>
          <reference field="10" count="5">
            <x v="33"/>
            <x v="36"/>
            <x v="56"/>
            <x v="69"/>
            <x v="72"/>
          </reference>
        </references>
      </pivotArea>
    </format>
    <format dxfId="3">
      <pivotArea dataOnly="0" labelOnly="1" fieldPosition="0">
        <references count="2">
          <reference field="8" count="1" selected="0">
            <x v="6"/>
          </reference>
          <reference field="10" count="5" defaultSubtotal="1">
            <x v="33"/>
            <x v="36"/>
            <x v="56"/>
            <x v="69"/>
            <x v="72"/>
          </reference>
        </references>
      </pivotArea>
    </format>
    <format dxfId="2">
      <pivotArea dataOnly="0" labelOnly="1" fieldPosition="0">
        <references count="2">
          <reference field="8" count="1" selected="0">
            <x v="7"/>
          </reference>
          <reference field="10" count="12">
            <x v="2"/>
            <x v="4"/>
            <x v="12"/>
            <x v="20"/>
            <x v="26"/>
            <x v="27"/>
            <x v="29"/>
            <x v="30"/>
            <x v="41"/>
            <x v="54"/>
            <x v="55"/>
            <x v="64"/>
          </reference>
        </references>
      </pivotArea>
    </format>
    <format dxfId="1">
      <pivotArea dataOnly="0" labelOnly="1" fieldPosition="0">
        <references count="2">
          <reference field="8" count="1" selected="0">
            <x v="7"/>
          </reference>
          <reference field="10" count="12" defaultSubtotal="1">
            <x v="2"/>
            <x v="4"/>
            <x v="12"/>
            <x v="20"/>
            <x v="26"/>
            <x v="27"/>
            <x v="29"/>
            <x v="30"/>
            <x v="41"/>
            <x v="54"/>
            <x v="55"/>
            <x v="64"/>
          </reference>
        </references>
      </pivotArea>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7F166B-BFF7-4F31-BAC9-4E331BAC6165}"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ProductName / Month">
  <location ref="G1:H932" firstHeaderRow="1" firstDataRow="1" firstDataCol="1"/>
  <pivotFields count="13">
    <pivotField subtotalTop="0" showAll="0"/>
    <pivotField subtotalTop="0" showAll="0"/>
    <pivotField subtotalTop="0" showAll="0"/>
    <pivotField subtotalTop="0" showAll="0"/>
    <pivotField numFmtId="2" subtotalTop="0" showAll="0"/>
    <pivotField subtotalTop="0" showAll="0"/>
    <pivotField axis="axisRow" numFmtId="14" subtotalTop="0" showAll="0">
      <items count="15">
        <item x="0"/>
        <item x="1"/>
        <item x="2"/>
        <item x="3"/>
        <item x="4"/>
        <item x="5"/>
        <item x="6"/>
        <item x="7"/>
        <item x="8"/>
        <item x="9"/>
        <item x="10"/>
        <item x="11"/>
        <item x="12"/>
        <item x="13"/>
        <item t="default"/>
      </items>
    </pivotField>
    <pivotField dataField="1" numFmtId="2" subtotalTop="0" showAll="0"/>
    <pivotField subtotalTop="0" showAll="0">
      <items count="9">
        <item x="6"/>
        <item x="4"/>
        <item x="5"/>
        <item x="0"/>
        <item x="1"/>
        <item x="7"/>
        <item x="2"/>
        <item x="3"/>
        <item t="default"/>
      </items>
    </pivotField>
    <pivotField subtotalTop="0" showAll="0"/>
    <pivotField axis="axisRow" subtotalTop="0"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6"/>
        <item x="19"/>
        <item x="22"/>
        <item x="0"/>
        <item x="36"/>
        <item x="21"/>
        <item x="8"/>
        <item x="48"/>
        <item x="47"/>
        <item x="73"/>
        <item x="44"/>
        <item x="53"/>
        <item x="24"/>
        <item x="56"/>
        <item x="1"/>
        <item x="9"/>
        <item x="27"/>
        <item x="75"/>
        <item x="54"/>
        <item x="31"/>
        <item x="29"/>
        <item x="49"/>
        <item x="39"/>
        <item x="3"/>
        <item x="55"/>
        <item x="70"/>
        <item x="32"/>
        <item x="72"/>
        <item x="46"/>
        <item x="58"/>
        <item x="69"/>
        <item t="default"/>
      </items>
    </pivotField>
    <pivotField subtotalTop="0" showAll="0">
      <items count="7">
        <item sd="0" x="0"/>
        <item sd="0" x="1"/>
        <item sd="0" x="2"/>
        <item sd="0" x="3"/>
        <item sd="0" x="4"/>
        <item sd="0" x="5"/>
        <item t="default"/>
      </items>
    </pivotField>
    <pivotField subtotalTop="0" showAll="0">
      <items count="6">
        <item sd="0" x="0"/>
        <item sd="0" x="1"/>
        <item sd="0" x="2"/>
        <item sd="0" x="3"/>
        <item sd="0" x="4"/>
        <item t="default"/>
      </items>
    </pivotField>
  </pivotFields>
  <rowFields count="2">
    <field x="10"/>
    <field x="6"/>
  </rowFields>
  <rowItems count="931">
    <i>
      <x/>
    </i>
    <i r="1">
      <x v="1"/>
    </i>
    <i r="1">
      <x v="2"/>
    </i>
    <i r="1">
      <x v="3"/>
    </i>
    <i r="1">
      <x v="4"/>
    </i>
    <i r="1">
      <x v="5"/>
    </i>
    <i r="1">
      <x v="6"/>
    </i>
    <i r="1">
      <x v="7"/>
    </i>
    <i r="1">
      <x v="8"/>
    </i>
    <i r="1">
      <x v="9"/>
    </i>
    <i r="1">
      <x v="10"/>
    </i>
    <i r="1">
      <x v="11"/>
    </i>
    <i r="1">
      <x v="12"/>
    </i>
    <i t="default">
      <x/>
    </i>
    <i>
      <x v="1"/>
    </i>
    <i r="1">
      <x v="1"/>
    </i>
    <i r="1">
      <x v="3"/>
    </i>
    <i r="1">
      <x v="4"/>
    </i>
    <i r="1">
      <x v="5"/>
    </i>
    <i r="1">
      <x v="7"/>
    </i>
    <i r="1">
      <x v="8"/>
    </i>
    <i r="1">
      <x v="10"/>
    </i>
    <i r="1">
      <x v="11"/>
    </i>
    <i r="1">
      <x v="12"/>
    </i>
    <i t="default">
      <x v="1"/>
    </i>
    <i>
      <x v="2"/>
    </i>
    <i r="1">
      <x v="1"/>
    </i>
    <i r="1">
      <x v="2"/>
    </i>
    <i r="1">
      <x v="3"/>
    </i>
    <i r="1">
      <x v="4"/>
    </i>
    <i r="1">
      <x v="5"/>
    </i>
    <i r="1">
      <x v="6"/>
    </i>
    <i r="1">
      <x v="7"/>
    </i>
    <i r="1">
      <x v="8"/>
    </i>
    <i r="1">
      <x v="9"/>
    </i>
    <i r="1">
      <x v="11"/>
    </i>
    <i r="1">
      <x v="12"/>
    </i>
    <i t="default">
      <x v="2"/>
    </i>
    <i>
      <x v="3"/>
    </i>
    <i r="1">
      <x v="1"/>
    </i>
    <i r="1">
      <x v="2"/>
    </i>
    <i r="1">
      <x v="3"/>
    </i>
    <i r="1">
      <x v="4"/>
    </i>
    <i r="1">
      <x v="5"/>
    </i>
    <i r="1">
      <x v="6"/>
    </i>
    <i r="1">
      <x v="7"/>
    </i>
    <i r="1">
      <x v="8"/>
    </i>
    <i r="1">
      <x v="9"/>
    </i>
    <i r="1">
      <x v="10"/>
    </i>
    <i r="1">
      <x v="11"/>
    </i>
    <i r="1">
      <x v="12"/>
    </i>
    <i t="default">
      <x v="3"/>
    </i>
    <i>
      <x v="4"/>
    </i>
    <i r="1">
      <x v="1"/>
    </i>
    <i r="1">
      <x v="2"/>
    </i>
    <i r="1">
      <x v="3"/>
    </i>
    <i r="1">
      <x v="4"/>
    </i>
    <i r="1">
      <x v="6"/>
    </i>
    <i r="1">
      <x v="7"/>
    </i>
    <i r="1">
      <x v="8"/>
    </i>
    <i r="1">
      <x v="9"/>
    </i>
    <i r="1">
      <x v="10"/>
    </i>
    <i r="1">
      <x v="11"/>
    </i>
    <i r="1">
      <x v="12"/>
    </i>
    <i t="default">
      <x v="4"/>
    </i>
    <i>
      <x v="5"/>
    </i>
    <i r="1">
      <x v="1"/>
    </i>
    <i r="1">
      <x v="2"/>
    </i>
    <i r="1">
      <x v="3"/>
    </i>
    <i r="1">
      <x v="4"/>
    </i>
    <i r="1">
      <x v="5"/>
    </i>
    <i r="1">
      <x v="6"/>
    </i>
    <i r="1">
      <x v="7"/>
    </i>
    <i r="1">
      <x v="8"/>
    </i>
    <i r="1">
      <x v="9"/>
    </i>
    <i r="1">
      <x v="10"/>
    </i>
    <i r="1">
      <x v="11"/>
    </i>
    <i r="1">
      <x v="12"/>
    </i>
    <i t="default">
      <x v="5"/>
    </i>
    <i>
      <x v="6"/>
    </i>
    <i r="1">
      <x v="1"/>
    </i>
    <i r="1">
      <x v="2"/>
    </i>
    <i r="1">
      <x v="3"/>
    </i>
    <i r="1">
      <x v="4"/>
    </i>
    <i r="1">
      <x v="5"/>
    </i>
    <i r="1">
      <x v="7"/>
    </i>
    <i r="1">
      <x v="8"/>
    </i>
    <i r="1">
      <x v="9"/>
    </i>
    <i r="1">
      <x v="10"/>
    </i>
    <i r="1">
      <x v="11"/>
    </i>
    <i r="1">
      <x v="12"/>
    </i>
    <i t="default">
      <x v="6"/>
    </i>
    <i>
      <x v="7"/>
    </i>
    <i r="1">
      <x v="1"/>
    </i>
    <i r="1">
      <x v="2"/>
    </i>
    <i r="1">
      <x v="3"/>
    </i>
    <i r="1">
      <x v="4"/>
    </i>
    <i r="1">
      <x v="5"/>
    </i>
    <i r="1">
      <x v="6"/>
    </i>
    <i r="1">
      <x v="7"/>
    </i>
    <i r="1">
      <x v="8"/>
    </i>
    <i r="1">
      <x v="9"/>
    </i>
    <i r="1">
      <x v="10"/>
    </i>
    <i r="1">
      <x v="11"/>
    </i>
    <i r="1">
      <x v="12"/>
    </i>
    <i t="default">
      <x v="7"/>
    </i>
    <i>
      <x v="8"/>
    </i>
    <i r="1">
      <x v="1"/>
    </i>
    <i r="1">
      <x v="2"/>
    </i>
    <i r="1">
      <x v="3"/>
    </i>
    <i r="1">
      <x v="4"/>
    </i>
    <i r="1">
      <x v="5"/>
    </i>
    <i r="1">
      <x v="7"/>
    </i>
    <i r="1">
      <x v="8"/>
    </i>
    <i r="1">
      <x v="9"/>
    </i>
    <i r="1">
      <x v="10"/>
    </i>
    <i r="1">
      <x v="11"/>
    </i>
    <i t="default">
      <x v="8"/>
    </i>
    <i>
      <x v="9"/>
    </i>
    <i r="1">
      <x v="1"/>
    </i>
    <i r="1">
      <x v="3"/>
    </i>
    <i r="1">
      <x v="4"/>
    </i>
    <i r="1">
      <x v="7"/>
    </i>
    <i r="1">
      <x v="8"/>
    </i>
    <i r="1">
      <x v="10"/>
    </i>
    <i r="1">
      <x v="12"/>
    </i>
    <i t="default">
      <x v="9"/>
    </i>
    <i>
      <x v="10"/>
    </i>
    <i r="1">
      <x v="1"/>
    </i>
    <i r="1">
      <x v="2"/>
    </i>
    <i r="1">
      <x v="4"/>
    </i>
    <i r="1">
      <x v="7"/>
    </i>
    <i r="1">
      <x v="10"/>
    </i>
    <i t="default">
      <x v="10"/>
    </i>
    <i>
      <x v="11"/>
    </i>
    <i r="1">
      <x v="1"/>
    </i>
    <i r="1">
      <x v="2"/>
    </i>
    <i r="1">
      <x v="3"/>
    </i>
    <i r="1">
      <x v="4"/>
    </i>
    <i r="1">
      <x v="5"/>
    </i>
    <i r="1">
      <x v="7"/>
    </i>
    <i r="1">
      <x v="9"/>
    </i>
    <i r="1">
      <x v="10"/>
    </i>
    <i r="1">
      <x v="11"/>
    </i>
    <i r="1">
      <x v="12"/>
    </i>
    <i t="default">
      <x v="11"/>
    </i>
    <i>
      <x v="12"/>
    </i>
    <i r="1">
      <x v="1"/>
    </i>
    <i r="1">
      <x v="2"/>
    </i>
    <i r="1">
      <x v="3"/>
    </i>
    <i r="1">
      <x v="4"/>
    </i>
    <i r="1">
      <x v="5"/>
    </i>
    <i r="1">
      <x v="7"/>
    </i>
    <i r="1">
      <x v="8"/>
    </i>
    <i r="1">
      <x v="9"/>
    </i>
    <i r="1">
      <x v="10"/>
    </i>
    <i r="1">
      <x v="12"/>
    </i>
    <i t="default">
      <x v="12"/>
    </i>
    <i>
      <x v="13"/>
    </i>
    <i r="1">
      <x v="1"/>
    </i>
    <i r="1">
      <x v="2"/>
    </i>
    <i r="1">
      <x v="3"/>
    </i>
    <i r="1">
      <x v="4"/>
    </i>
    <i r="1">
      <x v="5"/>
    </i>
    <i r="1">
      <x v="6"/>
    </i>
    <i r="1">
      <x v="7"/>
    </i>
    <i r="1">
      <x v="8"/>
    </i>
    <i r="1">
      <x v="9"/>
    </i>
    <i r="1">
      <x v="10"/>
    </i>
    <i r="1">
      <x v="11"/>
    </i>
    <i r="1">
      <x v="12"/>
    </i>
    <i t="default">
      <x v="13"/>
    </i>
    <i>
      <x v="14"/>
    </i>
    <i r="1">
      <x v="1"/>
    </i>
    <i r="1">
      <x v="2"/>
    </i>
    <i r="1">
      <x v="3"/>
    </i>
    <i r="1">
      <x v="4"/>
    </i>
    <i r="1">
      <x v="5"/>
    </i>
    <i r="1">
      <x v="7"/>
    </i>
    <i r="1">
      <x v="8"/>
    </i>
    <i r="1">
      <x v="9"/>
    </i>
    <i r="1">
      <x v="10"/>
    </i>
    <i r="1">
      <x v="11"/>
    </i>
    <i r="1">
      <x v="12"/>
    </i>
    <i t="default">
      <x v="14"/>
    </i>
    <i>
      <x v="15"/>
    </i>
    <i r="1">
      <x v="1"/>
    </i>
    <i r="1">
      <x v="2"/>
    </i>
    <i r="1">
      <x v="3"/>
    </i>
    <i r="1">
      <x v="4"/>
    </i>
    <i r="1">
      <x v="5"/>
    </i>
    <i r="1">
      <x v="6"/>
    </i>
    <i r="1">
      <x v="7"/>
    </i>
    <i r="1">
      <x v="8"/>
    </i>
    <i r="1">
      <x v="9"/>
    </i>
    <i r="1">
      <x v="10"/>
    </i>
    <i r="1">
      <x v="12"/>
    </i>
    <i t="default">
      <x v="15"/>
    </i>
    <i>
      <x v="16"/>
    </i>
    <i r="1">
      <x v="4"/>
    </i>
    <i r="1">
      <x v="6"/>
    </i>
    <i r="1">
      <x v="7"/>
    </i>
    <i r="1">
      <x v="8"/>
    </i>
    <i r="1">
      <x v="9"/>
    </i>
    <i r="1">
      <x v="10"/>
    </i>
    <i t="default">
      <x v="16"/>
    </i>
    <i>
      <x v="17"/>
    </i>
    <i r="1">
      <x v="1"/>
    </i>
    <i r="1">
      <x v="2"/>
    </i>
    <i r="1">
      <x v="3"/>
    </i>
    <i r="1">
      <x v="4"/>
    </i>
    <i r="1">
      <x v="5"/>
    </i>
    <i r="1">
      <x v="6"/>
    </i>
    <i r="1">
      <x v="7"/>
    </i>
    <i r="1">
      <x v="8"/>
    </i>
    <i r="1">
      <x v="9"/>
    </i>
    <i r="1">
      <x v="10"/>
    </i>
    <i r="1">
      <x v="11"/>
    </i>
    <i r="1">
      <x v="12"/>
    </i>
    <i t="default">
      <x v="17"/>
    </i>
    <i>
      <x v="18"/>
    </i>
    <i r="1">
      <x v="1"/>
    </i>
    <i r="1">
      <x v="2"/>
    </i>
    <i r="1">
      <x v="3"/>
    </i>
    <i r="1">
      <x v="4"/>
    </i>
    <i r="1">
      <x v="5"/>
    </i>
    <i r="1">
      <x v="6"/>
    </i>
    <i r="1">
      <x v="7"/>
    </i>
    <i r="1">
      <x v="8"/>
    </i>
    <i r="1">
      <x v="9"/>
    </i>
    <i r="1">
      <x v="10"/>
    </i>
    <i r="1">
      <x v="11"/>
    </i>
    <i r="1">
      <x v="12"/>
    </i>
    <i t="default">
      <x v="18"/>
    </i>
    <i>
      <x v="19"/>
    </i>
    <i r="1">
      <x v="1"/>
    </i>
    <i r="1">
      <x v="2"/>
    </i>
    <i r="1">
      <x v="3"/>
    </i>
    <i r="1">
      <x v="5"/>
    </i>
    <i r="1">
      <x v="8"/>
    </i>
    <i r="1">
      <x v="9"/>
    </i>
    <i r="1">
      <x v="10"/>
    </i>
    <i r="1">
      <x v="11"/>
    </i>
    <i t="default">
      <x v="19"/>
    </i>
    <i>
      <x v="20"/>
    </i>
    <i r="1">
      <x v="1"/>
    </i>
    <i r="1">
      <x v="3"/>
    </i>
    <i r="1">
      <x v="5"/>
    </i>
    <i r="1">
      <x v="7"/>
    </i>
    <i r="1">
      <x v="10"/>
    </i>
    <i t="default">
      <x v="20"/>
    </i>
    <i>
      <x v="21"/>
    </i>
    <i r="1">
      <x v="1"/>
    </i>
    <i r="1">
      <x v="2"/>
    </i>
    <i r="1">
      <x v="3"/>
    </i>
    <i r="1">
      <x v="4"/>
    </i>
    <i r="1">
      <x v="5"/>
    </i>
    <i r="1">
      <x v="6"/>
    </i>
    <i r="1">
      <x v="7"/>
    </i>
    <i r="1">
      <x v="8"/>
    </i>
    <i r="1">
      <x v="10"/>
    </i>
    <i r="1">
      <x v="11"/>
    </i>
    <i r="1">
      <x v="12"/>
    </i>
    <i t="default">
      <x v="21"/>
    </i>
    <i>
      <x v="22"/>
    </i>
    <i r="1">
      <x v="1"/>
    </i>
    <i r="1">
      <x v="2"/>
    </i>
    <i r="1">
      <x v="3"/>
    </i>
    <i r="1">
      <x v="4"/>
    </i>
    <i r="1">
      <x v="5"/>
    </i>
    <i r="1">
      <x v="6"/>
    </i>
    <i r="1">
      <x v="7"/>
    </i>
    <i r="1">
      <x v="8"/>
    </i>
    <i r="1">
      <x v="9"/>
    </i>
    <i r="1">
      <x v="10"/>
    </i>
    <i r="1">
      <x v="11"/>
    </i>
    <i r="1">
      <x v="12"/>
    </i>
    <i t="default">
      <x v="22"/>
    </i>
    <i>
      <x v="23"/>
    </i>
    <i r="1">
      <x v="1"/>
    </i>
    <i r="1">
      <x v="2"/>
    </i>
    <i r="1">
      <x v="3"/>
    </i>
    <i r="1">
      <x v="4"/>
    </i>
    <i r="1">
      <x v="5"/>
    </i>
    <i r="1">
      <x v="6"/>
    </i>
    <i r="1">
      <x v="8"/>
    </i>
    <i r="1">
      <x v="9"/>
    </i>
    <i r="1">
      <x v="10"/>
    </i>
    <i r="1">
      <x v="11"/>
    </i>
    <i r="1">
      <x v="12"/>
    </i>
    <i t="default">
      <x v="23"/>
    </i>
    <i>
      <x v="24"/>
    </i>
    <i r="1">
      <x v="1"/>
    </i>
    <i r="1">
      <x v="2"/>
    </i>
    <i r="1">
      <x v="3"/>
    </i>
    <i r="1">
      <x v="4"/>
    </i>
    <i r="1">
      <x v="5"/>
    </i>
    <i r="1">
      <x v="7"/>
    </i>
    <i r="1">
      <x v="8"/>
    </i>
    <i r="1">
      <x v="9"/>
    </i>
    <i r="1">
      <x v="10"/>
    </i>
    <i r="1">
      <x v="11"/>
    </i>
    <i r="1">
      <x v="12"/>
    </i>
    <i t="default">
      <x v="24"/>
    </i>
    <i>
      <x v="25"/>
    </i>
    <i r="1">
      <x v="1"/>
    </i>
    <i r="1">
      <x v="2"/>
    </i>
    <i r="1">
      <x v="3"/>
    </i>
    <i r="1">
      <x v="4"/>
    </i>
    <i r="1">
      <x v="5"/>
    </i>
    <i r="1">
      <x v="7"/>
    </i>
    <i r="1">
      <x v="8"/>
    </i>
    <i r="1">
      <x v="9"/>
    </i>
    <i r="1">
      <x v="12"/>
    </i>
    <i t="default">
      <x v="25"/>
    </i>
    <i>
      <x v="26"/>
    </i>
    <i r="1">
      <x v="1"/>
    </i>
    <i r="1">
      <x v="2"/>
    </i>
    <i r="1">
      <x v="3"/>
    </i>
    <i r="1">
      <x v="4"/>
    </i>
    <i r="1">
      <x v="5"/>
    </i>
    <i r="1">
      <x v="6"/>
    </i>
    <i r="1">
      <x v="7"/>
    </i>
    <i r="1">
      <x v="8"/>
    </i>
    <i r="1">
      <x v="9"/>
    </i>
    <i r="1">
      <x v="10"/>
    </i>
    <i r="1">
      <x v="11"/>
    </i>
    <i r="1">
      <x v="12"/>
    </i>
    <i t="default">
      <x v="26"/>
    </i>
    <i>
      <x v="27"/>
    </i>
    <i r="1">
      <x v="1"/>
    </i>
    <i r="1">
      <x v="2"/>
    </i>
    <i r="1">
      <x v="3"/>
    </i>
    <i r="1">
      <x v="4"/>
    </i>
    <i r="1">
      <x v="5"/>
    </i>
    <i r="1">
      <x v="6"/>
    </i>
    <i r="1">
      <x v="7"/>
    </i>
    <i r="1">
      <x v="8"/>
    </i>
    <i r="1">
      <x v="9"/>
    </i>
    <i r="1">
      <x v="10"/>
    </i>
    <i r="1">
      <x v="11"/>
    </i>
    <i r="1">
      <x v="12"/>
    </i>
    <i t="default">
      <x v="27"/>
    </i>
    <i>
      <x v="28"/>
    </i>
    <i r="1">
      <x v="1"/>
    </i>
    <i r="1">
      <x v="2"/>
    </i>
    <i r="1">
      <x v="3"/>
    </i>
    <i r="1">
      <x v="4"/>
    </i>
    <i r="1">
      <x v="5"/>
    </i>
    <i r="1">
      <x v="8"/>
    </i>
    <i r="1">
      <x v="9"/>
    </i>
    <i r="1">
      <x v="10"/>
    </i>
    <i r="1">
      <x v="12"/>
    </i>
    <i t="default">
      <x v="28"/>
    </i>
    <i>
      <x v="29"/>
    </i>
    <i r="1">
      <x v="1"/>
    </i>
    <i r="1">
      <x v="2"/>
    </i>
    <i r="1">
      <x v="3"/>
    </i>
    <i r="1">
      <x v="4"/>
    </i>
    <i r="1">
      <x v="5"/>
    </i>
    <i r="1">
      <x v="6"/>
    </i>
    <i r="1">
      <x v="7"/>
    </i>
    <i r="1">
      <x v="9"/>
    </i>
    <i r="1">
      <x v="10"/>
    </i>
    <i r="1">
      <x v="11"/>
    </i>
    <i r="1">
      <x v="12"/>
    </i>
    <i t="default">
      <x v="29"/>
    </i>
    <i>
      <x v="30"/>
    </i>
    <i r="1">
      <x v="1"/>
    </i>
    <i r="1">
      <x v="2"/>
    </i>
    <i r="1">
      <x v="3"/>
    </i>
    <i r="1">
      <x v="4"/>
    </i>
    <i r="1">
      <x v="5"/>
    </i>
    <i r="1">
      <x v="7"/>
    </i>
    <i r="1">
      <x v="8"/>
    </i>
    <i r="1">
      <x v="10"/>
    </i>
    <i r="1">
      <x v="11"/>
    </i>
    <i r="1">
      <x v="12"/>
    </i>
    <i t="default">
      <x v="30"/>
    </i>
    <i>
      <x v="31"/>
    </i>
    <i r="1">
      <x v="1"/>
    </i>
    <i r="1">
      <x v="2"/>
    </i>
    <i r="1">
      <x v="3"/>
    </i>
    <i r="1">
      <x v="4"/>
    </i>
    <i r="1">
      <x v="5"/>
    </i>
    <i r="1">
      <x v="6"/>
    </i>
    <i r="1">
      <x v="7"/>
    </i>
    <i r="1">
      <x v="8"/>
    </i>
    <i r="1">
      <x v="9"/>
    </i>
    <i r="1">
      <x v="10"/>
    </i>
    <i r="1">
      <x v="11"/>
    </i>
    <i r="1">
      <x v="12"/>
    </i>
    <i t="default">
      <x v="31"/>
    </i>
    <i>
      <x v="32"/>
    </i>
    <i r="1">
      <x v="2"/>
    </i>
    <i r="1">
      <x v="3"/>
    </i>
    <i r="1">
      <x v="4"/>
    </i>
    <i r="1">
      <x v="5"/>
    </i>
    <i r="1">
      <x v="8"/>
    </i>
    <i r="1">
      <x v="9"/>
    </i>
    <i r="1">
      <x v="12"/>
    </i>
    <i t="default">
      <x v="32"/>
    </i>
    <i>
      <x v="33"/>
    </i>
    <i r="1">
      <x v="1"/>
    </i>
    <i r="1">
      <x v="2"/>
    </i>
    <i r="1">
      <x v="3"/>
    </i>
    <i r="1">
      <x v="4"/>
    </i>
    <i r="1">
      <x v="7"/>
    </i>
    <i r="1">
      <x v="11"/>
    </i>
    <i r="1">
      <x v="12"/>
    </i>
    <i t="default">
      <x v="33"/>
    </i>
    <i>
      <x v="34"/>
    </i>
    <i r="1">
      <x v="1"/>
    </i>
    <i r="1">
      <x v="2"/>
    </i>
    <i r="1">
      <x v="4"/>
    </i>
    <i r="1">
      <x v="5"/>
    </i>
    <i r="1">
      <x v="6"/>
    </i>
    <i r="1">
      <x v="7"/>
    </i>
    <i r="1">
      <x v="8"/>
    </i>
    <i r="1">
      <x v="9"/>
    </i>
    <i r="1">
      <x v="10"/>
    </i>
    <i r="1">
      <x v="11"/>
    </i>
    <i r="1">
      <x v="12"/>
    </i>
    <i t="default">
      <x v="34"/>
    </i>
    <i>
      <x v="35"/>
    </i>
    <i r="1">
      <x v="2"/>
    </i>
    <i r="1">
      <x v="3"/>
    </i>
    <i r="1">
      <x v="4"/>
    </i>
    <i r="1">
      <x v="5"/>
    </i>
    <i r="1">
      <x v="9"/>
    </i>
    <i r="1">
      <x v="12"/>
    </i>
    <i t="default">
      <x v="35"/>
    </i>
    <i>
      <x v="36"/>
    </i>
    <i r="1">
      <x v="1"/>
    </i>
    <i r="1">
      <x v="2"/>
    </i>
    <i r="1">
      <x v="3"/>
    </i>
    <i r="1">
      <x v="4"/>
    </i>
    <i r="1">
      <x v="5"/>
    </i>
    <i r="1">
      <x v="6"/>
    </i>
    <i r="1">
      <x v="7"/>
    </i>
    <i r="1">
      <x v="8"/>
    </i>
    <i r="1">
      <x v="9"/>
    </i>
    <i r="1">
      <x v="10"/>
    </i>
    <i r="1">
      <x v="11"/>
    </i>
    <i r="1">
      <x v="12"/>
    </i>
    <i t="default">
      <x v="36"/>
    </i>
    <i>
      <x v="37"/>
    </i>
    <i r="1">
      <x v="1"/>
    </i>
    <i r="1">
      <x v="2"/>
    </i>
    <i r="1">
      <x v="3"/>
    </i>
    <i r="1">
      <x v="4"/>
    </i>
    <i r="1">
      <x v="5"/>
    </i>
    <i r="1">
      <x v="6"/>
    </i>
    <i r="1">
      <x v="7"/>
    </i>
    <i r="1">
      <x v="9"/>
    </i>
    <i r="1">
      <x v="10"/>
    </i>
    <i r="1">
      <x v="11"/>
    </i>
    <i t="default">
      <x v="37"/>
    </i>
    <i>
      <x v="38"/>
    </i>
    <i r="1">
      <x v="1"/>
    </i>
    <i r="1">
      <x v="2"/>
    </i>
    <i r="1">
      <x v="3"/>
    </i>
    <i r="1">
      <x v="4"/>
    </i>
    <i r="1">
      <x v="5"/>
    </i>
    <i r="1">
      <x v="7"/>
    </i>
    <i r="1">
      <x v="8"/>
    </i>
    <i r="1">
      <x v="9"/>
    </i>
    <i r="1">
      <x v="11"/>
    </i>
    <i r="1">
      <x v="12"/>
    </i>
    <i t="default">
      <x v="38"/>
    </i>
    <i>
      <x v="39"/>
    </i>
    <i r="1">
      <x v="1"/>
    </i>
    <i r="1">
      <x v="4"/>
    </i>
    <i r="1">
      <x v="9"/>
    </i>
    <i r="1">
      <x v="10"/>
    </i>
    <i t="default">
      <x v="39"/>
    </i>
    <i>
      <x v="40"/>
    </i>
    <i r="1">
      <x v="1"/>
    </i>
    <i r="1">
      <x v="2"/>
    </i>
    <i r="1">
      <x v="3"/>
    </i>
    <i r="1">
      <x v="4"/>
    </i>
    <i r="1">
      <x v="5"/>
    </i>
    <i r="1">
      <x v="6"/>
    </i>
    <i r="1">
      <x v="7"/>
    </i>
    <i r="1">
      <x v="8"/>
    </i>
    <i r="1">
      <x v="9"/>
    </i>
    <i r="1">
      <x v="10"/>
    </i>
    <i r="1">
      <x v="11"/>
    </i>
    <i r="1">
      <x v="12"/>
    </i>
    <i t="default">
      <x v="40"/>
    </i>
    <i>
      <x v="41"/>
    </i>
    <i r="1">
      <x v="1"/>
    </i>
    <i r="1">
      <x v="2"/>
    </i>
    <i r="1">
      <x v="3"/>
    </i>
    <i r="1">
      <x v="4"/>
    </i>
    <i r="1">
      <x v="5"/>
    </i>
    <i r="1">
      <x v="6"/>
    </i>
    <i r="1">
      <x v="7"/>
    </i>
    <i r="1">
      <x v="8"/>
    </i>
    <i r="1">
      <x v="9"/>
    </i>
    <i r="1">
      <x v="10"/>
    </i>
    <i r="1">
      <x v="11"/>
    </i>
    <i r="1">
      <x v="12"/>
    </i>
    <i t="default">
      <x v="41"/>
    </i>
    <i>
      <x v="42"/>
    </i>
    <i r="1">
      <x v="1"/>
    </i>
    <i r="1">
      <x v="2"/>
    </i>
    <i r="1">
      <x v="3"/>
    </i>
    <i r="1">
      <x v="4"/>
    </i>
    <i r="1">
      <x v="5"/>
    </i>
    <i r="1">
      <x v="10"/>
    </i>
    <i r="1">
      <x v="11"/>
    </i>
    <i r="1">
      <x v="12"/>
    </i>
    <i t="default">
      <x v="42"/>
    </i>
    <i>
      <x v="43"/>
    </i>
    <i r="1">
      <x v="1"/>
    </i>
    <i r="1">
      <x v="2"/>
    </i>
    <i r="1">
      <x v="3"/>
    </i>
    <i r="1">
      <x v="4"/>
    </i>
    <i r="1">
      <x v="10"/>
    </i>
    <i r="1">
      <x v="11"/>
    </i>
    <i r="1">
      <x v="12"/>
    </i>
    <i t="default">
      <x v="43"/>
    </i>
    <i>
      <x v="44"/>
    </i>
    <i r="1">
      <x v="1"/>
    </i>
    <i r="1">
      <x v="2"/>
    </i>
    <i r="1">
      <x v="3"/>
    </i>
    <i r="1">
      <x v="4"/>
    </i>
    <i r="1">
      <x v="5"/>
    </i>
    <i r="1">
      <x v="6"/>
    </i>
    <i r="1">
      <x v="7"/>
    </i>
    <i r="1">
      <x v="8"/>
    </i>
    <i r="1">
      <x v="9"/>
    </i>
    <i r="1">
      <x v="10"/>
    </i>
    <i r="1">
      <x v="11"/>
    </i>
    <i r="1">
      <x v="12"/>
    </i>
    <i t="default">
      <x v="44"/>
    </i>
    <i>
      <x v="45"/>
    </i>
    <i r="1">
      <x v="1"/>
    </i>
    <i r="1">
      <x v="2"/>
    </i>
    <i r="1">
      <x v="3"/>
    </i>
    <i r="1">
      <x v="4"/>
    </i>
    <i r="1">
      <x v="5"/>
    </i>
    <i r="1">
      <x v="7"/>
    </i>
    <i r="1">
      <x v="8"/>
    </i>
    <i r="1">
      <x v="9"/>
    </i>
    <i r="1">
      <x v="10"/>
    </i>
    <i r="1">
      <x v="11"/>
    </i>
    <i r="1">
      <x v="12"/>
    </i>
    <i t="default">
      <x v="45"/>
    </i>
    <i>
      <x v="46"/>
    </i>
    <i r="1">
      <x v="1"/>
    </i>
    <i r="1">
      <x v="2"/>
    </i>
    <i r="1">
      <x v="3"/>
    </i>
    <i r="1">
      <x v="4"/>
    </i>
    <i r="1">
      <x v="5"/>
    </i>
    <i r="1">
      <x v="6"/>
    </i>
    <i r="1">
      <x v="7"/>
    </i>
    <i r="1">
      <x v="8"/>
    </i>
    <i r="1">
      <x v="9"/>
    </i>
    <i r="1">
      <x v="10"/>
    </i>
    <i r="1">
      <x v="11"/>
    </i>
    <i r="1">
      <x v="12"/>
    </i>
    <i t="default">
      <x v="46"/>
    </i>
    <i>
      <x v="47"/>
    </i>
    <i r="1">
      <x v="1"/>
    </i>
    <i r="1">
      <x v="2"/>
    </i>
    <i r="1">
      <x v="3"/>
    </i>
    <i r="1">
      <x v="4"/>
    </i>
    <i r="1">
      <x v="5"/>
    </i>
    <i r="1">
      <x v="6"/>
    </i>
    <i r="1">
      <x v="7"/>
    </i>
    <i r="1">
      <x v="8"/>
    </i>
    <i r="1">
      <x v="9"/>
    </i>
    <i r="1">
      <x v="10"/>
    </i>
    <i r="1">
      <x v="11"/>
    </i>
    <i r="1">
      <x v="12"/>
    </i>
    <i t="default">
      <x v="47"/>
    </i>
    <i>
      <x v="48"/>
    </i>
    <i r="1">
      <x v="1"/>
    </i>
    <i r="1">
      <x v="2"/>
    </i>
    <i r="1">
      <x v="3"/>
    </i>
    <i r="1">
      <x v="4"/>
    </i>
    <i r="1">
      <x v="5"/>
    </i>
    <i r="1">
      <x v="6"/>
    </i>
    <i r="1">
      <x v="7"/>
    </i>
    <i r="1">
      <x v="8"/>
    </i>
    <i r="1">
      <x v="9"/>
    </i>
    <i r="1">
      <x v="10"/>
    </i>
    <i r="1">
      <x v="12"/>
    </i>
    <i t="default">
      <x v="48"/>
    </i>
    <i>
      <x v="49"/>
    </i>
    <i r="1">
      <x v="1"/>
    </i>
    <i r="1">
      <x v="2"/>
    </i>
    <i r="1">
      <x v="3"/>
    </i>
    <i r="1">
      <x v="4"/>
    </i>
    <i r="1">
      <x v="5"/>
    </i>
    <i r="1">
      <x v="6"/>
    </i>
    <i r="1">
      <x v="7"/>
    </i>
    <i r="1">
      <x v="8"/>
    </i>
    <i r="1">
      <x v="9"/>
    </i>
    <i r="1">
      <x v="10"/>
    </i>
    <i r="1">
      <x v="11"/>
    </i>
    <i r="1">
      <x v="12"/>
    </i>
    <i t="default">
      <x v="49"/>
    </i>
    <i>
      <x v="50"/>
    </i>
    <i r="1">
      <x v="2"/>
    </i>
    <i r="1">
      <x v="3"/>
    </i>
    <i r="1">
      <x v="4"/>
    </i>
    <i r="1">
      <x v="5"/>
    </i>
    <i r="1">
      <x v="7"/>
    </i>
    <i r="1">
      <x v="8"/>
    </i>
    <i r="1">
      <x v="9"/>
    </i>
    <i r="1">
      <x v="10"/>
    </i>
    <i t="default">
      <x v="50"/>
    </i>
    <i>
      <x v="51"/>
    </i>
    <i r="1">
      <x v="1"/>
    </i>
    <i r="1">
      <x v="2"/>
    </i>
    <i r="1">
      <x v="3"/>
    </i>
    <i r="1">
      <x v="4"/>
    </i>
    <i r="1">
      <x v="5"/>
    </i>
    <i r="1">
      <x v="6"/>
    </i>
    <i r="1">
      <x v="7"/>
    </i>
    <i r="1">
      <x v="8"/>
    </i>
    <i r="1">
      <x v="9"/>
    </i>
    <i r="1">
      <x v="10"/>
    </i>
    <i r="1">
      <x v="11"/>
    </i>
    <i r="1">
      <x v="12"/>
    </i>
    <i t="default">
      <x v="51"/>
    </i>
    <i>
      <x v="52"/>
    </i>
    <i r="1">
      <x v="1"/>
    </i>
    <i r="1">
      <x v="2"/>
    </i>
    <i r="1">
      <x v="3"/>
    </i>
    <i r="1">
      <x v="4"/>
    </i>
    <i r="1">
      <x v="5"/>
    </i>
    <i r="1">
      <x v="6"/>
    </i>
    <i r="1">
      <x v="7"/>
    </i>
    <i r="1">
      <x v="8"/>
    </i>
    <i r="1">
      <x v="10"/>
    </i>
    <i r="1">
      <x v="11"/>
    </i>
    <i t="default">
      <x v="52"/>
    </i>
    <i>
      <x v="53"/>
    </i>
    <i r="1">
      <x v="1"/>
    </i>
    <i r="1">
      <x v="2"/>
    </i>
    <i r="1">
      <x v="3"/>
    </i>
    <i r="1">
      <x v="4"/>
    </i>
    <i r="1">
      <x v="5"/>
    </i>
    <i r="1">
      <x v="6"/>
    </i>
    <i r="1">
      <x v="7"/>
    </i>
    <i r="1">
      <x v="8"/>
    </i>
    <i r="1">
      <x v="9"/>
    </i>
    <i r="1">
      <x v="10"/>
    </i>
    <i r="1">
      <x v="11"/>
    </i>
    <i r="1">
      <x v="12"/>
    </i>
    <i t="default">
      <x v="53"/>
    </i>
    <i>
      <x v="54"/>
    </i>
    <i r="1">
      <x v="1"/>
    </i>
    <i r="1">
      <x v="2"/>
    </i>
    <i r="1">
      <x v="3"/>
    </i>
    <i r="1">
      <x v="5"/>
    </i>
    <i r="1">
      <x v="6"/>
    </i>
    <i r="1">
      <x v="7"/>
    </i>
    <i r="1">
      <x v="8"/>
    </i>
    <i r="1">
      <x v="9"/>
    </i>
    <i r="1">
      <x v="10"/>
    </i>
    <i r="1">
      <x v="11"/>
    </i>
    <i t="default">
      <x v="54"/>
    </i>
    <i>
      <x v="55"/>
    </i>
    <i r="1">
      <x v="1"/>
    </i>
    <i r="1">
      <x v="2"/>
    </i>
    <i r="1">
      <x v="3"/>
    </i>
    <i r="1">
      <x v="4"/>
    </i>
    <i r="1">
      <x v="5"/>
    </i>
    <i r="1">
      <x v="8"/>
    </i>
    <i r="1">
      <x v="10"/>
    </i>
    <i r="1">
      <x v="11"/>
    </i>
    <i r="1">
      <x v="12"/>
    </i>
    <i t="default">
      <x v="55"/>
    </i>
    <i>
      <x v="56"/>
    </i>
    <i r="1">
      <x v="1"/>
    </i>
    <i r="1">
      <x v="2"/>
    </i>
    <i r="1">
      <x v="3"/>
    </i>
    <i r="1">
      <x v="4"/>
    </i>
    <i r="1">
      <x v="5"/>
    </i>
    <i r="1">
      <x v="8"/>
    </i>
    <i r="1">
      <x v="9"/>
    </i>
    <i r="1">
      <x v="10"/>
    </i>
    <i r="1">
      <x v="11"/>
    </i>
    <i r="1">
      <x v="12"/>
    </i>
    <i t="default">
      <x v="56"/>
    </i>
    <i>
      <x v="57"/>
    </i>
    <i r="1">
      <x v="2"/>
    </i>
    <i r="1">
      <x v="3"/>
    </i>
    <i r="1">
      <x v="4"/>
    </i>
    <i r="1">
      <x v="5"/>
    </i>
    <i r="1">
      <x v="6"/>
    </i>
    <i r="1">
      <x v="8"/>
    </i>
    <i r="1">
      <x v="9"/>
    </i>
    <i r="1">
      <x v="10"/>
    </i>
    <i r="1">
      <x v="11"/>
    </i>
    <i r="1">
      <x v="12"/>
    </i>
    <i t="default">
      <x v="57"/>
    </i>
    <i>
      <x v="58"/>
    </i>
    <i r="1">
      <x v="1"/>
    </i>
    <i r="1">
      <x v="2"/>
    </i>
    <i r="1">
      <x v="3"/>
    </i>
    <i r="1">
      <x v="4"/>
    </i>
    <i r="1">
      <x v="7"/>
    </i>
    <i r="1">
      <x v="8"/>
    </i>
    <i r="1">
      <x v="12"/>
    </i>
    <i t="default">
      <x v="58"/>
    </i>
    <i>
      <x v="59"/>
    </i>
    <i r="1">
      <x v="1"/>
    </i>
    <i r="1">
      <x v="2"/>
    </i>
    <i r="1">
      <x v="3"/>
    </i>
    <i r="1">
      <x v="4"/>
    </i>
    <i r="1">
      <x v="5"/>
    </i>
    <i r="1">
      <x v="8"/>
    </i>
    <i r="1">
      <x v="9"/>
    </i>
    <i r="1">
      <x v="10"/>
    </i>
    <i r="1">
      <x v="11"/>
    </i>
    <i r="1">
      <x v="12"/>
    </i>
    <i t="default">
      <x v="59"/>
    </i>
    <i>
      <x v="60"/>
    </i>
    <i r="1">
      <x v="1"/>
    </i>
    <i r="1">
      <x v="2"/>
    </i>
    <i r="1">
      <x v="3"/>
    </i>
    <i r="1">
      <x v="4"/>
    </i>
    <i r="1">
      <x v="6"/>
    </i>
    <i r="1">
      <x v="7"/>
    </i>
    <i r="1">
      <x v="8"/>
    </i>
    <i r="1">
      <x v="9"/>
    </i>
    <i r="1">
      <x v="10"/>
    </i>
    <i r="1">
      <x v="11"/>
    </i>
    <i r="1">
      <x v="12"/>
    </i>
    <i t="default">
      <x v="60"/>
    </i>
    <i>
      <x v="61"/>
    </i>
    <i r="1">
      <x v="1"/>
    </i>
    <i r="1">
      <x v="2"/>
    </i>
    <i r="1">
      <x v="3"/>
    </i>
    <i r="1">
      <x v="4"/>
    </i>
    <i r="1">
      <x v="5"/>
    </i>
    <i r="1">
      <x v="7"/>
    </i>
    <i r="1">
      <x v="8"/>
    </i>
    <i r="1">
      <x v="9"/>
    </i>
    <i r="1">
      <x v="12"/>
    </i>
    <i t="default">
      <x v="61"/>
    </i>
    <i>
      <x v="62"/>
    </i>
    <i r="1">
      <x v="1"/>
    </i>
    <i r="1">
      <x v="2"/>
    </i>
    <i r="1">
      <x v="3"/>
    </i>
    <i r="1">
      <x v="4"/>
    </i>
    <i r="1">
      <x v="5"/>
    </i>
    <i r="1">
      <x v="7"/>
    </i>
    <i r="1">
      <x v="8"/>
    </i>
    <i r="1">
      <x v="9"/>
    </i>
    <i r="1">
      <x v="10"/>
    </i>
    <i r="1">
      <x v="11"/>
    </i>
    <i r="1">
      <x v="12"/>
    </i>
    <i t="default">
      <x v="62"/>
    </i>
    <i>
      <x v="63"/>
    </i>
    <i r="1">
      <x v="1"/>
    </i>
    <i r="1">
      <x v="2"/>
    </i>
    <i r="1">
      <x v="3"/>
    </i>
    <i r="1">
      <x v="4"/>
    </i>
    <i r="1">
      <x v="5"/>
    </i>
    <i r="1">
      <x v="7"/>
    </i>
    <i r="1">
      <x v="8"/>
    </i>
    <i r="1">
      <x v="10"/>
    </i>
    <i r="1">
      <x v="11"/>
    </i>
    <i r="1">
      <x v="12"/>
    </i>
    <i t="default">
      <x v="63"/>
    </i>
    <i>
      <x v="64"/>
    </i>
    <i r="1">
      <x v="1"/>
    </i>
    <i r="1">
      <x v="2"/>
    </i>
    <i r="1">
      <x v="3"/>
    </i>
    <i r="1">
      <x v="4"/>
    </i>
    <i r="1">
      <x v="5"/>
    </i>
    <i r="1">
      <x v="8"/>
    </i>
    <i r="1">
      <x v="9"/>
    </i>
    <i r="1">
      <x v="10"/>
    </i>
    <i r="1">
      <x v="11"/>
    </i>
    <i r="1">
      <x v="12"/>
    </i>
    <i t="default">
      <x v="64"/>
    </i>
    <i>
      <x v="65"/>
    </i>
    <i r="1">
      <x v="1"/>
    </i>
    <i r="1">
      <x v="2"/>
    </i>
    <i r="1">
      <x v="3"/>
    </i>
    <i r="1">
      <x v="4"/>
    </i>
    <i r="1">
      <x v="5"/>
    </i>
    <i r="1">
      <x v="6"/>
    </i>
    <i r="1">
      <x v="7"/>
    </i>
    <i r="1">
      <x v="8"/>
    </i>
    <i r="1">
      <x v="10"/>
    </i>
    <i r="1">
      <x v="11"/>
    </i>
    <i r="1">
      <x v="12"/>
    </i>
    <i t="default">
      <x v="65"/>
    </i>
    <i>
      <x v="66"/>
    </i>
    <i r="1">
      <x v="1"/>
    </i>
    <i r="1">
      <x v="2"/>
    </i>
    <i r="1">
      <x v="3"/>
    </i>
    <i r="1">
      <x v="4"/>
    </i>
    <i r="1">
      <x v="5"/>
    </i>
    <i r="1">
      <x v="6"/>
    </i>
    <i r="1">
      <x v="7"/>
    </i>
    <i r="1">
      <x v="8"/>
    </i>
    <i r="1">
      <x v="9"/>
    </i>
    <i r="1">
      <x v="10"/>
    </i>
    <i r="1">
      <x v="11"/>
    </i>
    <i r="1">
      <x v="12"/>
    </i>
    <i t="default">
      <x v="66"/>
    </i>
    <i>
      <x v="67"/>
    </i>
    <i r="1">
      <x v="1"/>
    </i>
    <i r="1">
      <x v="2"/>
    </i>
    <i r="1">
      <x v="3"/>
    </i>
    <i r="1">
      <x v="4"/>
    </i>
    <i r="1">
      <x v="5"/>
    </i>
    <i r="1">
      <x v="6"/>
    </i>
    <i r="1">
      <x v="8"/>
    </i>
    <i r="1">
      <x v="9"/>
    </i>
    <i r="1">
      <x v="10"/>
    </i>
    <i r="1">
      <x v="11"/>
    </i>
    <i r="1">
      <x v="12"/>
    </i>
    <i t="default">
      <x v="67"/>
    </i>
    <i>
      <x v="68"/>
    </i>
    <i r="1">
      <x v="1"/>
    </i>
    <i r="1">
      <x v="2"/>
    </i>
    <i r="1">
      <x v="3"/>
    </i>
    <i r="1">
      <x v="4"/>
    </i>
    <i r="1">
      <x v="6"/>
    </i>
    <i r="1">
      <x v="7"/>
    </i>
    <i r="1">
      <x v="8"/>
    </i>
    <i r="1">
      <x v="9"/>
    </i>
    <i r="1">
      <x v="10"/>
    </i>
    <i r="1">
      <x v="11"/>
    </i>
    <i r="1">
      <x v="12"/>
    </i>
    <i t="default">
      <x v="68"/>
    </i>
    <i>
      <x v="69"/>
    </i>
    <i r="1">
      <x v="1"/>
    </i>
    <i r="1">
      <x v="3"/>
    </i>
    <i r="1">
      <x v="4"/>
    </i>
    <i r="1">
      <x v="5"/>
    </i>
    <i r="1">
      <x v="6"/>
    </i>
    <i r="1">
      <x v="7"/>
    </i>
    <i r="1">
      <x v="8"/>
    </i>
    <i r="1">
      <x v="9"/>
    </i>
    <i r="1">
      <x v="10"/>
    </i>
    <i r="1">
      <x v="11"/>
    </i>
    <i r="1">
      <x v="12"/>
    </i>
    <i t="default">
      <x v="69"/>
    </i>
    <i>
      <x v="70"/>
    </i>
    <i r="1">
      <x v="1"/>
    </i>
    <i r="1">
      <x v="2"/>
    </i>
    <i r="1">
      <x v="3"/>
    </i>
    <i r="1">
      <x v="4"/>
    </i>
    <i r="1">
      <x v="5"/>
    </i>
    <i r="1">
      <x v="7"/>
    </i>
    <i r="1">
      <x v="8"/>
    </i>
    <i r="1">
      <x v="9"/>
    </i>
    <i r="1">
      <x v="10"/>
    </i>
    <i r="1">
      <x v="11"/>
    </i>
    <i r="1">
      <x v="12"/>
    </i>
    <i t="default">
      <x v="70"/>
    </i>
    <i>
      <x v="71"/>
    </i>
    <i r="1">
      <x v="1"/>
    </i>
    <i r="1">
      <x v="2"/>
    </i>
    <i r="1">
      <x v="3"/>
    </i>
    <i r="1">
      <x v="4"/>
    </i>
    <i r="1">
      <x v="5"/>
    </i>
    <i r="1">
      <x v="8"/>
    </i>
    <i r="1">
      <x v="9"/>
    </i>
    <i r="1">
      <x v="10"/>
    </i>
    <i r="1">
      <x v="11"/>
    </i>
    <i r="1">
      <x v="12"/>
    </i>
    <i t="default">
      <x v="71"/>
    </i>
    <i>
      <x v="72"/>
    </i>
    <i r="1">
      <x v="1"/>
    </i>
    <i r="1">
      <x v="2"/>
    </i>
    <i r="1">
      <x v="3"/>
    </i>
    <i r="1">
      <x v="4"/>
    </i>
    <i r="1">
      <x v="5"/>
    </i>
    <i r="1">
      <x v="7"/>
    </i>
    <i r="1">
      <x v="8"/>
    </i>
    <i r="1">
      <x v="10"/>
    </i>
    <i r="1">
      <x v="12"/>
    </i>
    <i t="default">
      <x v="72"/>
    </i>
    <i>
      <x v="73"/>
    </i>
    <i r="1">
      <x v="1"/>
    </i>
    <i r="1">
      <x v="3"/>
    </i>
    <i r="1">
      <x v="5"/>
    </i>
    <i r="1">
      <x v="8"/>
    </i>
    <i r="1">
      <x v="11"/>
    </i>
    <i r="1">
      <x v="12"/>
    </i>
    <i t="default">
      <x v="73"/>
    </i>
    <i>
      <x v="74"/>
    </i>
    <i r="1">
      <x v="1"/>
    </i>
    <i r="1">
      <x v="3"/>
    </i>
    <i r="1">
      <x v="4"/>
    </i>
    <i r="1">
      <x v="6"/>
    </i>
    <i r="1">
      <x v="7"/>
    </i>
    <i r="1">
      <x v="8"/>
    </i>
    <i r="1">
      <x v="10"/>
    </i>
    <i r="1">
      <x v="11"/>
    </i>
    <i r="1">
      <x v="12"/>
    </i>
    <i t="default">
      <x v="74"/>
    </i>
    <i>
      <x v="75"/>
    </i>
    <i r="1">
      <x v="1"/>
    </i>
    <i r="1">
      <x v="2"/>
    </i>
    <i r="1">
      <x v="3"/>
    </i>
    <i r="1">
      <x v="4"/>
    </i>
    <i r="1">
      <x v="5"/>
    </i>
    <i r="1">
      <x v="6"/>
    </i>
    <i r="1">
      <x v="8"/>
    </i>
    <i r="1">
      <x v="9"/>
    </i>
    <i r="1">
      <x v="10"/>
    </i>
    <i r="1">
      <x v="11"/>
    </i>
    <i r="1">
      <x v="12"/>
    </i>
    <i t="default">
      <x v="75"/>
    </i>
    <i>
      <x v="76"/>
    </i>
    <i r="1">
      <x v="1"/>
    </i>
    <i r="1">
      <x v="2"/>
    </i>
    <i r="1">
      <x v="3"/>
    </i>
    <i r="1">
      <x v="4"/>
    </i>
    <i r="1">
      <x v="6"/>
    </i>
    <i r="1">
      <x v="7"/>
    </i>
    <i r="1">
      <x v="9"/>
    </i>
    <i r="1">
      <x v="10"/>
    </i>
    <i r="1">
      <x v="11"/>
    </i>
    <i r="1">
      <x v="12"/>
    </i>
    <i t="default">
      <x v="76"/>
    </i>
    <i t="grand">
      <x/>
    </i>
  </rowItems>
  <colItems count="1">
    <i/>
  </colItems>
  <dataFields count="1">
    <dataField name="Sum of Sales Amount" fld="7" baseField="6" baseItem="7" numFmtId="10">
      <extLst>
        <ext xmlns:x14="http://schemas.microsoft.com/office/spreadsheetml/2009/9/main" uri="{E15A36E0-9728-4e99-A89B-3F7291B0FE68}">
          <x14:dataField pivotShowAs="percentOfParentRow"/>
        </ext>
      </extLst>
    </dataField>
  </dataFields>
  <formats count="13">
    <format dxfId="58">
      <pivotArea type="all" dataOnly="0" outline="0" fieldPosition="0"/>
    </format>
    <format dxfId="57">
      <pivotArea outline="0" collapsedLevelsAreSubtotals="1" fieldPosition="0"/>
    </format>
    <format dxfId="56">
      <pivotArea field="8" type="button" dataOnly="0" labelOnly="1" outline="0"/>
    </format>
    <format dxfId="55">
      <pivotArea dataOnly="0" labelOnly="1" grandRow="1" outline="0" fieldPosition="0"/>
    </format>
    <format dxfId="54">
      <pivotArea dataOnly="0" labelOnly="1" outline="0" fieldPosition="0">
        <references count="1">
          <reference field="4294967294" count="1">
            <x v="0"/>
          </reference>
        </references>
      </pivotArea>
    </format>
    <format dxfId="53">
      <pivotArea type="all" dataOnly="0" outline="0" fieldPosition="0"/>
    </format>
    <format dxfId="52">
      <pivotArea outline="0" collapsedLevelsAreSubtotals="1" fieldPosition="0"/>
    </format>
    <format dxfId="51">
      <pivotArea field="8" type="button" dataOnly="0" labelOnly="1" outline="0"/>
    </format>
    <format dxfId="50">
      <pivotArea dataOnly="0" labelOnly="1" grandRow="1" outline="0" fieldPosition="0"/>
    </format>
    <format dxfId="49">
      <pivotArea dataOnly="0" labelOnly="1" outline="0" fieldPosition="0">
        <references count="1">
          <reference field="4294967294" count="1">
            <x v="0"/>
          </reference>
        </references>
      </pivotArea>
    </format>
    <format dxfId="48">
      <pivotArea outline="0" collapsedLevelsAreSubtotals="1" fieldPosition="0">
        <references count="1">
          <reference field="4294967294" count="1" selected="0">
            <x v="0"/>
          </reference>
        </references>
      </pivotArea>
    </format>
    <format dxfId="47">
      <pivotArea dataOnly="0" labelOnly="1" outline="0" fieldPosition="0">
        <references count="1">
          <reference field="4294967294" count="1">
            <x v="0"/>
          </reference>
        </references>
      </pivotArea>
    </format>
    <format dxfId="4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DEF306-0B7C-434C-8D3A-565F45ADD7D2}"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eason / ProductName">
  <location ref="D1:E461" firstHeaderRow="1" firstDataRow="1" firstDataCol="1"/>
  <pivotFields count="13">
    <pivotField subtotalTop="0" showAll="0"/>
    <pivotField subtotalTop="0" showAll="0">
      <items count="78">
        <item x="52"/>
        <item x="18"/>
        <item x="57"/>
        <item x="62"/>
        <item x="25"/>
        <item x="63"/>
        <item x="32"/>
        <item x="71"/>
        <item x="76"/>
        <item x="41"/>
        <item x="0"/>
        <item x="36"/>
        <item x="43"/>
        <item x="3"/>
        <item x="50"/>
        <item x="19"/>
        <item x="35"/>
        <item x="59"/>
        <item x="49"/>
        <item x="9"/>
        <item x="27"/>
        <item x="7"/>
        <item x="70"/>
        <item x="15"/>
        <item x="66"/>
        <item x="68"/>
        <item x="24"/>
        <item x="44"/>
        <item x="39"/>
        <item x="34"/>
        <item x="12"/>
        <item x="26"/>
        <item x="10"/>
        <item x="53"/>
        <item x="31"/>
        <item x="20"/>
        <item x="28"/>
        <item x="67"/>
        <item x="13"/>
        <item x="37"/>
        <item x="5"/>
        <item x="1"/>
        <item x="40"/>
        <item x="45"/>
        <item x="73"/>
        <item x="54"/>
        <item x="69"/>
        <item x="74"/>
        <item x="14"/>
        <item x="72"/>
        <item x="4"/>
        <item x="65"/>
        <item x="22"/>
        <item x="55"/>
        <item x="16"/>
        <item x="33"/>
        <item x="8"/>
        <item x="64"/>
        <item x="21"/>
        <item x="11"/>
        <item x="75"/>
        <item x="29"/>
        <item x="46"/>
        <item x="58"/>
        <item x="6"/>
        <item x="61"/>
        <item x="51"/>
        <item x="56"/>
        <item x="60"/>
        <item x="30"/>
        <item x="42"/>
        <item x="2"/>
        <item x="47"/>
        <item x="17"/>
        <item x="48"/>
        <item x="38"/>
        <item x="23"/>
        <item t="default"/>
      </items>
    </pivotField>
    <pivotField subtotalTop="0" showAll="0"/>
    <pivotField subtotalTop="0" showAll="0"/>
    <pivotField numFmtId="2" subtotalTop="0" showAll="0"/>
    <pivotField subtotalTop="0" showAll="0"/>
    <pivotField numFmtId="14" subtotalTop="0" showAll="0">
      <items count="15">
        <item x="0"/>
        <item x="1"/>
        <item x="2"/>
        <item x="3"/>
        <item x="4"/>
        <item x="5"/>
        <item x="6"/>
        <item x="7"/>
        <item x="8"/>
        <item x="9"/>
        <item x="10"/>
        <item x="11"/>
        <item x="12"/>
        <item x="13"/>
        <item t="default"/>
      </items>
    </pivotField>
    <pivotField dataField="1" numFmtId="2" subtotalTop="0" showAll="0"/>
    <pivotField subtotalTop="0" showAll="0">
      <items count="9">
        <item x="6"/>
        <item x="4"/>
        <item x="5"/>
        <item x="0"/>
        <item x="1"/>
        <item x="7"/>
        <item x="2"/>
        <item x="3"/>
        <item t="default"/>
      </items>
    </pivotField>
    <pivotField axis="axisRow" subtotalTop="0" showAll="0">
      <items count="5">
        <item x="1"/>
        <item x="3"/>
        <item x="0"/>
        <item x="2"/>
        <item t="default"/>
      </items>
    </pivotField>
    <pivotField axis="axisRow" subtotalTop="0" showAll="0">
      <items count="78">
        <item x="35"/>
        <item x="57"/>
        <item x="37"/>
        <item x="11"/>
        <item x="59"/>
        <item x="52"/>
        <item x="18"/>
        <item x="13"/>
        <item x="62"/>
        <item x="25"/>
        <item x="74"/>
        <item x="67"/>
        <item x="64"/>
        <item x="65"/>
        <item x="42"/>
        <item x="10"/>
        <item x="50"/>
        <item x="33"/>
        <item x="12"/>
        <item x="63"/>
        <item x="28"/>
        <item x="15"/>
        <item x="60"/>
        <item x="45"/>
        <item x="68"/>
        <item x="7"/>
        <item x="41"/>
        <item x="20"/>
        <item x="40"/>
        <item x="5"/>
        <item x="43"/>
        <item x="38"/>
        <item x="51"/>
        <item x="17"/>
        <item x="6"/>
        <item x="61"/>
        <item x="4"/>
        <item x="26"/>
        <item x="14"/>
        <item x="76"/>
        <item x="2"/>
        <item x="34"/>
        <item x="71"/>
        <item x="66"/>
        <item x="23"/>
        <item x="30"/>
        <item x="16"/>
        <item x="19"/>
        <item x="22"/>
        <item x="0"/>
        <item x="36"/>
        <item x="21"/>
        <item x="8"/>
        <item x="48"/>
        <item x="47"/>
        <item x="73"/>
        <item x="44"/>
        <item x="53"/>
        <item x="24"/>
        <item x="56"/>
        <item x="1"/>
        <item x="9"/>
        <item x="27"/>
        <item x="75"/>
        <item x="54"/>
        <item x="31"/>
        <item x="29"/>
        <item x="49"/>
        <item x="39"/>
        <item x="3"/>
        <item x="55"/>
        <item x="70"/>
        <item x="32"/>
        <item x="72"/>
        <item x="46"/>
        <item x="58"/>
        <item x="69"/>
        <item t="default"/>
      </items>
    </pivotField>
    <pivotField subtotalTop="0" showAll="0">
      <items count="7">
        <item sd="0" x="0"/>
        <item x="1"/>
        <item x="2"/>
        <item x="3"/>
        <item x="4"/>
        <item sd="0" x="5"/>
        <item t="default"/>
      </items>
    </pivotField>
    <pivotField subtotalTop="0" showAll="0">
      <items count="6">
        <item sd="0" x="0"/>
        <item x="1"/>
        <item x="2"/>
        <item x="3"/>
        <item sd="0" x="4"/>
        <item t="default"/>
      </items>
    </pivotField>
  </pivotFields>
  <rowFields count="2">
    <field x="10"/>
    <field x="9"/>
  </rowFields>
  <rowItems count="460">
    <i>
      <x/>
    </i>
    <i r="1">
      <x/>
    </i>
    <i r="1">
      <x v="1"/>
    </i>
    <i r="1">
      <x v="2"/>
    </i>
    <i r="1">
      <x v="3"/>
    </i>
    <i t="default">
      <x/>
    </i>
    <i>
      <x v="1"/>
    </i>
    <i r="1">
      <x/>
    </i>
    <i r="1">
      <x v="1"/>
    </i>
    <i r="1">
      <x v="2"/>
    </i>
    <i r="1">
      <x v="3"/>
    </i>
    <i t="default">
      <x v="1"/>
    </i>
    <i>
      <x v="2"/>
    </i>
    <i r="1">
      <x/>
    </i>
    <i r="1">
      <x v="1"/>
    </i>
    <i r="1">
      <x v="2"/>
    </i>
    <i r="1">
      <x v="3"/>
    </i>
    <i t="default">
      <x v="2"/>
    </i>
    <i>
      <x v="3"/>
    </i>
    <i r="1">
      <x/>
    </i>
    <i r="1">
      <x v="1"/>
    </i>
    <i r="1">
      <x v="2"/>
    </i>
    <i r="1">
      <x v="3"/>
    </i>
    <i t="default">
      <x v="3"/>
    </i>
    <i>
      <x v="4"/>
    </i>
    <i r="1">
      <x/>
    </i>
    <i r="1">
      <x v="1"/>
    </i>
    <i r="1">
      <x v="2"/>
    </i>
    <i r="1">
      <x v="3"/>
    </i>
    <i t="default">
      <x v="4"/>
    </i>
    <i>
      <x v="5"/>
    </i>
    <i r="1">
      <x/>
    </i>
    <i r="1">
      <x v="1"/>
    </i>
    <i r="1">
      <x v="2"/>
    </i>
    <i r="1">
      <x v="3"/>
    </i>
    <i t="default">
      <x v="5"/>
    </i>
    <i>
      <x v="6"/>
    </i>
    <i r="1">
      <x/>
    </i>
    <i r="1">
      <x v="1"/>
    </i>
    <i r="1">
      <x v="2"/>
    </i>
    <i r="1">
      <x v="3"/>
    </i>
    <i t="default">
      <x v="6"/>
    </i>
    <i>
      <x v="7"/>
    </i>
    <i r="1">
      <x/>
    </i>
    <i r="1">
      <x v="1"/>
    </i>
    <i r="1">
      <x v="2"/>
    </i>
    <i r="1">
      <x v="3"/>
    </i>
    <i t="default">
      <x v="7"/>
    </i>
    <i>
      <x v="8"/>
    </i>
    <i r="1">
      <x/>
    </i>
    <i r="1">
      <x v="1"/>
    </i>
    <i r="1">
      <x v="2"/>
    </i>
    <i r="1">
      <x v="3"/>
    </i>
    <i t="default">
      <x v="8"/>
    </i>
    <i>
      <x v="9"/>
    </i>
    <i r="1">
      <x/>
    </i>
    <i r="1">
      <x v="1"/>
    </i>
    <i r="1">
      <x v="2"/>
    </i>
    <i r="1">
      <x v="3"/>
    </i>
    <i t="default">
      <x v="9"/>
    </i>
    <i>
      <x v="10"/>
    </i>
    <i r="1">
      <x/>
    </i>
    <i r="1">
      <x v="1"/>
    </i>
    <i r="1">
      <x v="2"/>
    </i>
    <i r="1">
      <x v="3"/>
    </i>
    <i t="default">
      <x v="10"/>
    </i>
    <i>
      <x v="11"/>
    </i>
    <i r="1">
      <x/>
    </i>
    <i r="1">
      <x v="1"/>
    </i>
    <i r="1">
      <x v="2"/>
    </i>
    <i r="1">
      <x v="3"/>
    </i>
    <i t="default">
      <x v="11"/>
    </i>
    <i>
      <x v="12"/>
    </i>
    <i r="1">
      <x/>
    </i>
    <i r="1">
      <x v="1"/>
    </i>
    <i r="1">
      <x v="2"/>
    </i>
    <i r="1">
      <x v="3"/>
    </i>
    <i t="default">
      <x v="12"/>
    </i>
    <i>
      <x v="13"/>
    </i>
    <i r="1">
      <x/>
    </i>
    <i r="1">
      <x v="1"/>
    </i>
    <i r="1">
      <x v="2"/>
    </i>
    <i r="1">
      <x v="3"/>
    </i>
    <i t="default">
      <x v="13"/>
    </i>
    <i>
      <x v="14"/>
    </i>
    <i r="1">
      <x/>
    </i>
    <i r="1">
      <x v="1"/>
    </i>
    <i r="1">
      <x v="2"/>
    </i>
    <i r="1">
      <x v="3"/>
    </i>
    <i t="default">
      <x v="14"/>
    </i>
    <i>
      <x v="15"/>
    </i>
    <i r="1">
      <x/>
    </i>
    <i r="1">
      <x v="1"/>
    </i>
    <i r="1">
      <x v="2"/>
    </i>
    <i r="1">
      <x v="3"/>
    </i>
    <i t="default">
      <x v="15"/>
    </i>
    <i>
      <x v="16"/>
    </i>
    <i r="1">
      <x/>
    </i>
    <i r="1">
      <x v="1"/>
    </i>
    <i r="1">
      <x v="2"/>
    </i>
    <i t="default">
      <x v="16"/>
    </i>
    <i>
      <x v="17"/>
    </i>
    <i r="1">
      <x/>
    </i>
    <i r="1">
      <x v="1"/>
    </i>
    <i r="1">
      <x v="2"/>
    </i>
    <i r="1">
      <x v="3"/>
    </i>
    <i t="default">
      <x v="17"/>
    </i>
    <i>
      <x v="18"/>
    </i>
    <i r="1">
      <x/>
    </i>
    <i r="1">
      <x v="1"/>
    </i>
    <i r="1">
      <x v="2"/>
    </i>
    <i r="1">
      <x v="3"/>
    </i>
    <i t="default">
      <x v="18"/>
    </i>
    <i>
      <x v="19"/>
    </i>
    <i r="1">
      <x/>
    </i>
    <i r="1">
      <x v="1"/>
    </i>
    <i r="1">
      <x v="2"/>
    </i>
    <i r="1">
      <x v="3"/>
    </i>
    <i t="default">
      <x v="19"/>
    </i>
    <i>
      <x v="20"/>
    </i>
    <i r="1">
      <x/>
    </i>
    <i r="1">
      <x v="1"/>
    </i>
    <i r="1">
      <x v="2"/>
    </i>
    <i r="1">
      <x v="3"/>
    </i>
    <i t="default">
      <x v="20"/>
    </i>
    <i>
      <x v="21"/>
    </i>
    <i r="1">
      <x/>
    </i>
    <i r="1">
      <x v="1"/>
    </i>
    <i r="1">
      <x v="2"/>
    </i>
    <i r="1">
      <x v="3"/>
    </i>
    <i t="default">
      <x v="21"/>
    </i>
    <i>
      <x v="22"/>
    </i>
    <i r="1">
      <x/>
    </i>
    <i r="1">
      <x v="1"/>
    </i>
    <i r="1">
      <x v="2"/>
    </i>
    <i r="1">
      <x v="3"/>
    </i>
    <i t="default">
      <x v="22"/>
    </i>
    <i>
      <x v="23"/>
    </i>
    <i r="1">
      <x/>
    </i>
    <i r="1">
      <x v="1"/>
    </i>
    <i r="1">
      <x v="2"/>
    </i>
    <i r="1">
      <x v="3"/>
    </i>
    <i t="default">
      <x v="23"/>
    </i>
    <i>
      <x v="24"/>
    </i>
    <i r="1">
      <x/>
    </i>
    <i r="1">
      <x v="1"/>
    </i>
    <i r="1">
      <x v="2"/>
    </i>
    <i r="1">
      <x v="3"/>
    </i>
    <i t="default">
      <x v="24"/>
    </i>
    <i>
      <x v="25"/>
    </i>
    <i r="1">
      <x/>
    </i>
    <i r="1">
      <x v="1"/>
    </i>
    <i r="1">
      <x v="2"/>
    </i>
    <i r="1">
      <x v="3"/>
    </i>
    <i t="default">
      <x v="25"/>
    </i>
    <i>
      <x v="26"/>
    </i>
    <i r="1">
      <x/>
    </i>
    <i r="1">
      <x v="1"/>
    </i>
    <i r="1">
      <x v="2"/>
    </i>
    <i r="1">
      <x v="3"/>
    </i>
    <i t="default">
      <x v="26"/>
    </i>
    <i>
      <x v="27"/>
    </i>
    <i r="1">
      <x/>
    </i>
    <i r="1">
      <x v="1"/>
    </i>
    <i r="1">
      <x v="2"/>
    </i>
    <i r="1">
      <x v="3"/>
    </i>
    <i t="default">
      <x v="27"/>
    </i>
    <i>
      <x v="28"/>
    </i>
    <i r="1">
      <x/>
    </i>
    <i r="1">
      <x v="1"/>
    </i>
    <i r="1">
      <x v="2"/>
    </i>
    <i r="1">
      <x v="3"/>
    </i>
    <i t="default">
      <x v="28"/>
    </i>
    <i>
      <x v="29"/>
    </i>
    <i r="1">
      <x/>
    </i>
    <i r="1">
      <x v="1"/>
    </i>
    <i r="1">
      <x v="2"/>
    </i>
    <i r="1">
      <x v="3"/>
    </i>
    <i t="default">
      <x v="29"/>
    </i>
    <i>
      <x v="30"/>
    </i>
    <i r="1">
      <x/>
    </i>
    <i r="1">
      <x v="1"/>
    </i>
    <i r="1">
      <x v="2"/>
    </i>
    <i r="1">
      <x v="3"/>
    </i>
    <i t="default">
      <x v="30"/>
    </i>
    <i>
      <x v="31"/>
    </i>
    <i r="1">
      <x/>
    </i>
    <i r="1">
      <x v="1"/>
    </i>
    <i r="1">
      <x v="2"/>
    </i>
    <i r="1">
      <x v="3"/>
    </i>
    <i t="default">
      <x v="31"/>
    </i>
    <i>
      <x v="32"/>
    </i>
    <i r="1">
      <x/>
    </i>
    <i r="1">
      <x v="1"/>
    </i>
    <i r="1">
      <x v="2"/>
    </i>
    <i r="1">
      <x v="3"/>
    </i>
    <i t="default">
      <x v="32"/>
    </i>
    <i>
      <x v="33"/>
    </i>
    <i r="1">
      <x/>
    </i>
    <i r="1">
      <x v="1"/>
    </i>
    <i r="1">
      <x v="2"/>
    </i>
    <i r="1">
      <x v="3"/>
    </i>
    <i t="default">
      <x v="33"/>
    </i>
    <i>
      <x v="34"/>
    </i>
    <i r="1">
      <x/>
    </i>
    <i r="1">
      <x v="1"/>
    </i>
    <i r="1">
      <x v="2"/>
    </i>
    <i r="1">
      <x v="3"/>
    </i>
    <i t="default">
      <x v="34"/>
    </i>
    <i>
      <x v="35"/>
    </i>
    <i r="1">
      <x/>
    </i>
    <i r="1">
      <x v="1"/>
    </i>
    <i r="1">
      <x v="2"/>
    </i>
    <i r="1">
      <x v="3"/>
    </i>
    <i t="default">
      <x v="35"/>
    </i>
    <i>
      <x v="36"/>
    </i>
    <i r="1">
      <x/>
    </i>
    <i r="1">
      <x v="1"/>
    </i>
    <i r="1">
      <x v="2"/>
    </i>
    <i r="1">
      <x v="3"/>
    </i>
    <i t="default">
      <x v="36"/>
    </i>
    <i>
      <x v="37"/>
    </i>
    <i r="1">
      <x/>
    </i>
    <i r="1">
      <x v="1"/>
    </i>
    <i r="1">
      <x v="2"/>
    </i>
    <i r="1">
      <x v="3"/>
    </i>
    <i t="default">
      <x v="37"/>
    </i>
    <i>
      <x v="38"/>
    </i>
    <i r="1">
      <x/>
    </i>
    <i r="1">
      <x v="1"/>
    </i>
    <i r="1">
      <x v="2"/>
    </i>
    <i r="1">
      <x v="3"/>
    </i>
    <i t="default">
      <x v="38"/>
    </i>
    <i>
      <x v="39"/>
    </i>
    <i r="1">
      <x/>
    </i>
    <i r="1">
      <x v="1"/>
    </i>
    <i r="1">
      <x v="2"/>
    </i>
    <i r="1">
      <x v="3"/>
    </i>
    <i t="default">
      <x v="39"/>
    </i>
    <i>
      <x v="40"/>
    </i>
    <i r="1">
      <x/>
    </i>
    <i r="1">
      <x v="1"/>
    </i>
    <i r="1">
      <x v="2"/>
    </i>
    <i r="1">
      <x v="3"/>
    </i>
    <i t="default">
      <x v="40"/>
    </i>
    <i>
      <x v="41"/>
    </i>
    <i r="1">
      <x/>
    </i>
    <i r="1">
      <x v="1"/>
    </i>
    <i r="1">
      <x v="2"/>
    </i>
    <i r="1">
      <x v="3"/>
    </i>
    <i t="default">
      <x v="41"/>
    </i>
    <i>
      <x v="42"/>
    </i>
    <i r="1">
      <x/>
    </i>
    <i r="1">
      <x v="1"/>
    </i>
    <i r="1">
      <x v="3"/>
    </i>
    <i t="default">
      <x v="42"/>
    </i>
    <i>
      <x v="43"/>
    </i>
    <i r="1">
      <x/>
    </i>
    <i r="1">
      <x v="1"/>
    </i>
    <i r="1">
      <x v="3"/>
    </i>
    <i t="default">
      <x v="43"/>
    </i>
    <i>
      <x v="44"/>
    </i>
    <i r="1">
      <x/>
    </i>
    <i r="1">
      <x v="1"/>
    </i>
    <i r="1">
      <x v="2"/>
    </i>
    <i r="1">
      <x v="3"/>
    </i>
    <i t="default">
      <x v="44"/>
    </i>
    <i>
      <x v="45"/>
    </i>
    <i r="1">
      <x/>
    </i>
    <i r="1">
      <x v="1"/>
    </i>
    <i r="1">
      <x v="2"/>
    </i>
    <i r="1">
      <x v="3"/>
    </i>
    <i t="default">
      <x v="45"/>
    </i>
    <i>
      <x v="46"/>
    </i>
    <i r="1">
      <x/>
    </i>
    <i r="1">
      <x v="1"/>
    </i>
    <i r="1">
      <x v="2"/>
    </i>
    <i r="1">
      <x v="3"/>
    </i>
    <i t="default">
      <x v="46"/>
    </i>
    <i>
      <x v="47"/>
    </i>
    <i r="1">
      <x/>
    </i>
    <i r="1">
      <x v="1"/>
    </i>
    <i r="1">
      <x v="2"/>
    </i>
    <i r="1">
      <x v="3"/>
    </i>
    <i t="default">
      <x v="47"/>
    </i>
    <i>
      <x v="48"/>
    </i>
    <i r="1">
      <x/>
    </i>
    <i r="1">
      <x v="1"/>
    </i>
    <i r="1">
      <x v="2"/>
    </i>
    <i r="1">
      <x v="3"/>
    </i>
    <i t="default">
      <x v="48"/>
    </i>
    <i>
      <x v="49"/>
    </i>
    <i r="1">
      <x/>
    </i>
    <i r="1">
      <x v="1"/>
    </i>
    <i r="1">
      <x v="2"/>
    </i>
    <i r="1">
      <x v="3"/>
    </i>
    <i t="default">
      <x v="49"/>
    </i>
    <i>
      <x v="50"/>
    </i>
    <i r="1">
      <x/>
    </i>
    <i r="1">
      <x v="1"/>
    </i>
    <i r="1">
      <x v="2"/>
    </i>
    <i r="1">
      <x v="3"/>
    </i>
    <i t="default">
      <x v="50"/>
    </i>
    <i>
      <x v="51"/>
    </i>
    <i r="1">
      <x/>
    </i>
    <i r="1">
      <x v="1"/>
    </i>
    <i r="1">
      <x v="2"/>
    </i>
    <i r="1">
      <x v="3"/>
    </i>
    <i t="default">
      <x v="51"/>
    </i>
    <i>
      <x v="52"/>
    </i>
    <i r="1">
      <x/>
    </i>
    <i r="1">
      <x v="1"/>
    </i>
    <i r="1">
      <x v="2"/>
    </i>
    <i r="1">
      <x v="3"/>
    </i>
    <i t="default">
      <x v="52"/>
    </i>
    <i>
      <x v="53"/>
    </i>
    <i r="1">
      <x/>
    </i>
    <i r="1">
      <x v="1"/>
    </i>
    <i r="1">
      <x v="2"/>
    </i>
    <i r="1">
      <x v="3"/>
    </i>
    <i t="default">
      <x v="53"/>
    </i>
    <i>
      <x v="54"/>
    </i>
    <i r="1">
      <x/>
    </i>
    <i r="1">
      <x v="1"/>
    </i>
    <i r="1">
      <x v="2"/>
    </i>
    <i r="1">
      <x v="3"/>
    </i>
    <i t="default">
      <x v="54"/>
    </i>
    <i>
      <x v="55"/>
    </i>
    <i r="1">
      <x/>
    </i>
    <i r="1">
      <x v="1"/>
    </i>
    <i r="1">
      <x v="2"/>
    </i>
    <i r="1">
      <x v="3"/>
    </i>
    <i t="default">
      <x v="55"/>
    </i>
    <i>
      <x v="56"/>
    </i>
    <i r="1">
      <x/>
    </i>
    <i r="1">
      <x v="1"/>
    </i>
    <i r="1">
      <x v="2"/>
    </i>
    <i r="1">
      <x v="3"/>
    </i>
    <i t="default">
      <x v="56"/>
    </i>
    <i>
      <x v="57"/>
    </i>
    <i r="1">
      <x/>
    </i>
    <i r="1">
      <x v="1"/>
    </i>
    <i r="1">
      <x v="2"/>
    </i>
    <i r="1">
      <x v="3"/>
    </i>
    <i t="default">
      <x v="57"/>
    </i>
    <i>
      <x v="58"/>
    </i>
    <i r="1">
      <x/>
    </i>
    <i r="1">
      <x v="1"/>
    </i>
    <i r="1">
      <x v="2"/>
    </i>
    <i r="1">
      <x v="3"/>
    </i>
    <i t="default">
      <x v="58"/>
    </i>
    <i>
      <x v="59"/>
    </i>
    <i r="1">
      <x/>
    </i>
    <i r="1">
      <x v="1"/>
    </i>
    <i r="1">
      <x v="2"/>
    </i>
    <i r="1">
      <x v="3"/>
    </i>
    <i t="default">
      <x v="59"/>
    </i>
    <i>
      <x v="60"/>
    </i>
    <i r="1">
      <x/>
    </i>
    <i r="1">
      <x v="1"/>
    </i>
    <i r="1">
      <x v="2"/>
    </i>
    <i r="1">
      <x v="3"/>
    </i>
    <i t="default">
      <x v="60"/>
    </i>
    <i>
      <x v="61"/>
    </i>
    <i r="1">
      <x/>
    </i>
    <i r="1">
      <x v="1"/>
    </i>
    <i r="1">
      <x v="2"/>
    </i>
    <i r="1">
      <x v="3"/>
    </i>
    <i t="default">
      <x v="61"/>
    </i>
    <i>
      <x v="62"/>
    </i>
    <i r="1">
      <x/>
    </i>
    <i r="1">
      <x v="1"/>
    </i>
    <i r="1">
      <x v="2"/>
    </i>
    <i r="1">
      <x v="3"/>
    </i>
    <i t="default">
      <x v="62"/>
    </i>
    <i>
      <x v="63"/>
    </i>
    <i r="1">
      <x/>
    </i>
    <i r="1">
      <x v="1"/>
    </i>
    <i r="1">
      <x v="2"/>
    </i>
    <i r="1">
      <x v="3"/>
    </i>
    <i t="default">
      <x v="63"/>
    </i>
    <i>
      <x v="64"/>
    </i>
    <i r="1">
      <x/>
    </i>
    <i r="1">
      <x v="1"/>
    </i>
    <i r="1">
      <x v="2"/>
    </i>
    <i r="1">
      <x v="3"/>
    </i>
    <i t="default">
      <x v="64"/>
    </i>
    <i>
      <x v="65"/>
    </i>
    <i r="1">
      <x/>
    </i>
    <i r="1">
      <x v="1"/>
    </i>
    <i r="1">
      <x v="2"/>
    </i>
    <i r="1">
      <x v="3"/>
    </i>
    <i t="default">
      <x v="65"/>
    </i>
    <i>
      <x v="66"/>
    </i>
    <i r="1">
      <x/>
    </i>
    <i r="1">
      <x v="1"/>
    </i>
    <i r="1">
      <x v="2"/>
    </i>
    <i r="1">
      <x v="3"/>
    </i>
    <i t="default">
      <x v="66"/>
    </i>
    <i>
      <x v="67"/>
    </i>
    <i r="1">
      <x/>
    </i>
    <i r="1">
      <x v="1"/>
    </i>
    <i r="1">
      <x v="2"/>
    </i>
    <i r="1">
      <x v="3"/>
    </i>
    <i t="default">
      <x v="67"/>
    </i>
    <i>
      <x v="68"/>
    </i>
    <i r="1">
      <x/>
    </i>
    <i r="1">
      <x v="1"/>
    </i>
    <i r="1">
      <x v="2"/>
    </i>
    <i r="1">
      <x v="3"/>
    </i>
    <i t="default">
      <x v="68"/>
    </i>
    <i>
      <x v="69"/>
    </i>
    <i r="1">
      <x/>
    </i>
    <i r="1">
      <x v="1"/>
    </i>
    <i r="1">
      <x v="2"/>
    </i>
    <i r="1">
      <x v="3"/>
    </i>
    <i t="default">
      <x v="69"/>
    </i>
    <i>
      <x v="70"/>
    </i>
    <i r="1">
      <x/>
    </i>
    <i r="1">
      <x v="1"/>
    </i>
    <i r="1">
      <x v="2"/>
    </i>
    <i r="1">
      <x v="3"/>
    </i>
    <i t="default">
      <x v="70"/>
    </i>
    <i>
      <x v="71"/>
    </i>
    <i r="1">
      <x/>
    </i>
    <i r="1">
      <x v="1"/>
    </i>
    <i r="1">
      <x v="2"/>
    </i>
    <i r="1">
      <x v="3"/>
    </i>
    <i t="default">
      <x v="71"/>
    </i>
    <i>
      <x v="72"/>
    </i>
    <i r="1">
      <x/>
    </i>
    <i r="1">
      <x v="1"/>
    </i>
    <i r="1">
      <x v="2"/>
    </i>
    <i r="1">
      <x v="3"/>
    </i>
    <i t="default">
      <x v="72"/>
    </i>
    <i>
      <x v="73"/>
    </i>
    <i r="1">
      <x/>
    </i>
    <i r="1">
      <x v="1"/>
    </i>
    <i r="1">
      <x v="2"/>
    </i>
    <i r="1">
      <x v="3"/>
    </i>
    <i t="default">
      <x v="73"/>
    </i>
    <i>
      <x v="74"/>
    </i>
    <i r="1">
      <x/>
    </i>
    <i r="1">
      <x v="1"/>
    </i>
    <i r="1">
      <x v="2"/>
    </i>
    <i r="1">
      <x v="3"/>
    </i>
    <i t="default">
      <x v="74"/>
    </i>
    <i>
      <x v="75"/>
    </i>
    <i r="1">
      <x/>
    </i>
    <i r="1">
      <x v="1"/>
    </i>
    <i r="1">
      <x v="2"/>
    </i>
    <i r="1">
      <x v="3"/>
    </i>
    <i t="default">
      <x v="75"/>
    </i>
    <i>
      <x v="76"/>
    </i>
    <i r="1">
      <x/>
    </i>
    <i r="1">
      <x v="1"/>
    </i>
    <i r="1">
      <x v="2"/>
    </i>
    <i r="1">
      <x v="3"/>
    </i>
    <i t="default">
      <x v="76"/>
    </i>
    <i t="grand">
      <x/>
    </i>
  </rowItems>
  <colItems count="1">
    <i/>
  </colItems>
  <dataFields count="1">
    <dataField name="Sum of Sales Amount" fld="7" baseField="10" baseItem="9" numFmtId="10">
      <extLst>
        <ext xmlns:x14="http://schemas.microsoft.com/office/spreadsheetml/2009/9/main" uri="{E15A36E0-9728-4e99-A89B-3F7291B0FE68}">
          <x14:dataField pivotShowAs="percentOfParentRow"/>
        </ext>
      </extLst>
    </dataField>
  </dataFields>
  <formats count="13">
    <format dxfId="71">
      <pivotArea type="all" dataOnly="0" outline="0" fieldPosition="0"/>
    </format>
    <format dxfId="70">
      <pivotArea outline="0" collapsedLevelsAreSubtotals="1" fieldPosition="0"/>
    </format>
    <format dxfId="69">
      <pivotArea field="8" type="button" dataOnly="0" labelOnly="1" outline="0"/>
    </format>
    <format dxfId="68">
      <pivotArea dataOnly="0" labelOnly="1" grandRow="1" outline="0" fieldPosition="0"/>
    </format>
    <format dxfId="67">
      <pivotArea dataOnly="0" labelOnly="1" outline="0" fieldPosition="0">
        <references count="1">
          <reference field="4294967294" count="1">
            <x v="0"/>
          </reference>
        </references>
      </pivotArea>
    </format>
    <format dxfId="66">
      <pivotArea type="all" dataOnly="0" outline="0" fieldPosition="0"/>
    </format>
    <format dxfId="65">
      <pivotArea outline="0" collapsedLevelsAreSubtotals="1" fieldPosition="0"/>
    </format>
    <format dxfId="64">
      <pivotArea field="8" type="button" dataOnly="0" labelOnly="1" outline="0"/>
    </format>
    <format dxfId="63">
      <pivotArea dataOnly="0" labelOnly="1" grandRow="1" outline="0" fieldPosition="0"/>
    </format>
    <format dxfId="62">
      <pivotArea dataOnly="0" labelOnly="1" outline="0" fieldPosition="0">
        <references count="1">
          <reference field="4294967294" count="1">
            <x v="0"/>
          </reference>
        </references>
      </pivotArea>
    </format>
    <format dxfId="61">
      <pivotArea outline="0" collapsedLevelsAreSubtotals="1" fieldPosition="0">
        <references count="1">
          <reference field="4294967294" count="1" selected="0">
            <x v="0"/>
          </reference>
        </references>
      </pivotArea>
    </format>
    <format dxfId="60">
      <pivotArea dataOnly="0" labelOnly="1" outline="0" fieldPosition="0">
        <references count="1">
          <reference field="4294967294" count="1">
            <x v="0"/>
          </reference>
        </references>
      </pivotArea>
    </format>
    <format dxfId="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A8B424-6FD9-45DB-A62B-9D1AE60C5565}" name="Categories" displayName="Categories" ref="A1:C9" totalsRowShown="0">
  <autoFilter ref="A1:C9" xr:uid="{8AA8B424-6FD9-45DB-A62B-9D1AE60C5565}"/>
  <tableColumns count="3">
    <tableColumn id="1" xr3:uid="{42EEBDE0-11AE-4C0F-A3A8-89A39BDF6C37}" name="ID"/>
    <tableColumn id="2" xr3:uid="{224975EA-2660-4C38-B224-216DFA36972B}" name="CategoryName" dataDxfId="172"/>
    <tableColumn id="3" xr3:uid="{E5C97CE1-0526-4A59-BAAB-1446FD03B3EA}" name="Description" dataDxfId="1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B5FD60-F113-438B-8B5A-64604702671F}" name="Orders" displayName="Orders" ref="A1:C831" totalsRowShown="0">
  <autoFilter ref="A1:C831" xr:uid="{91B5FD60-F113-438B-8B5A-64604702671F}"/>
  <tableColumns count="3">
    <tableColumn id="1" xr3:uid="{CF37A47C-1C4D-486A-BE7C-406C0F456501}" name="OrderID"/>
    <tableColumn id="2" xr3:uid="{4B9BEF75-19C1-47DC-9DCE-8821AD5378C0}" name="CustomerID" dataDxfId="170"/>
    <tableColumn id="4" xr3:uid="{E0F10AA8-AD05-4DA3-8501-FB752131F3B1}" name="OrderDate" dataDxfId="1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BB85D3-3D5E-46BA-8906-D148C2FF776C}" name="Products" displayName="Products" ref="A1:G78" totalsRowShown="0">
  <autoFilter ref="A1:G78" xr:uid="{9DBB85D3-3D5E-46BA-8906-D148C2FF776C}"/>
  <tableColumns count="7">
    <tableColumn id="1" xr3:uid="{AF380DE2-9297-440A-8A28-005AAAC123F1}" name="ProductID"/>
    <tableColumn id="2" xr3:uid="{111ED9F5-FE1B-41FA-9714-5275095736B1}" name="ProductName" dataDxfId="168"/>
    <tableColumn id="3" xr3:uid="{88757BFC-C4B6-4DB2-8199-9C0410A1A2BC}" name="SupplierID"/>
    <tableColumn id="4" xr3:uid="{00127396-A855-4387-BC60-8CC6CDD09B96}" name="CategoryID"/>
    <tableColumn id="5" xr3:uid="{509867F5-7B2E-401E-BC63-8C3D8219F1D7}" name="QuantityPerUnit" dataDxfId="167"/>
    <tableColumn id="6" xr3:uid="{22420A2C-7E61-4C22-A399-DAAE3BBA6DF9}" name="UnitPrice"/>
    <tableColumn id="7" xr3:uid="{07153675-3C03-4807-8FA7-CA9E730C6008}" name="CategoryName" dataDxfId="166">
      <calculatedColumnFormula>_xlfn.XLOOKUP(Products[[#This Row],[CategoryID]],Category!A:A,Category!B:B,"Not Found")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EDA155-221A-4987-BBAE-2CA95BA4A548}" name="OrderDetails" displayName="OrderDetails" ref="A1:K2156" totalsRowShown="0" headerRowDxfId="165" dataDxfId="163" headerRowBorderDxfId="164" tableBorderDxfId="162" totalsRowBorderDxfId="161">
  <autoFilter ref="A1:K2156" xr:uid="{36EDA155-221A-4987-BBAE-2CA95BA4A548}"/>
  <tableColumns count="11">
    <tableColumn id="1" xr3:uid="{93488757-BAAB-464A-A9D2-C36AA7D44E34}" name="OrderID" dataDxfId="160"/>
    <tableColumn id="2" xr3:uid="{8883B11D-B4F3-4902-8E54-CDD0EC4BAA5B}" name="ProductID" dataDxfId="159"/>
    <tableColumn id="3" xr3:uid="{04E7D483-B7E3-4FA1-99E4-5766251391DA}" name="UnitPrice" dataDxfId="158"/>
    <tableColumn id="4" xr3:uid="{5BF10475-9723-49F1-89E4-09402641D839}" name="Quantity" dataDxfId="157"/>
    <tableColumn id="5" xr3:uid="{BB725117-F8C3-4715-BA09-E8D035DCFA35}" name="Discount" dataDxfId="156"/>
    <tableColumn id="6" xr3:uid="{421C1B86-EF39-49DB-99A8-6747B9152559}" name="CustomerID" dataDxfId="155">
      <calculatedColumnFormula>_xlfn.XLOOKUP(A2,Orders!A:A,Orders!B:B,"not found")</calculatedColumnFormula>
    </tableColumn>
    <tableColumn id="9" xr3:uid="{684B0089-6D8F-48D7-A46E-03576CB030D8}" name="OrderDate" dataDxfId="154">
      <calculatedColumnFormula>_xlfn.XLOOKUP(OrderDetails[[#This Row],[OrderID]],Orders!A:A,Orders!C:C,"Not Found")</calculatedColumnFormula>
    </tableColumn>
    <tableColumn id="10" xr3:uid="{BD8C4FA6-C860-4732-9CE9-B005089C948C}" name="Sales Amount" dataDxfId="153">
      <calculatedColumnFormula>(OrderDetails[[#This Row],[UnitPrice]]*OrderDetails[[#This Row],[Quantity]])*(1-OrderDetails[[#This Row],[Discount]])</calculatedColumnFormula>
    </tableColumn>
    <tableColumn id="11" xr3:uid="{65F445B7-0957-4450-A6D6-5EB49A703736}" name="CategoryName" dataDxfId="152">
      <calculatedColumnFormula>_xlfn.XLOOKUP(OrderDetails[[#This Row],[ProductID]],Product!A:A,Product!G:G,"Not Found")</calculatedColumnFormula>
    </tableColumn>
    <tableColumn id="12" xr3:uid="{DF9D7988-0890-457E-A76C-F3EBBB41263C}" name="Season" dataDxfId="151">
      <calculatedColumnFormula>LOOKUP(MONTH(G2),{1,4,7,10},{"Winter","Spring","Summer","Autumn"})</calculatedColumnFormula>
    </tableColumn>
    <tableColumn id="13" xr3:uid="{7511061B-D8EC-4864-B35E-9B40B5D7429A}" name="ProductName" dataDxfId="150">
      <calculatedColumnFormula>_xlfn.XLOOKUP(OrderDetails[[#This Row],[ProductID]],Product!A:A,Product!B:B,"Not Found")</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DFB59-F631-4B07-BF07-0D0226788034}">
  <dimension ref="A1:C9"/>
  <sheetViews>
    <sheetView workbookViewId="0">
      <selection activeCell="B1" sqref="B1"/>
    </sheetView>
  </sheetViews>
  <sheetFormatPr defaultRowHeight="13.8"/>
  <cols>
    <col min="2" max="2" width="16.09765625" bestFit="1" customWidth="1"/>
    <col min="3" max="3" width="50.59765625" bestFit="1" customWidth="1"/>
  </cols>
  <sheetData>
    <row r="1" spans="1:3">
      <c r="A1" t="s">
        <v>19</v>
      </c>
      <c r="B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556D-FD5D-40C3-8E0A-0C6E0FC164F7}">
  <dimension ref="A1:C831"/>
  <sheetViews>
    <sheetView workbookViewId="0">
      <selection activeCell="C1" sqref="C1"/>
    </sheetView>
  </sheetViews>
  <sheetFormatPr defaultRowHeight="13.8"/>
  <cols>
    <col min="3" max="3" width="11.8984375" bestFit="1" customWidth="1"/>
  </cols>
  <sheetData>
    <row r="1" spans="1:3">
      <c r="A1" t="s">
        <v>172</v>
      </c>
      <c r="B1" t="s">
        <v>175</v>
      </c>
      <c r="C1" t="s">
        <v>176</v>
      </c>
    </row>
    <row r="2" spans="1:3">
      <c r="A2">
        <v>10248</v>
      </c>
      <c r="B2" t="s">
        <v>177</v>
      </c>
      <c r="C2" s="9">
        <v>35250</v>
      </c>
    </row>
    <row r="3" spans="1:3">
      <c r="A3">
        <v>10249</v>
      </c>
      <c r="B3" t="s">
        <v>178</v>
      </c>
      <c r="C3" s="9">
        <v>35251</v>
      </c>
    </row>
    <row r="4" spans="1:3">
      <c r="A4">
        <v>10250</v>
      </c>
      <c r="B4" t="s">
        <v>179</v>
      </c>
      <c r="C4" s="9">
        <v>35254</v>
      </c>
    </row>
    <row r="5" spans="1:3">
      <c r="A5">
        <v>10251</v>
      </c>
      <c r="B5" t="s">
        <v>180</v>
      </c>
      <c r="C5" s="9">
        <v>35254</v>
      </c>
    </row>
    <row r="6" spans="1:3">
      <c r="A6">
        <v>10252</v>
      </c>
      <c r="B6" t="s">
        <v>181</v>
      </c>
      <c r="C6" s="9">
        <v>35255</v>
      </c>
    </row>
    <row r="7" spans="1:3">
      <c r="A7">
        <v>10253</v>
      </c>
      <c r="B7" t="s">
        <v>179</v>
      </c>
      <c r="C7" s="9">
        <v>35256</v>
      </c>
    </row>
    <row r="8" spans="1:3">
      <c r="A8">
        <v>10254</v>
      </c>
      <c r="B8" t="s">
        <v>182</v>
      </c>
      <c r="C8" s="9">
        <v>35257</v>
      </c>
    </row>
    <row r="9" spans="1:3">
      <c r="A9">
        <v>10255</v>
      </c>
      <c r="B9" t="s">
        <v>183</v>
      </c>
      <c r="C9" s="9">
        <v>35258</v>
      </c>
    </row>
    <row r="10" spans="1:3">
      <c r="A10">
        <v>10256</v>
      </c>
      <c r="B10" t="s">
        <v>184</v>
      </c>
      <c r="C10" s="9">
        <v>35261</v>
      </c>
    </row>
    <row r="11" spans="1:3">
      <c r="A11">
        <v>10257</v>
      </c>
      <c r="B11" t="s">
        <v>185</v>
      </c>
      <c r="C11" s="9">
        <v>35262</v>
      </c>
    </row>
    <row r="12" spans="1:3">
      <c r="A12">
        <v>10258</v>
      </c>
      <c r="B12" t="s">
        <v>186</v>
      </c>
      <c r="C12" s="9">
        <v>35263</v>
      </c>
    </row>
    <row r="13" spans="1:3">
      <c r="A13">
        <v>10259</v>
      </c>
      <c r="B13" t="s">
        <v>187</v>
      </c>
      <c r="C13" s="9">
        <v>35264</v>
      </c>
    </row>
    <row r="14" spans="1:3">
      <c r="A14">
        <v>10260</v>
      </c>
      <c r="B14" t="s">
        <v>188</v>
      </c>
      <c r="C14" s="9">
        <v>35265</v>
      </c>
    </row>
    <row r="15" spans="1:3">
      <c r="A15">
        <v>10261</v>
      </c>
      <c r="B15" t="s">
        <v>189</v>
      </c>
      <c r="C15" s="9">
        <v>35265</v>
      </c>
    </row>
    <row r="16" spans="1:3">
      <c r="A16">
        <v>10262</v>
      </c>
      <c r="B16" t="s">
        <v>190</v>
      </c>
      <c r="C16" s="9">
        <v>35268</v>
      </c>
    </row>
    <row r="17" spans="1:3">
      <c r="A17">
        <v>10263</v>
      </c>
      <c r="B17" t="s">
        <v>186</v>
      </c>
      <c r="C17" s="9">
        <v>35269</v>
      </c>
    </row>
    <row r="18" spans="1:3">
      <c r="A18">
        <v>10264</v>
      </c>
      <c r="B18" t="s">
        <v>191</v>
      </c>
      <c r="C18" s="9">
        <v>35270</v>
      </c>
    </row>
    <row r="19" spans="1:3">
      <c r="A19">
        <v>10265</v>
      </c>
      <c r="B19" t="s">
        <v>192</v>
      </c>
      <c r="C19" s="9">
        <v>35271</v>
      </c>
    </row>
    <row r="20" spans="1:3">
      <c r="A20">
        <v>10266</v>
      </c>
      <c r="B20" t="s">
        <v>193</v>
      </c>
      <c r="C20" s="9">
        <v>35272</v>
      </c>
    </row>
    <row r="21" spans="1:3">
      <c r="A21">
        <v>10267</v>
      </c>
      <c r="B21" t="s">
        <v>194</v>
      </c>
      <c r="C21" s="9">
        <v>35275</v>
      </c>
    </row>
    <row r="22" spans="1:3">
      <c r="A22">
        <v>10268</v>
      </c>
      <c r="B22" t="s">
        <v>195</v>
      </c>
      <c r="C22" s="9">
        <v>35276</v>
      </c>
    </row>
    <row r="23" spans="1:3">
      <c r="A23">
        <v>10269</v>
      </c>
      <c r="B23" t="s">
        <v>196</v>
      </c>
      <c r="C23" s="9">
        <v>35277</v>
      </c>
    </row>
    <row r="24" spans="1:3">
      <c r="A24">
        <v>10270</v>
      </c>
      <c r="B24" t="s">
        <v>193</v>
      </c>
      <c r="C24" s="9">
        <v>35278</v>
      </c>
    </row>
    <row r="25" spans="1:3">
      <c r="A25">
        <v>10271</v>
      </c>
      <c r="B25" t="s">
        <v>197</v>
      </c>
      <c r="C25" s="9">
        <v>35278</v>
      </c>
    </row>
    <row r="26" spans="1:3">
      <c r="A26">
        <v>10272</v>
      </c>
      <c r="B26" t="s">
        <v>190</v>
      </c>
      <c r="C26" s="9">
        <v>35279</v>
      </c>
    </row>
    <row r="27" spans="1:3">
      <c r="A27">
        <v>10273</v>
      </c>
      <c r="B27" t="s">
        <v>198</v>
      </c>
      <c r="C27" s="9">
        <v>35282</v>
      </c>
    </row>
    <row r="28" spans="1:3">
      <c r="A28">
        <v>10274</v>
      </c>
      <c r="B28" t="s">
        <v>177</v>
      </c>
      <c r="C28" s="9">
        <v>35283</v>
      </c>
    </row>
    <row r="29" spans="1:3">
      <c r="A29">
        <v>10275</v>
      </c>
      <c r="B29" t="s">
        <v>199</v>
      </c>
      <c r="C29" s="9">
        <v>35284</v>
      </c>
    </row>
    <row r="30" spans="1:3">
      <c r="A30">
        <v>10276</v>
      </c>
      <c r="B30" t="s">
        <v>200</v>
      </c>
      <c r="C30" s="9">
        <v>35285</v>
      </c>
    </row>
    <row r="31" spans="1:3">
      <c r="A31">
        <v>10277</v>
      </c>
      <c r="B31" t="s">
        <v>201</v>
      </c>
      <c r="C31" s="9">
        <v>35286</v>
      </c>
    </row>
    <row r="32" spans="1:3">
      <c r="A32">
        <v>10278</v>
      </c>
      <c r="B32" t="s">
        <v>202</v>
      </c>
      <c r="C32" s="9">
        <v>35289</v>
      </c>
    </row>
    <row r="33" spans="1:3">
      <c r="A33">
        <v>10279</v>
      </c>
      <c r="B33" t="s">
        <v>203</v>
      </c>
      <c r="C33" s="9">
        <v>35290</v>
      </c>
    </row>
    <row r="34" spans="1:3">
      <c r="A34">
        <v>10280</v>
      </c>
      <c r="B34" t="s">
        <v>202</v>
      </c>
      <c r="C34" s="9">
        <v>35291</v>
      </c>
    </row>
    <row r="35" spans="1:3">
      <c r="A35">
        <v>10281</v>
      </c>
      <c r="B35" t="s">
        <v>204</v>
      </c>
      <c r="C35" s="9">
        <v>35291</v>
      </c>
    </row>
    <row r="36" spans="1:3">
      <c r="A36">
        <v>10282</v>
      </c>
      <c r="B36" t="s">
        <v>204</v>
      </c>
      <c r="C36" s="9">
        <v>35292</v>
      </c>
    </row>
    <row r="37" spans="1:3">
      <c r="A37">
        <v>10283</v>
      </c>
      <c r="B37" t="s">
        <v>205</v>
      </c>
      <c r="C37" s="9">
        <v>35293</v>
      </c>
    </row>
    <row r="38" spans="1:3">
      <c r="A38">
        <v>10284</v>
      </c>
      <c r="B38" t="s">
        <v>203</v>
      </c>
      <c r="C38" s="9">
        <v>35296</v>
      </c>
    </row>
    <row r="39" spans="1:3">
      <c r="A39">
        <v>10285</v>
      </c>
      <c r="B39" t="s">
        <v>198</v>
      </c>
      <c r="C39" s="9">
        <v>35297</v>
      </c>
    </row>
    <row r="40" spans="1:3">
      <c r="A40">
        <v>10286</v>
      </c>
      <c r="B40" t="s">
        <v>198</v>
      </c>
      <c r="C40" s="9">
        <v>35298</v>
      </c>
    </row>
    <row r="41" spans="1:3">
      <c r="A41">
        <v>10287</v>
      </c>
      <c r="B41" t="s">
        <v>206</v>
      </c>
      <c r="C41" s="9">
        <v>35299</v>
      </c>
    </row>
    <row r="42" spans="1:3">
      <c r="A42">
        <v>10288</v>
      </c>
      <c r="B42" t="s">
        <v>207</v>
      </c>
      <c r="C42" s="9">
        <v>35300</v>
      </c>
    </row>
    <row r="43" spans="1:3">
      <c r="A43">
        <v>10289</v>
      </c>
      <c r="B43" t="s">
        <v>208</v>
      </c>
      <c r="C43" s="9">
        <v>35303</v>
      </c>
    </row>
    <row r="44" spans="1:3">
      <c r="A44">
        <v>10290</v>
      </c>
      <c r="B44" t="s">
        <v>209</v>
      </c>
      <c r="C44" s="9">
        <v>35304</v>
      </c>
    </row>
    <row r="45" spans="1:3">
      <c r="A45">
        <v>10291</v>
      </c>
      <c r="B45" t="s">
        <v>189</v>
      </c>
      <c r="C45" s="9">
        <v>35304</v>
      </c>
    </row>
    <row r="46" spans="1:3">
      <c r="A46">
        <v>10292</v>
      </c>
      <c r="B46" t="s">
        <v>210</v>
      </c>
      <c r="C46" s="9">
        <v>35305</v>
      </c>
    </row>
    <row r="47" spans="1:3">
      <c r="A47">
        <v>10293</v>
      </c>
      <c r="B47" t="s">
        <v>200</v>
      </c>
      <c r="C47" s="9">
        <v>35306</v>
      </c>
    </row>
    <row r="48" spans="1:3">
      <c r="A48">
        <v>10294</v>
      </c>
      <c r="B48" t="s">
        <v>190</v>
      </c>
      <c r="C48" s="9">
        <v>35307</v>
      </c>
    </row>
    <row r="49" spans="1:3">
      <c r="A49">
        <v>10295</v>
      </c>
      <c r="B49" t="s">
        <v>177</v>
      </c>
      <c r="C49" s="9">
        <v>35310</v>
      </c>
    </row>
    <row r="50" spans="1:3">
      <c r="A50">
        <v>10296</v>
      </c>
      <c r="B50" t="s">
        <v>205</v>
      </c>
      <c r="C50" s="9">
        <v>35311</v>
      </c>
    </row>
    <row r="51" spans="1:3">
      <c r="A51">
        <v>10297</v>
      </c>
      <c r="B51" t="s">
        <v>192</v>
      </c>
      <c r="C51" s="9">
        <v>35312</v>
      </c>
    </row>
    <row r="52" spans="1:3">
      <c r="A52">
        <v>10298</v>
      </c>
      <c r="B52" t="s">
        <v>211</v>
      </c>
      <c r="C52" s="9">
        <v>35313</v>
      </c>
    </row>
    <row r="53" spans="1:3">
      <c r="A53">
        <v>10299</v>
      </c>
      <c r="B53" t="s">
        <v>206</v>
      </c>
      <c r="C53" s="9">
        <v>35314</v>
      </c>
    </row>
    <row r="54" spans="1:3">
      <c r="A54">
        <v>10300</v>
      </c>
      <c r="B54" t="s">
        <v>199</v>
      </c>
      <c r="C54" s="9">
        <v>35317</v>
      </c>
    </row>
    <row r="55" spans="1:3">
      <c r="A55">
        <v>10301</v>
      </c>
      <c r="B55" t="s">
        <v>212</v>
      </c>
      <c r="C55" s="9">
        <v>35317</v>
      </c>
    </row>
    <row r="56" spans="1:3">
      <c r="A56">
        <v>10302</v>
      </c>
      <c r="B56" t="s">
        <v>181</v>
      </c>
      <c r="C56" s="9">
        <v>35318</v>
      </c>
    </row>
    <row r="57" spans="1:3">
      <c r="A57">
        <v>10303</v>
      </c>
      <c r="B57" t="s">
        <v>213</v>
      </c>
      <c r="C57" s="9">
        <v>35319</v>
      </c>
    </row>
    <row r="58" spans="1:3">
      <c r="A58">
        <v>10304</v>
      </c>
      <c r="B58" t="s">
        <v>200</v>
      </c>
      <c r="C58" s="9">
        <v>35320</v>
      </c>
    </row>
    <row r="59" spans="1:3">
      <c r="A59">
        <v>10305</v>
      </c>
      <c r="B59" t="s">
        <v>214</v>
      </c>
      <c r="C59" s="9">
        <v>35321</v>
      </c>
    </row>
    <row r="60" spans="1:3">
      <c r="A60">
        <v>10306</v>
      </c>
      <c r="B60" t="s">
        <v>204</v>
      </c>
      <c r="C60" s="9">
        <v>35324</v>
      </c>
    </row>
    <row r="61" spans="1:3">
      <c r="A61">
        <v>10307</v>
      </c>
      <c r="B61" t="s">
        <v>215</v>
      </c>
      <c r="C61" s="9">
        <v>35325</v>
      </c>
    </row>
    <row r="62" spans="1:3">
      <c r="A62">
        <v>10308</v>
      </c>
      <c r="B62" t="s">
        <v>216</v>
      </c>
      <c r="C62" s="9">
        <v>35326</v>
      </c>
    </row>
    <row r="63" spans="1:3">
      <c r="A63">
        <v>10309</v>
      </c>
      <c r="B63" t="s">
        <v>211</v>
      </c>
      <c r="C63" s="9">
        <v>35327</v>
      </c>
    </row>
    <row r="64" spans="1:3">
      <c r="A64">
        <v>10310</v>
      </c>
      <c r="B64" t="s">
        <v>217</v>
      </c>
      <c r="C64" s="9">
        <v>35328</v>
      </c>
    </row>
    <row r="65" spans="1:3">
      <c r="A65">
        <v>10311</v>
      </c>
      <c r="B65" t="s">
        <v>218</v>
      </c>
      <c r="C65" s="9">
        <v>35328</v>
      </c>
    </row>
    <row r="66" spans="1:3">
      <c r="A66">
        <v>10312</v>
      </c>
      <c r="B66" t="s">
        <v>212</v>
      </c>
      <c r="C66" s="9">
        <v>35331</v>
      </c>
    </row>
    <row r="67" spans="1:3">
      <c r="A67">
        <v>10313</v>
      </c>
      <c r="B67" t="s">
        <v>198</v>
      </c>
      <c r="C67" s="9">
        <v>35332</v>
      </c>
    </row>
    <row r="68" spans="1:3">
      <c r="A68">
        <v>10314</v>
      </c>
      <c r="B68" t="s">
        <v>190</v>
      </c>
      <c r="C68" s="9">
        <v>35333</v>
      </c>
    </row>
    <row r="69" spans="1:3">
      <c r="A69">
        <v>10315</v>
      </c>
      <c r="B69" t="s">
        <v>219</v>
      </c>
      <c r="C69" s="9">
        <v>35334</v>
      </c>
    </row>
    <row r="70" spans="1:3">
      <c r="A70">
        <v>10316</v>
      </c>
      <c r="B70" t="s">
        <v>190</v>
      </c>
      <c r="C70" s="9">
        <v>35335</v>
      </c>
    </row>
    <row r="71" spans="1:3">
      <c r="A71">
        <v>10317</v>
      </c>
      <c r="B71" t="s">
        <v>215</v>
      </c>
      <c r="C71" s="9">
        <v>35338</v>
      </c>
    </row>
    <row r="72" spans="1:3">
      <c r="A72">
        <v>10318</v>
      </c>
      <c r="B72" t="s">
        <v>219</v>
      </c>
      <c r="C72" s="9">
        <v>35339</v>
      </c>
    </row>
    <row r="73" spans="1:3">
      <c r="A73">
        <v>10319</v>
      </c>
      <c r="B73" t="s">
        <v>200</v>
      </c>
      <c r="C73" s="9">
        <v>35340</v>
      </c>
    </row>
    <row r="74" spans="1:3">
      <c r="A74">
        <v>10320</v>
      </c>
      <c r="B74" t="s">
        <v>193</v>
      </c>
      <c r="C74" s="9">
        <v>35341</v>
      </c>
    </row>
    <row r="75" spans="1:3">
      <c r="A75">
        <v>10321</v>
      </c>
      <c r="B75" t="s">
        <v>219</v>
      </c>
      <c r="C75" s="9">
        <v>35341</v>
      </c>
    </row>
    <row r="76" spans="1:3">
      <c r="A76">
        <v>10322</v>
      </c>
      <c r="B76" t="s">
        <v>220</v>
      </c>
      <c r="C76" s="9">
        <v>35342</v>
      </c>
    </row>
    <row r="77" spans="1:3">
      <c r="A77">
        <v>10323</v>
      </c>
      <c r="B77" t="s">
        <v>221</v>
      </c>
      <c r="C77" s="9">
        <v>35345</v>
      </c>
    </row>
    <row r="78" spans="1:3">
      <c r="A78">
        <v>10324</v>
      </c>
      <c r="B78" t="s">
        <v>222</v>
      </c>
      <c r="C78" s="9">
        <v>35346</v>
      </c>
    </row>
    <row r="79" spans="1:3">
      <c r="A79">
        <v>10325</v>
      </c>
      <c r="B79" t="s">
        <v>221</v>
      </c>
      <c r="C79" s="9">
        <v>35347</v>
      </c>
    </row>
    <row r="80" spans="1:3">
      <c r="A80">
        <v>10326</v>
      </c>
      <c r="B80" t="s">
        <v>223</v>
      </c>
      <c r="C80" s="9">
        <v>35348</v>
      </c>
    </row>
    <row r="81" spans="1:3">
      <c r="A81">
        <v>10327</v>
      </c>
      <c r="B81" t="s">
        <v>191</v>
      </c>
      <c r="C81" s="9">
        <v>35349</v>
      </c>
    </row>
    <row r="82" spans="1:3">
      <c r="A82">
        <v>10328</v>
      </c>
      <c r="B82" t="s">
        <v>224</v>
      </c>
      <c r="C82" s="9">
        <v>35352</v>
      </c>
    </row>
    <row r="83" spans="1:3">
      <c r="A83">
        <v>10329</v>
      </c>
      <c r="B83" t="s">
        <v>197</v>
      </c>
      <c r="C83" s="9">
        <v>35353</v>
      </c>
    </row>
    <row r="84" spans="1:3">
      <c r="A84">
        <v>10330</v>
      </c>
      <c r="B84" t="s">
        <v>205</v>
      </c>
      <c r="C84" s="9">
        <v>35354</v>
      </c>
    </row>
    <row r="85" spans="1:3">
      <c r="A85">
        <v>10331</v>
      </c>
      <c r="B85" t="s">
        <v>225</v>
      </c>
      <c r="C85" s="9">
        <v>35354</v>
      </c>
    </row>
    <row r="86" spans="1:3">
      <c r="A86">
        <v>10332</v>
      </c>
      <c r="B86" t="s">
        <v>226</v>
      </c>
      <c r="C86" s="9">
        <v>35355</v>
      </c>
    </row>
    <row r="87" spans="1:3">
      <c r="A87">
        <v>10333</v>
      </c>
      <c r="B87" t="s">
        <v>193</v>
      </c>
      <c r="C87" s="9">
        <v>35356</v>
      </c>
    </row>
    <row r="88" spans="1:3">
      <c r="A88">
        <v>10334</v>
      </c>
      <c r="B88" t="s">
        <v>180</v>
      </c>
      <c r="C88" s="9">
        <v>35359</v>
      </c>
    </row>
    <row r="89" spans="1:3">
      <c r="A89">
        <v>10335</v>
      </c>
      <c r="B89" t="s">
        <v>211</v>
      </c>
      <c r="C89" s="9">
        <v>35360</v>
      </c>
    </row>
    <row r="90" spans="1:3">
      <c r="A90">
        <v>10336</v>
      </c>
      <c r="B90" t="s">
        <v>227</v>
      </c>
      <c r="C90" s="9">
        <v>35361</v>
      </c>
    </row>
    <row r="91" spans="1:3">
      <c r="A91">
        <v>10337</v>
      </c>
      <c r="B91" t="s">
        <v>194</v>
      </c>
      <c r="C91" s="9">
        <v>35362</v>
      </c>
    </row>
    <row r="92" spans="1:3">
      <c r="A92">
        <v>10338</v>
      </c>
      <c r="B92" t="s">
        <v>214</v>
      </c>
      <c r="C92" s="9">
        <v>35363</v>
      </c>
    </row>
    <row r="93" spans="1:3">
      <c r="A93">
        <v>10339</v>
      </c>
      <c r="B93" t="s">
        <v>226</v>
      </c>
      <c r="C93" s="9">
        <v>35366</v>
      </c>
    </row>
    <row r="94" spans="1:3">
      <c r="A94">
        <v>10340</v>
      </c>
      <c r="B94" t="s">
        <v>225</v>
      </c>
      <c r="C94" s="9">
        <v>35367</v>
      </c>
    </row>
    <row r="95" spans="1:3">
      <c r="A95">
        <v>10341</v>
      </c>
      <c r="B95" t="s">
        <v>228</v>
      </c>
      <c r="C95" s="9">
        <v>35367</v>
      </c>
    </row>
    <row r="96" spans="1:3">
      <c r="A96">
        <v>10342</v>
      </c>
      <c r="B96" t="s">
        <v>194</v>
      </c>
      <c r="C96" s="9">
        <v>35368</v>
      </c>
    </row>
    <row r="97" spans="1:3">
      <c r="A97">
        <v>10343</v>
      </c>
      <c r="B97" t="s">
        <v>203</v>
      </c>
      <c r="C97" s="9">
        <v>35369</v>
      </c>
    </row>
    <row r="98" spans="1:3">
      <c r="A98">
        <v>10344</v>
      </c>
      <c r="B98" t="s">
        <v>196</v>
      </c>
      <c r="C98" s="9">
        <v>35370</v>
      </c>
    </row>
    <row r="99" spans="1:3">
      <c r="A99">
        <v>10345</v>
      </c>
      <c r="B99" t="s">
        <v>198</v>
      </c>
      <c r="C99" s="9">
        <v>35373</v>
      </c>
    </row>
    <row r="100" spans="1:3">
      <c r="A100">
        <v>10346</v>
      </c>
      <c r="B100" t="s">
        <v>190</v>
      </c>
      <c r="C100" s="9">
        <v>35374</v>
      </c>
    </row>
    <row r="101" spans="1:3">
      <c r="A101">
        <v>10347</v>
      </c>
      <c r="B101" t="s">
        <v>229</v>
      </c>
      <c r="C101" s="9">
        <v>35375</v>
      </c>
    </row>
    <row r="102" spans="1:3">
      <c r="A102">
        <v>10348</v>
      </c>
      <c r="B102" t="s">
        <v>212</v>
      </c>
      <c r="C102" s="9">
        <v>35376</v>
      </c>
    </row>
    <row r="103" spans="1:3">
      <c r="A103">
        <v>10349</v>
      </c>
      <c r="B103" t="s">
        <v>197</v>
      </c>
      <c r="C103" s="9">
        <v>35377</v>
      </c>
    </row>
    <row r="104" spans="1:3">
      <c r="A104">
        <v>10350</v>
      </c>
      <c r="B104" t="s">
        <v>230</v>
      </c>
      <c r="C104" s="9">
        <v>35380</v>
      </c>
    </row>
    <row r="105" spans="1:3">
      <c r="A105">
        <v>10351</v>
      </c>
      <c r="B105" t="s">
        <v>186</v>
      </c>
      <c r="C105" s="9">
        <v>35380</v>
      </c>
    </row>
    <row r="106" spans="1:3">
      <c r="A106">
        <v>10352</v>
      </c>
      <c r="B106" t="s">
        <v>224</v>
      </c>
      <c r="C106" s="9">
        <v>35381</v>
      </c>
    </row>
    <row r="107" spans="1:3">
      <c r="A107">
        <v>10353</v>
      </c>
      <c r="B107" t="s">
        <v>231</v>
      </c>
      <c r="C107" s="9">
        <v>35382</v>
      </c>
    </row>
    <row r="108" spans="1:3">
      <c r="A108">
        <v>10354</v>
      </c>
      <c r="B108" t="s">
        <v>220</v>
      </c>
      <c r="C108" s="9">
        <v>35383</v>
      </c>
    </row>
    <row r="109" spans="1:3">
      <c r="A109">
        <v>10355</v>
      </c>
      <c r="B109" t="s">
        <v>232</v>
      </c>
      <c r="C109" s="9">
        <v>35384</v>
      </c>
    </row>
    <row r="110" spans="1:3">
      <c r="A110">
        <v>10356</v>
      </c>
      <c r="B110" t="s">
        <v>212</v>
      </c>
      <c r="C110" s="9">
        <v>35387</v>
      </c>
    </row>
    <row r="111" spans="1:3">
      <c r="A111">
        <v>10357</v>
      </c>
      <c r="B111" t="s">
        <v>205</v>
      </c>
      <c r="C111" s="9">
        <v>35388</v>
      </c>
    </row>
    <row r="112" spans="1:3">
      <c r="A112">
        <v>10358</v>
      </c>
      <c r="B112" t="s">
        <v>230</v>
      </c>
      <c r="C112" s="9">
        <v>35389</v>
      </c>
    </row>
    <row r="113" spans="1:3">
      <c r="A113">
        <v>10359</v>
      </c>
      <c r="B113" t="s">
        <v>233</v>
      </c>
      <c r="C113" s="9">
        <v>35390</v>
      </c>
    </row>
    <row r="114" spans="1:3">
      <c r="A114">
        <v>10360</v>
      </c>
      <c r="B114" t="s">
        <v>192</v>
      </c>
      <c r="C114" s="9">
        <v>35391</v>
      </c>
    </row>
    <row r="115" spans="1:3">
      <c r="A115">
        <v>10361</v>
      </c>
      <c r="B115" t="s">
        <v>198</v>
      </c>
      <c r="C115" s="9">
        <v>35391</v>
      </c>
    </row>
    <row r="116" spans="1:3">
      <c r="A116">
        <v>10362</v>
      </c>
      <c r="B116" t="s">
        <v>225</v>
      </c>
      <c r="C116" s="9">
        <v>35394</v>
      </c>
    </row>
    <row r="117" spans="1:3">
      <c r="A117">
        <v>10363</v>
      </c>
      <c r="B117" t="s">
        <v>234</v>
      </c>
      <c r="C117" s="9">
        <v>35395</v>
      </c>
    </row>
    <row r="118" spans="1:3">
      <c r="A118">
        <v>10364</v>
      </c>
      <c r="B118" t="s">
        <v>235</v>
      </c>
      <c r="C118" s="9">
        <v>35395</v>
      </c>
    </row>
    <row r="119" spans="1:3">
      <c r="A119">
        <v>10365</v>
      </c>
      <c r="B119" t="s">
        <v>236</v>
      </c>
      <c r="C119" s="9">
        <v>35396</v>
      </c>
    </row>
    <row r="120" spans="1:3">
      <c r="A120">
        <v>10366</v>
      </c>
      <c r="B120" t="s">
        <v>237</v>
      </c>
      <c r="C120" s="9">
        <v>35397</v>
      </c>
    </row>
    <row r="121" spans="1:3">
      <c r="A121">
        <v>10367</v>
      </c>
      <c r="B121" t="s">
        <v>238</v>
      </c>
      <c r="C121" s="9">
        <v>35397</v>
      </c>
    </row>
    <row r="122" spans="1:3">
      <c r="A122">
        <v>10368</v>
      </c>
      <c r="B122" t="s">
        <v>186</v>
      </c>
      <c r="C122" s="9">
        <v>35398</v>
      </c>
    </row>
    <row r="123" spans="1:3">
      <c r="A123">
        <v>10369</v>
      </c>
      <c r="B123" t="s">
        <v>197</v>
      </c>
      <c r="C123" s="9">
        <v>35401</v>
      </c>
    </row>
    <row r="124" spans="1:3">
      <c r="A124">
        <v>10370</v>
      </c>
      <c r="B124" t="s">
        <v>182</v>
      </c>
      <c r="C124" s="9">
        <v>35402</v>
      </c>
    </row>
    <row r="125" spans="1:3">
      <c r="A125">
        <v>10371</v>
      </c>
      <c r="B125" t="s">
        <v>230</v>
      </c>
      <c r="C125" s="9">
        <v>35402</v>
      </c>
    </row>
    <row r="126" spans="1:3">
      <c r="A126">
        <v>10372</v>
      </c>
      <c r="B126" t="s">
        <v>239</v>
      </c>
      <c r="C126" s="9">
        <v>35403</v>
      </c>
    </row>
    <row r="127" spans="1:3">
      <c r="A127">
        <v>10373</v>
      </c>
      <c r="B127" t="s">
        <v>211</v>
      </c>
      <c r="C127" s="9">
        <v>35404</v>
      </c>
    </row>
    <row r="128" spans="1:3">
      <c r="A128">
        <v>10374</v>
      </c>
      <c r="B128" t="s">
        <v>240</v>
      </c>
      <c r="C128" s="9">
        <v>35404</v>
      </c>
    </row>
    <row r="129" spans="1:3">
      <c r="A129">
        <v>10375</v>
      </c>
      <c r="B129" t="s">
        <v>241</v>
      </c>
      <c r="C129" s="9">
        <v>35405</v>
      </c>
    </row>
    <row r="130" spans="1:3">
      <c r="A130">
        <v>10376</v>
      </c>
      <c r="B130" t="s">
        <v>226</v>
      </c>
      <c r="C130" s="9">
        <v>35408</v>
      </c>
    </row>
    <row r="131" spans="1:3">
      <c r="A131">
        <v>10377</v>
      </c>
      <c r="B131" t="s">
        <v>233</v>
      </c>
      <c r="C131" s="9">
        <v>35408</v>
      </c>
    </row>
    <row r="132" spans="1:3">
      <c r="A132">
        <v>10378</v>
      </c>
      <c r="B132" t="s">
        <v>191</v>
      </c>
      <c r="C132" s="9">
        <v>35409</v>
      </c>
    </row>
    <row r="133" spans="1:3">
      <c r="A133">
        <v>10379</v>
      </c>
      <c r="B133" t="s">
        <v>189</v>
      </c>
      <c r="C133" s="9">
        <v>35410</v>
      </c>
    </row>
    <row r="134" spans="1:3">
      <c r="A134">
        <v>10380</v>
      </c>
      <c r="B134" t="s">
        <v>211</v>
      </c>
      <c r="C134" s="9">
        <v>35411</v>
      </c>
    </row>
    <row r="135" spans="1:3">
      <c r="A135">
        <v>10381</v>
      </c>
      <c r="B135" t="s">
        <v>205</v>
      </c>
      <c r="C135" s="9">
        <v>35411</v>
      </c>
    </row>
    <row r="136" spans="1:3">
      <c r="A136">
        <v>10382</v>
      </c>
      <c r="B136" t="s">
        <v>186</v>
      </c>
      <c r="C136" s="9">
        <v>35412</v>
      </c>
    </row>
    <row r="137" spans="1:3">
      <c r="A137">
        <v>10383</v>
      </c>
      <c r="B137" t="s">
        <v>232</v>
      </c>
      <c r="C137" s="9">
        <v>35415</v>
      </c>
    </row>
    <row r="138" spans="1:3">
      <c r="A138">
        <v>10384</v>
      </c>
      <c r="B138" t="s">
        <v>202</v>
      </c>
      <c r="C138" s="9">
        <v>35415</v>
      </c>
    </row>
    <row r="139" spans="1:3">
      <c r="A139">
        <v>10385</v>
      </c>
      <c r="B139" t="s">
        <v>197</v>
      </c>
      <c r="C139" s="9">
        <v>35416</v>
      </c>
    </row>
    <row r="140" spans="1:3">
      <c r="A140">
        <v>10386</v>
      </c>
      <c r="B140" t="s">
        <v>229</v>
      </c>
      <c r="C140" s="9">
        <v>35417</v>
      </c>
    </row>
    <row r="141" spans="1:3">
      <c r="A141">
        <v>10387</v>
      </c>
      <c r="B141" t="s">
        <v>242</v>
      </c>
      <c r="C141" s="9">
        <v>35417</v>
      </c>
    </row>
    <row r="142" spans="1:3">
      <c r="A142">
        <v>10388</v>
      </c>
      <c r="B142" t="s">
        <v>233</v>
      </c>
      <c r="C142" s="9">
        <v>35418</v>
      </c>
    </row>
    <row r="143" spans="1:3">
      <c r="A143">
        <v>10389</v>
      </c>
      <c r="B143" t="s">
        <v>243</v>
      </c>
      <c r="C143" s="9">
        <v>35419</v>
      </c>
    </row>
    <row r="144" spans="1:3">
      <c r="A144">
        <v>10390</v>
      </c>
      <c r="B144" t="s">
        <v>186</v>
      </c>
      <c r="C144" s="9">
        <v>35422</v>
      </c>
    </row>
    <row r="145" spans="1:3">
      <c r="A145">
        <v>10391</v>
      </c>
      <c r="B145" t="s">
        <v>234</v>
      </c>
      <c r="C145" s="9">
        <v>35422</v>
      </c>
    </row>
    <row r="146" spans="1:3">
      <c r="A146">
        <v>10392</v>
      </c>
      <c r="B146" t="s">
        <v>231</v>
      </c>
      <c r="C146" s="9">
        <v>35423</v>
      </c>
    </row>
    <row r="147" spans="1:3">
      <c r="A147">
        <v>10393</v>
      </c>
      <c r="B147" t="s">
        <v>222</v>
      </c>
      <c r="C147" s="9">
        <v>35424</v>
      </c>
    </row>
    <row r="148" spans="1:3">
      <c r="A148">
        <v>10394</v>
      </c>
      <c r="B148" t="s">
        <v>241</v>
      </c>
      <c r="C148" s="9">
        <v>35424</v>
      </c>
    </row>
    <row r="149" spans="1:3">
      <c r="A149">
        <v>10395</v>
      </c>
      <c r="B149" t="s">
        <v>185</v>
      </c>
      <c r="C149" s="9">
        <v>35425</v>
      </c>
    </row>
    <row r="150" spans="1:3">
      <c r="A150">
        <v>10396</v>
      </c>
      <c r="B150" t="s">
        <v>194</v>
      </c>
      <c r="C150" s="9">
        <v>35426</v>
      </c>
    </row>
    <row r="151" spans="1:3">
      <c r="A151">
        <v>10397</v>
      </c>
      <c r="B151" t="s">
        <v>227</v>
      </c>
      <c r="C151" s="9">
        <v>35426</v>
      </c>
    </row>
    <row r="152" spans="1:3">
      <c r="A152">
        <v>10398</v>
      </c>
      <c r="B152" t="s">
        <v>222</v>
      </c>
      <c r="C152" s="9">
        <v>35429</v>
      </c>
    </row>
    <row r="153" spans="1:3">
      <c r="A153">
        <v>10399</v>
      </c>
      <c r="B153" t="s">
        <v>238</v>
      </c>
      <c r="C153" s="9">
        <v>35430</v>
      </c>
    </row>
    <row r="154" spans="1:3">
      <c r="A154">
        <v>10400</v>
      </c>
      <c r="B154" t="s">
        <v>235</v>
      </c>
      <c r="C154" s="9">
        <v>35431</v>
      </c>
    </row>
    <row r="155" spans="1:3">
      <c r="A155">
        <v>10401</v>
      </c>
      <c r="B155" t="s">
        <v>190</v>
      </c>
      <c r="C155" s="9">
        <v>35431</v>
      </c>
    </row>
    <row r="156" spans="1:3">
      <c r="A156">
        <v>10402</v>
      </c>
      <c r="B156" t="s">
        <v>186</v>
      </c>
      <c r="C156" s="9">
        <v>35432</v>
      </c>
    </row>
    <row r="157" spans="1:3">
      <c r="A157">
        <v>10403</v>
      </c>
      <c r="B157" t="s">
        <v>186</v>
      </c>
      <c r="C157" s="9">
        <v>35433</v>
      </c>
    </row>
    <row r="158" spans="1:3">
      <c r="A158">
        <v>10404</v>
      </c>
      <c r="B158" t="s">
        <v>199</v>
      </c>
      <c r="C158" s="9">
        <v>35433</v>
      </c>
    </row>
    <row r="159" spans="1:3">
      <c r="A159">
        <v>10405</v>
      </c>
      <c r="B159" t="s">
        <v>244</v>
      </c>
      <c r="C159" s="9">
        <v>35436</v>
      </c>
    </row>
    <row r="160" spans="1:3">
      <c r="A160">
        <v>10406</v>
      </c>
      <c r="B160" t="s">
        <v>239</v>
      </c>
      <c r="C160" s="9">
        <v>35437</v>
      </c>
    </row>
    <row r="161" spans="1:3">
      <c r="A161">
        <v>10407</v>
      </c>
      <c r="B161" t="s">
        <v>188</v>
      </c>
      <c r="C161" s="9">
        <v>35437</v>
      </c>
    </row>
    <row r="162" spans="1:3">
      <c r="A162">
        <v>10408</v>
      </c>
      <c r="B162" t="s">
        <v>245</v>
      </c>
      <c r="C162" s="9">
        <v>35438</v>
      </c>
    </row>
    <row r="163" spans="1:3">
      <c r="A163">
        <v>10409</v>
      </c>
      <c r="B163" t="s">
        <v>246</v>
      </c>
      <c r="C163" s="9">
        <v>35439</v>
      </c>
    </row>
    <row r="164" spans="1:3">
      <c r="A164">
        <v>10410</v>
      </c>
      <c r="B164" t="s">
        <v>243</v>
      </c>
      <c r="C164" s="9">
        <v>35440</v>
      </c>
    </row>
    <row r="165" spans="1:3">
      <c r="A165">
        <v>10411</v>
      </c>
      <c r="B165" t="s">
        <v>243</v>
      </c>
      <c r="C165" s="9">
        <v>35440</v>
      </c>
    </row>
    <row r="166" spans="1:3">
      <c r="A166">
        <v>10412</v>
      </c>
      <c r="B166" t="s">
        <v>193</v>
      </c>
      <c r="C166" s="9">
        <v>35443</v>
      </c>
    </row>
    <row r="167" spans="1:3">
      <c r="A167">
        <v>10413</v>
      </c>
      <c r="B167" t="s">
        <v>230</v>
      </c>
      <c r="C167" s="9">
        <v>35444</v>
      </c>
    </row>
    <row r="168" spans="1:3">
      <c r="A168">
        <v>10414</v>
      </c>
      <c r="B168" t="s">
        <v>229</v>
      </c>
      <c r="C168" s="9">
        <v>35444</v>
      </c>
    </row>
    <row r="169" spans="1:3">
      <c r="A169">
        <v>10415</v>
      </c>
      <c r="B169" t="s">
        <v>241</v>
      </c>
      <c r="C169" s="9">
        <v>35445</v>
      </c>
    </row>
    <row r="170" spans="1:3">
      <c r="A170">
        <v>10416</v>
      </c>
      <c r="B170" t="s">
        <v>193</v>
      </c>
      <c r="C170" s="9">
        <v>35446</v>
      </c>
    </row>
    <row r="171" spans="1:3">
      <c r="A171">
        <v>10417</v>
      </c>
      <c r="B171" t="s">
        <v>228</v>
      </c>
      <c r="C171" s="9">
        <v>35446</v>
      </c>
    </row>
    <row r="172" spans="1:3">
      <c r="A172">
        <v>10418</v>
      </c>
      <c r="B172" t="s">
        <v>198</v>
      </c>
      <c r="C172" s="9">
        <v>35447</v>
      </c>
    </row>
    <row r="173" spans="1:3">
      <c r="A173">
        <v>10419</v>
      </c>
      <c r="B173" t="s">
        <v>183</v>
      </c>
      <c r="C173" s="9">
        <v>35450</v>
      </c>
    </row>
    <row r="174" spans="1:3">
      <c r="A174">
        <v>10420</v>
      </c>
      <c r="B174" t="s">
        <v>184</v>
      </c>
      <c r="C174" s="9">
        <v>35451</v>
      </c>
    </row>
    <row r="175" spans="1:3">
      <c r="A175">
        <v>10421</v>
      </c>
      <c r="B175" t="s">
        <v>189</v>
      </c>
      <c r="C175" s="9">
        <v>35451</v>
      </c>
    </row>
    <row r="176" spans="1:3">
      <c r="A176">
        <v>10422</v>
      </c>
      <c r="B176" t="s">
        <v>247</v>
      </c>
      <c r="C176" s="9">
        <v>35452</v>
      </c>
    </row>
    <row r="177" spans="1:3">
      <c r="A177">
        <v>10423</v>
      </c>
      <c r="B177" t="s">
        <v>248</v>
      </c>
      <c r="C177" s="9">
        <v>35453</v>
      </c>
    </row>
    <row r="178" spans="1:3">
      <c r="A178">
        <v>10424</v>
      </c>
      <c r="B178" t="s">
        <v>226</v>
      </c>
      <c r="C178" s="9">
        <v>35453</v>
      </c>
    </row>
    <row r="179" spans="1:3">
      <c r="A179">
        <v>10425</v>
      </c>
      <c r="B179" t="s">
        <v>230</v>
      </c>
      <c r="C179" s="9">
        <v>35454</v>
      </c>
    </row>
    <row r="180" spans="1:3">
      <c r="A180">
        <v>10426</v>
      </c>
      <c r="B180" t="s">
        <v>237</v>
      </c>
      <c r="C180" s="9">
        <v>35457</v>
      </c>
    </row>
    <row r="181" spans="1:3">
      <c r="A181">
        <v>10427</v>
      </c>
      <c r="B181" t="s">
        <v>231</v>
      </c>
      <c r="C181" s="9">
        <v>35457</v>
      </c>
    </row>
    <row r="182" spans="1:3">
      <c r="A182">
        <v>10428</v>
      </c>
      <c r="B182" t="s">
        <v>207</v>
      </c>
      <c r="C182" s="9">
        <v>35458</v>
      </c>
    </row>
    <row r="183" spans="1:3">
      <c r="A183">
        <v>10429</v>
      </c>
      <c r="B183" t="s">
        <v>211</v>
      </c>
      <c r="C183" s="9">
        <v>35459</v>
      </c>
    </row>
    <row r="184" spans="1:3">
      <c r="A184">
        <v>10430</v>
      </c>
      <c r="B184" t="s">
        <v>186</v>
      </c>
      <c r="C184" s="9">
        <v>35460</v>
      </c>
    </row>
    <row r="185" spans="1:3">
      <c r="A185">
        <v>10431</v>
      </c>
      <c r="B185" t="s">
        <v>243</v>
      </c>
      <c r="C185" s="9">
        <v>35460</v>
      </c>
    </row>
    <row r="186" spans="1:3">
      <c r="A186">
        <v>10432</v>
      </c>
      <c r="B186" t="s">
        <v>197</v>
      </c>
      <c r="C186" s="9">
        <v>35461</v>
      </c>
    </row>
    <row r="187" spans="1:3">
      <c r="A187">
        <v>10433</v>
      </c>
      <c r="B187" t="s">
        <v>227</v>
      </c>
      <c r="C187" s="9">
        <v>35464</v>
      </c>
    </row>
    <row r="188" spans="1:3">
      <c r="A188">
        <v>10434</v>
      </c>
      <c r="B188" t="s">
        <v>191</v>
      </c>
      <c r="C188" s="9">
        <v>35464</v>
      </c>
    </row>
    <row r="189" spans="1:3">
      <c r="A189">
        <v>10435</v>
      </c>
      <c r="B189" t="s">
        <v>249</v>
      </c>
      <c r="C189" s="9">
        <v>35465</v>
      </c>
    </row>
    <row r="190" spans="1:3">
      <c r="A190">
        <v>10436</v>
      </c>
      <c r="B190" t="s">
        <v>192</v>
      </c>
      <c r="C190" s="9">
        <v>35466</v>
      </c>
    </row>
    <row r="191" spans="1:3">
      <c r="A191">
        <v>10437</v>
      </c>
      <c r="B191" t="s">
        <v>193</v>
      </c>
      <c r="C191" s="9">
        <v>35466</v>
      </c>
    </row>
    <row r="192" spans="1:3">
      <c r="A192">
        <v>10438</v>
      </c>
      <c r="B192" t="s">
        <v>178</v>
      </c>
      <c r="C192" s="9">
        <v>35467</v>
      </c>
    </row>
    <row r="193" spans="1:3">
      <c r="A193">
        <v>10439</v>
      </c>
      <c r="B193" t="s">
        <v>226</v>
      </c>
      <c r="C193" s="9">
        <v>35468</v>
      </c>
    </row>
    <row r="194" spans="1:3">
      <c r="A194">
        <v>10440</v>
      </c>
      <c r="B194" t="s">
        <v>222</v>
      </c>
      <c r="C194" s="9">
        <v>35471</v>
      </c>
    </row>
    <row r="195" spans="1:3">
      <c r="A195">
        <v>10441</v>
      </c>
      <c r="B195" t="s">
        <v>214</v>
      </c>
      <c r="C195" s="9">
        <v>35471</v>
      </c>
    </row>
    <row r="196" spans="1:3">
      <c r="A196">
        <v>10442</v>
      </c>
      <c r="B196" t="s">
        <v>186</v>
      </c>
      <c r="C196" s="9">
        <v>35472</v>
      </c>
    </row>
    <row r="197" spans="1:3">
      <c r="A197">
        <v>10443</v>
      </c>
      <c r="B197" t="s">
        <v>207</v>
      </c>
      <c r="C197" s="9">
        <v>35473</v>
      </c>
    </row>
    <row r="198" spans="1:3">
      <c r="A198">
        <v>10444</v>
      </c>
      <c r="B198" t="s">
        <v>202</v>
      </c>
      <c r="C198" s="9">
        <v>35473</v>
      </c>
    </row>
    <row r="199" spans="1:3">
      <c r="A199">
        <v>10445</v>
      </c>
      <c r="B199" t="s">
        <v>202</v>
      </c>
      <c r="C199" s="9">
        <v>35474</v>
      </c>
    </row>
    <row r="200" spans="1:3">
      <c r="A200">
        <v>10446</v>
      </c>
      <c r="B200" t="s">
        <v>178</v>
      </c>
      <c r="C200" s="9">
        <v>35475</v>
      </c>
    </row>
    <row r="201" spans="1:3">
      <c r="A201">
        <v>10447</v>
      </c>
      <c r="B201" t="s">
        <v>206</v>
      </c>
      <c r="C201" s="9">
        <v>35475</v>
      </c>
    </row>
    <row r="202" spans="1:3">
      <c r="A202">
        <v>10448</v>
      </c>
      <c r="B202" t="s">
        <v>250</v>
      </c>
      <c r="C202" s="9">
        <v>35478</v>
      </c>
    </row>
    <row r="203" spans="1:3">
      <c r="A203">
        <v>10449</v>
      </c>
      <c r="B203" t="s">
        <v>192</v>
      </c>
      <c r="C203" s="9">
        <v>35479</v>
      </c>
    </row>
    <row r="204" spans="1:3">
      <c r="A204">
        <v>10450</v>
      </c>
      <c r="B204" t="s">
        <v>180</v>
      </c>
      <c r="C204" s="9">
        <v>35480</v>
      </c>
    </row>
    <row r="205" spans="1:3">
      <c r="A205">
        <v>10451</v>
      </c>
      <c r="B205" t="s">
        <v>198</v>
      </c>
      <c r="C205" s="9">
        <v>35480</v>
      </c>
    </row>
    <row r="206" spans="1:3">
      <c r="A206">
        <v>10452</v>
      </c>
      <c r="B206" t="s">
        <v>222</v>
      </c>
      <c r="C206" s="9">
        <v>35481</v>
      </c>
    </row>
    <row r="207" spans="1:3">
      <c r="A207">
        <v>10453</v>
      </c>
      <c r="B207" t="s">
        <v>232</v>
      </c>
      <c r="C207" s="9">
        <v>35482</v>
      </c>
    </row>
    <row r="208" spans="1:3">
      <c r="A208">
        <v>10454</v>
      </c>
      <c r="B208" t="s">
        <v>230</v>
      </c>
      <c r="C208" s="9">
        <v>35482</v>
      </c>
    </row>
    <row r="209" spans="1:3">
      <c r="A209">
        <v>10455</v>
      </c>
      <c r="B209" t="s">
        <v>193</v>
      </c>
      <c r="C209" s="9">
        <v>35485</v>
      </c>
    </row>
    <row r="210" spans="1:3">
      <c r="A210">
        <v>10456</v>
      </c>
      <c r="B210" t="s">
        <v>221</v>
      </c>
      <c r="C210" s="9">
        <v>35486</v>
      </c>
    </row>
    <row r="211" spans="1:3">
      <c r="A211">
        <v>10457</v>
      </c>
      <c r="B211" t="s">
        <v>221</v>
      </c>
      <c r="C211" s="9">
        <v>35486</v>
      </c>
    </row>
    <row r="212" spans="1:3">
      <c r="A212">
        <v>10458</v>
      </c>
      <c r="B212" t="s">
        <v>181</v>
      </c>
      <c r="C212" s="9">
        <v>35487</v>
      </c>
    </row>
    <row r="213" spans="1:3">
      <c r="A213">
        <v>10459</v>
      </c>
      <c r="B213" t="s">
        <v>180</v>
      </c>
      <c r="C213" s="9">
        <v>35488</v>
      </c>
    </row>
    <row r="214" spans="1:3">
      <c r="A214">
        <v>10460</v>
      </c>
      <c r="B214" t="s">
        <v>191</v>
      </c>
      <c r="C214" s="9">
        <v>35489</v>
      </c>
    </row>
    <row r="215" spans="1:3">
      <c r="A215">
        <v>10461</v>
      </c>
      <c r="B215" t="s">
        <v>205</v>
      </c>
      <c r="C215" s="9">
        <v>35489</v>
      </c>
    </row>
    <row r="216" spans="1:3">
      <c r="A216">
        <v>10462</v>
      </c>
      <c r="B216" t="s">
        <v>249</v>
      </c>
      <c r="C216" s="9">
        <v>35492</v>
      </c>
    </row>
    <row r="217" spans="1:3">
      <c r="A217">
        <v>10463</v>
      </c>
      <c r="B217" t="s">
        <v>181</v>
      </c>
      <c r="C217" s="9">
        <v>35493</v>
      </c>
    </row>
    <row r="218" spans="1:3">
      <c r="A218">
        <v>10464</v>
      </c>
      <c r="B218" t="s">
        <v>224</v>
      </c>
      <c r="C218" s="9">
        <v>35493</v>
      </c>
    </row>
    <row r="219" spans="1:3">
      <c r="A219">
        <v>10465</v>
      </c>
      <c r="B219" t="s">
        <v>238</v>
      </c>
      <c r="C219" s="9">
        <v>35494</v>
      </c>
    </row>
    <row r="220" spans="1:3">
      <c r="A220">
        <v>10466</v>
      </c>
      <c r="B220" t="s">
        <v>209</v>
      </c>
      <c r="C220" s="9">
        <v>35495</v>
      </c>
    </row>
    <row r="221" spans="1:3">
      <c r="A221">
        <v>10467</v>
      </c>
      <c r="B221" t="s">
        <v>199</v>
      </c>
      <c r="C221" s="9">
        <v>35495</v>
      </c>
    </row>
    <row r="222" spans="1:3">
      <c r="A222">
        <v>10468</v>
      </c>
      <c r="B222" t="s">
        <v>221</v>
      </c>
      <c r="C222" s="9">
        <v>35496</v>
      </c>
    </row>
    <row r="223" spans="1:3">
      <c r="A223">
        <v>10469</v>
      </c>
      <c r="B223" t="s">
        <v>196</v>
      </c>
      <c r="C223" s="9">
        <v>35499</v>
      </c>
    </row>
    <row r="224" spans="1:3">
      <c r="A224">
        <v>10470</v>
      </c>
      <c r="B224" t="s">
        <v>225</v>
      </c>
      <c r="C224" s="9">
        <v>35500</v>
      </c>
    </row>
    <row r="225" spans="1:3">
      <c r="A225">
        <v>10471</v>
      </c>
      <c r="B225" t="s">
        <v>208</v>
      </c>
      <c r="C225" s="9">
        <v>35500</v>
      </c>
    </row>
    <row r="226" spans="1:3">
      <c r="A226">
        <v>10472</v>
      </c>
      <c r="B226" t="s">
        <v>233</v>
      </c>
      <c r="C226" s="9">
        <v>35501</v>
      </c>
    </row>
    <row r="227" spans="1:3">
      <c r="A227">
        <v>10473</v>
      </c>
      <c r="B227" t="s">
        <v>219</v>
      </c>
      <c r="C227" s="9">
        <v>35502</v>
      </c>
    </row>
    <row r="228" spans="1:3">
      <c r="A228">
        <v>10474</v>
      </c>
      <c r="B228" t="s">
        <v>220</v>
      </c>
      <c r="C228" s="9">
        <v>35502</v>
      </c>
    </row>
    <row r="229" spans="1:3">
      <c r="A229">
        <v>10475</v>
      </c>
      <c r="B229" t="s">
        <v>181</v>
      </c>
      <c r="C229" s="9">
        <v>35503</v>
      </c>
    </row>
    <row r="230" spans="1:3">
      <c r="A230">
        <v>10476</v>
      </c>
      <c r="B230" t="s">
        <v>185</v>
      </c>
      <c r="C230" s="9">
        <v>35506</v>
      </c>
    </row>
    <row r="231" spans="1:3">
      <c r="A231">
        <v>10477</v>
      </c>
      <c r="B231" t="s">
        <v>227</v>
      </c>
      <c r="C231" s="9">
        <v>35506</v>
      </c>
    </row>
    <row r="232" spans="1:3">
      <c r="A232">
        <v>10478</v>
      </c>
      <c r="B232" t="s">
        <v>180</v>
      </c>
      <c r="C232" s="9">
        <v>35507</v>
      </c>
    </row>
    <row r="233" spans="1:3">
      <c r="A233">
        <v>10479</v>
      </c>
      <c r="B233" t="s">
        <v>190</v>
      </c>
      <c r="C233" s="9">
        <v>35508</v>
      </c>
    </row>
    <row r="234" spans="1:3">
      <c r="A234">
        <v>10480</v>
      </c>
      <c r="B234" t="s">
        <v>245</v>
      </c>
      <c r="C234" s="9">
        <v>35509</v>
      </c>
    </row>
    <row r="235" spans="1:3">
      <c r="A235">
        <v>10481</v>
      </c>
      <c r="B235" t="s">
        <v>206</v>
      </c>
      <c r="C235" s="9">
        <v>35509</v>
      </c>
    </row>
    <row r="236" spans="1:3">
      <c r="A236">
        <v>10482</v>
      </c>
      <c r="B236" t="s">
        <v>251</v>
      </c>
      <c r="C236" s="9">
        <v>35510</v>
      </c>
    </row>
    <row r="237" spans="1:3">
      <c r="A237">
        <v>10483</v>
      </c>
      <c r="B237" t="s">
        <v>196</v>
      </c>
      <c r="C237" s="9">
        <v>35513</v>
      </c>
    </row>
    <row r="238" spans="1:3">
      <c r="A238">
        <v>10484</v>
      </c>
      <c r="B238" t="s">
        <v>208</v>
      </c>
      <c r="C238" s="9">
        <v>35513</v>
      </c>
    </row>
    <row r="239" spans="1:3">
      <c r="A239">
        <v>10485</v>
      </c>
      <c r="B239" t="s">
        <v>244</v>
      </c>
      <c r="C239" s="9">
        <v>35514</v>
      </c>
    </row>
    <row r="240" spans="1:3">
      <c r="A240">
        <v>10486</v>
      </c>
      <c r="B240" t="s">
        <v>185</v>
      </c>
      <c r="C240" s="9">
        <v>35515</v>
      </c>
    </row>
    <row r="241" spans="1:3">
      <c r="A241">
        <v>10487</v>
      </c>
      <c r="B241" t="s">
        <v>239</v>
      </c>
      <c r="C241" s="9">
        <v>35515</v>
      </c>
    </row>
    <row r="242" spans="1:3">
      <c r="A242">
        <v>10488</v>
      </c>
      <c r="B242" t="s">
        <v>194</v>
      </c>
      <c r="C242" s="9">
        <v>35516</v>
      </c>
    </row>
    <row r="243" spans="1:3">
      <c r="A243">
        <v>10489</v>
      </c>
      <c r="B243" t="s">
        <v>231</v>
      </c>
      <c r="C243" s="9">
        <v>35517</v>
      </c>
    </row>
    <row r="244" spans="1:3">
      <c r="A244">
        <v>10490</v>
      </c>
      <c r="B244" t="s">
        <v>185</v>
      </c>
      <c r="C244" s="9">
        <v>35520</v>
      </c>
    </row>
    <row r="245" spans="1:3">
      <c r="A245">
        <v>10491</v>
      </c>
      <c r="B245" t="s">
        <v>224</v>
      </c>
      <c r="C245" s="9">
        <v>35520</v>
      </c>
    </row>
    <row r="246" spans="1:3">
      <c r="A246">
        <v>10492</v>
      </c>
      <c r="B246" t="s">
        <v>243</v>
      </c>
      <c r="C246" s="9">
        <v>35521</v>
      </c>
    </row>
    <row r="247" spans="1:3">
      <c r="A247">
        <v>10493</v>
      </c>
      <c r="B247" t="s">
        <v>230</v>
      </c>
      <c r="C247" s="9">
        <v>35522</v>
      </c>
    </row>
    <row r="248" spans="1:3">
      <c r="A248">
        <v>10494</v>
      </c>
      <c r="B248" t="s">
        <v>209</v>
      </c>
      <c r="C248" s="9">
        <v>35522</v>
      </c>
    </row>
    <row r="249" spans="1:3">
      <c r="A249">
        <v>10495</v>
      </c>
      <c r="B249" t="s">
        <v>252</v>
      </c>
      <c r="C249" s="9">
        <v>35523</v>
      </c>
    </row>
    <row r="250" spans="1:3">
      <c r="A250">
        <v>10496</v>
      </c>
      <c r="B250" t="s">
        <v>210</v>
      </c>
      <c r="C250" s="9">
        <v>35524</v>
      </c>
    </row>
    <row r="251" spans="1:3">
      <c r="A251">
        <v>10497</v>
      </c>
      <c r="B251" t="s">
        <v>203</v>
      </c>
      <c r="C251" s="9">
        <v>35524</v>
      </c>
    </row>
    <row r="252" spans="1:3">
      <c r="A252">
        <v>10498</v>
      </c>
      <c r="B252" t="s">
        <v>185</v>
      </c>
      <c r="C252" s="9">
        <v>35527</v>
      </c>
    </row>
    <row r="253" spans="1:3">
      <c r="A253">
        <v>10499</v>
      </c>
      <c r="B253" t="s">
        <v>205</v>
      </c>
      <c r="C253" s="9">
        <v>35528</v>
      </c>
    </row>
    <row r="254" spans="1:3">
      <c r="A254">
        <v>10500</v>
      </c>
      <c r="B254" t="s">
        <v>230</v>
      </c>
      <c r="C254" s="9">
        <v>35529</v>
      </c>
    </row>
    <row r="255" spans="1:3">
      <c r="A255">
        <v>10501</v>
      </c>
      <c r="B255" t="s">
        <v>253</v>
      </c>
      <c r="C255" s="9">
        <v>35529</v>
      </c>
    </row>
    <row r="256" spans="1:3">
      <c r="A256">
        <v>10502</v>
      </c>
      <c r="B256" t="s">
        <v>220</v>
      </c>
      <c r="C256" s="9">
        <v>35530</v>
      </c>
    </row>
    <row r="257" spans="1:3">
      <c r="A257">
        <v>10503</v>
      </c>
      <c r="B257" t="s">
        <v>211</v>
      </c>
      <c r="C257" s="9">
        <v>35531</v>
      </c>
    </row>
    <row r="258" spans="1:3">
      <c r="A258">
        <v>10504</v>
      </c>
      <c r="B258" t="s">
        <v>196</v>
      </c>
      <c r="C258" s="9">
        <v>35531</v>
      </c>
    </row>
    <row r="259" spans="1:3">
      <c r="A259">
        <v>10505</v>
      </c>
      <c r="B259" t="s">
        <v>226</v>
      </c>
      <c r="C259" s="9">
        <v>35534</v>
      </c>
    </row>
    <row r="260" spans="1:3">
      <c r="A260">
        <v>10506</v>
      </c>
      <c r="B260" t="s">
        <v>221</v>
      </c>
      <c r="C260" s="9">
        <v>35535</v>
      </c>
    </row>
    <row r="261" spans="1:3">
      <c r="A261">
        <v>10507</v>
      </c>
      <c r="B261" t="s">
        <v>236</v>
      </c>
      <c r="C261" s="9">
        <v>35535</v>
      </c>
    </row>
    <row r="262" spans="1:3">
      <c r="A262">
        <v>10508</v>
      </c>
      <c r="B262" t="s">
        <v>188</v>
      </c>
      <c r="C262" s="9">
        <v>35536</v>
      </c>
    </row>
    <row r="263" spans="1:3">
      <c r="A263">
        <v>10509</v>
      </c>
      <c r="B263" t="s">
        <v>253</v>
      </c>
      <c r="C263" s="9">
        <v>35537</v>
      </c>
    </row>
    <row r="264" spans="1:3">
      <c r="A264">
        <v>10510</v>
      </c>
      <c r="B264" t="s">
        <v>222</v>
      </c>
      <c r="C264" s="9">
        <v>35538</v>
      </c>
    </row>
    <row r="265" spans="1:3">
      <c r="A265">
        <v>10511</v>
      </c>
      <c r="B265" t="s">
        <v>225</v>
      </c>
      <c r="C265" s="9">
        <v>35538</v>
      </c>
    </row>
    <row r="266" spans="1:3">
      <c r="A266">
        <v>10512</v>
      </c>
      <c r="B266" t="s">
        <v>229</v>
      </c>
      <c r="C266" s="9">
        <v>35541</v>
      </c>
    </row>
    <row r="267" spans="1:3">
      <c r="A267">
        <v>10513</v>
      </c>
      <c r="B267" t="s">
        <v>212</v>
      </c>
      <c r="C267" s="9">
        <v>35542</v>
      </c>
    </row>
    <row r="268" spans="1:3">
      <c r="A268">
        <v>10514</v>
      </c>
      <c r="B268" t="s">
        <v>186</v>
      </c>
      <c r="C268" s="9">
        <v>35542</v>
      </c>
    </row>
    <row r="269" spans="1:3">
      <c r="A269">
        <v>10515</v>
      </c>
      <c r="B269" t="s">
        <v>198</v>
      </c>
      <c r="C269" s="9">
        <v>35543</v>
      </c>
    </row>
    <row r="270" spans="1:3">
      <c r="A270">
        <v>10516</v>
      </c>
      <c r="B270" t="s">
        <v>211</v>
      </c>
      <c r="C270" s="9">
        <v>35544</v>
      </c>
    </row>
    <row r="271" spans="1:3">
      <c r="A271">
        <v>10517</v>
      </c>
      <c r="B271" t="s">
        <v>254</v>
      </c>
      <c r="C271" s="9">
        <v>35544</v>
      </c>
    </row>
    <row r="272" spans="1:3">
      <c r="A272">
        <v>10518</v>
      </c>
      <c r="B272" t="s">
        <v>200</v>
      </c>
      <c r="C272" s="9">
        <v>35545</v>
      </c>
    </row>
    <row r="273" spans="1:3">
      <c r="A273">
        <v>10519</v>
      </c>
      <c r="B273" t="s">
        <v>182</v>
      </c>
      <c r="C273" s="9">
        <v>35548</v>
      </c>
    </row>
    <row r="274" spans="1:3">
      <c r="A274">
        <v>10520</v>
      </c>
      <c r="B274" t="s">
        <v>242</v>
      </c>
      <c r="C274" s="9">
        <v>35549</v>
      </c>
    </row>
    <row r="275" spans="1:3">
      <c r="A275">
        <v>10521</v>
      </c>
      <c r="B275" t="s">
        <v>255</v>
      </c>
      <c r="C275" s="9">
        <v>35549</v>
      </c>
    </row>
    <row r="276" spans="1:3">
      <c r="A276">
        <v>10522</v>
      </c>
      <c r="B276" t="s">
        <v>203</v>
      </c>
      <c r="C276" s="9">
        <v>35550</v>
      </c>
    </row>
    <row r="277" spans="1:3">
      <c r="A277">
        <v>10523</v>
      </c>
      <c r="B277" t="s">
        <v>233</v>
      </c>
      <c r="C277" s="9">
        <v>35551</v>
      </c>
    </row>
    <row r="278" spans="1:3">
      <c r="A278">
        <v>10524</v>
      </c>
      <c r="B278" t="s">
        <v>202</v>
      </c>
      <c r="C278" s="9">
        <v>35551</v>
      </c>
    </row>
    <row r="279" spans="1:3">
      <c r="A279">
        <v>10525</v>
      </c>
      <c r="B279" t="s">
        <v>225</v>
      </c>
      <c r="C279" s="9">
        <v>35552</v>
      </c>
    </row>
    <row r="280" spans="1:3">
      <c r="A280">
        <v>10526</v>
      </c>
      <c r="B280" t="s">
        <v>193</v>
      </c>
      <c r="C280" s="9">
        <v>35555</v>
      </c>
    </row>
    <row r="281" spans="1:3">
      <c r="A281">
        <v>10527</v>
      </c>
      <c r="B281" t="s">
        <v>198</v>
      </c>
      <c r="C281" s="9">
        <v>35555</v>
      </c>
    </row>
    <row r="282" spans="1:3">
      <c r="A282">
        <v>10528</v>
      </c>
      <c r="B282" t="s">
        <v>256</v>
      </c>
      <c r="C282" s="9">
        <v>35556</v>
      </c>
    </row>
    <row r="283" spans="1:3">
      <c r="A283">
        <v>10529</v>
      </c>
      <c r="B283" t="s">
        <v>257</v>
      </c>
      <c r="C283" s="9">
        <v>35557</v>
      </c>
    </row>
    <row r="284" spans="1:3">
      <c r="A284">
        <v>10530</v>
      </c>
      <c r="B284" t="s">
        <v>231</v>
      </c>
      <c r="C284" s="9">
        <v>35558</v>
      </c>
    </row>
    <row r="285" spans="1:3">
      <c r="A285">
        <v>10531</v>
      </c>
      <c r="B285" t="s">
        <v>246</v>
      </c>
      <c r="C285" s="9">
        <v>35558</v>
      </c>
    </row>
    <row r="286" spans="1:3">
      <c r="A286">
        <v>10532</v>
      </c>
      <c r="B286" t="s">
        <v>235</v>
      </c>
      <c r="C286" s="9">
        <v>35559</v>
      </c>
    </row>
    <row r="287" spans="1:3">
      <c r="A287">
        <v>10533</v>
      </c>
      <c r="B287" t="s">
        <v>191</v>
      </c>
      <c r="C287" s="9">
        <v>35562</v>
      </c>
    </row>
    <row r="288" spans="1:3">
      <c r="A288">
        <v>10534</v>
      </c>
      <c r="B288" t="s">
        <v>203</v>
      </c>
      <c r="C288" s="9">
        <v>35562</v>
      </c>
    </row>
    <row r="289" spans="1:3">
      <c r="A289">
        <v>10535</v>
      </c>
      <c r="B289" t="s">
        <v>236</v>
      </c>
      <c r="C289" s="9">
        <v>35563</v>
      </c>
    </row>
    <row r="290" spans="1:3">
      <c r="A290">
        <v>10536</v>
      </c>
      <c r="B290" t="s">
        <v>203</v>
      </c>
      <c r="C290" s="9">
        <v>35564</v>
      </c>
    </row>
    <row r="291" spans="1:3">
      <c r="A291">
        <v>10537</v>
      </c>
      <c r="B291" t="s">
        <v>183</v>
      </c>
      <c r="C291" s="9">
        <v>35564</v>
      </c>
    </row>
    <row r="292" spans="1:3">
      <c r="A292">
        <v>10538</v>
      </c>
      <c r="B292" t="s">
        <v>208</v>
      </c>
      <c r="C292" s="9">
        <v>35565</v>
      </c>
    </row>
    <row r="293" spans="1:3">
      <c r="A293">
        <v>10539</v>
      </c>
      <c r="B293" t="s">
        <v>208</v>
      </c>
      <c r="C293" s="9">
        <v>35566</v>
      </c>
    </row>
    <row r="294" spans="1:3">
      <c r="A294">
        <v>10540</v>
      </c>
      <c r="B294" t="s">
        <v>198</v>
      </c>
      <c r="C294" s="9">
        <v>35569</v>
      </c>
    </row>
    <row r="295" spans="1:3">
      <c r="A295">
        <v>10541</v>
      </c>
      <c r="B295" t="s">
        <v>179</v>
      </c>
      <c r="C295" s="9">
        <v>35569</v>
      </c>
    </row>
    <row r="296" spans="1:3">
      <c r="A296">
        <v>10542</v>
      </c>
      <c r="B296" t="s">
        <v>221</v>
      </c>
      <c r="C296" s="9">
        <v>35570</v>
      </c>
    </row>
    <row r="297" spans="1:3">
      <c r="A297">
        <v>10543</v>
      </c>
      <c r="B297" t="s">
        <v>205</v>
      </c>
      <c r="C297" s="9">
        <v>35571</v>
      </c>
    </row>
    <row r="298" spans="1:3">
      <c r="A298">
        <v>10544</v>
      </c>
      <c r="B298" t="s">
        <v>215</v>
      </c>
      <c r="C298" s="9">
        <v>35571</v>
      </c>
    </row>
    <row r="299" spans="1:3">
      <c r="A299">
        <v>10545</v>
      </c>
      <c r="B299" t="s">
        <v>251</v>
      </c>
      <c r="C299" s="9">
        <v>35572</v>
      </c>
    </row>
    <row r="300" spans="1:3">
      <c r="A300">
        <v>10546</v>
      </c>
      <c r="B300" t="s">
        <v>180</v>
      </c>
      <c r="C300" s="9">
        <v>35573</v>
      </c>
    </row>
    <row r="301" spans="1:3">
      <c r="A301">
        <v>10547</v>
      </c>
      <c r="B301" t="s">
        <v>233</v>
      </c>
      <c r="C301" s="9">
        <v>35573</v>
      </c>
    </row>
    <row r="302" spans="1:3">
      <c r="A302">
        <v>10548</v>
      </c>
      <c r="B302" t="s">
        <v>178</v>
      </c>
      <c r="C302" s="9">
        <v>35576</v>
      </c>
    </row>
    <row r="303" spans="1:3">
      <c r="A303">
        <v>10549</v>
      </c>
      <c r="B303" t="s">
        <v>198</v>
      </c>
      <c r="C303" s="9">
        <v>35577</v>
      </c>
    </row>
    <row r="304" spans="1:3">
      <c r="A304">
        <v>10550</v>
      </c>
      <c r="B304" t="s">
        <v>213</v>
      </c>
      <c r="C304" s="9">
        <v>35578</v>
      </c>
    </row>
    <row r="305" spans="1:3">
      <c r="A305">
        <v>10551</v>
      </c>
      <c r="B305" t="s">
        <v>224</v>
      </c>
      <c r="C305" s="9">
        <v>35578</v>
      </c>
    </row>
    <row r="306" spans="1:3">
      <c r="A306">
        <v>10552</v>
      </c>
      <c r="B306" t="s">
        <v>185</v>
      </c>
      <c r="C306" s="9">
        <v>35579</v>
      </c>
    </row>
    <row r="307" spans="1:3">
      <c r="A307">
        <v>10553</v>
      </c>
      <c r="B307" t="s">
        <v>193</v>
      </c>
      <c r="C307" s="9">
        <v>35580</v>
      </c>
    </row>
    <row r="308" spans="1:3">
      <c r="A308">
        <v>10554</v>
      </c>
      <c r="B308" t="s">
        <v>188</v>
      </c>
      <c r="C308" s="9">
        <v>35580</v>
      </c>
    </row>
    <row r="309" spans="1:3">
      <c r="A309">
        <v>10555</v>
      </c>
      <c r="B309" t="s">
        <v>222</v>
      </c>
      <c r="C309" s="9">
        <v>35583</v>
      </c>
    </row>
    <row r="310" spans="1:3">
      <c r="A310">
        <v>10556</v>
      </c>
      <c r="B310" t="s">
        <v>228</v>
      </c>
      <c r="C310" s="9">
        <v>35584</v>
      </c>
    </row>
    <row r="311" spans="1:3">
      <c r="A311">
        <v>10557</v>
      </c>
      <c r="B311" t="s">
        <v>203</v>
      </c>
      <c r="C311" s="9">
        <v>35584</v>
      </c>
    </row>
    <row r="312" spans="1:3">
      <c r="A312">
        <v>10558</v>
      </c>
      <c r="B312" t="s">
        <v>232</v>
      </c>
      <c r="C312" s="9">
        <v>35585</v>
      </c>
    </row>
    <row r="313" spans="1:3">
      <c r="A313">
        <v>10559</v>
      </c>
      <c r="B313" t="s">
        <v>192</v>
      </c>
      <c r="C313" s="9">
        <v>35586</v>
      </c>
    </row>
    <row r="314" spans="1:3">
      <c r="A314">
        <v>10560</v>
      </c>
      <c r="B314" t="s">
        <v>194</v>
      </c>
      <c r="C314" s="9">
        <v>35587</v>
      </c>
    </row>
    <row r="315" spans="1:3">
      <c r="A315">
        <v>10561</v>
      </c>
      <c r="B315" t="s">
        <v>191</v>
      </c>
      <c r="C315" s="9">
        <v>35587</v>
      </c>
    </row>
    <row r="316" spans="1:3">
      <c r="A316">
        <v>10562</v>
      </c>
      <c r="B316" t="s">
        <v>207</v>
      </c>
      <c r="C316" s="9">
        <v>35590</v>
      </c>
    </row>
    <row r="317" spans="1:3">
      <c r="A317">
        <v>10563</v>
      </c>
      <c r="B317" t="s">
        <v>206</v>
      </c>
      <c r="C317" s="9">
        <v>35591</v>
      </c>
    </row>
    <row r="318" spans="1:3">
      <c r="A318">
        <v>10564</v>
      </c>
      <c r="B318" t="s">
        <v>190</v>
      </c>
      <c r="C318" s="9">
        <v>35591</v>
      </c>
    </row>
    <row r="319" spans="1:3">
      <c r="A319">
        <v>10565</v>
      </c>
      <c r="B319" t="s">
        <v>226</v>
      </c>
      <c r="C319" s="9">
        <v>35592</v>
      </c>
    </row>
    <row r="320" spans="1:3">
      <c r="A320">
        <v>10566</v>
      </c>
      <c r="B320" t="s">
        <v>192</v>
      </c>
      <c r="C320" s="9">
        <v>35593</v>
      </c>
    </row>
    <row r="321" spans="1:3">
      <c r="A321">
        <v>10567</v>
      </c>
      <c r="B321" t="s">
        <v>211</v>
      </c>
      <c r="C321" s="9">
        <v>35593</v>
      </c>
    </row>
    <row r="322" spans="1:3">
      <c r="A322">
        <v>10568</v>
      </c>
      <c r="B322" t="s">
        <v>237</v>
      </c>
      <c r="C322" s="9">
        <v>35594</v>
      </c>
    </row>
    <row r="323" spans="1:3">
      <c r="A323">
        <v>10569</v>
      </c>
      <c r="B323" t="s">
        <v>190</v>
      </c>
      <c r="C323" s="9">
        <v>35597</v>
      </c>
    </row>
    <row r="324" spans="1:3">
      <c r="A324">
        <v>10570</v>
      </c>
      <c r="B324" t="s">
        <v>226</v>
      </c>
      <c r="C324" s="9">
        <v>35598</v>
      </c>
    </row>
    <row r="325" spans="1:3">
      <c r="A325">
        <v>10571</v>
      </c>
      <c r="B325" t="s">
        <v>186</v>
      </c>
      <c r="C325" s="9">
        <v>35598</v>
      </c>
    </row>
    <row r="326" spans="1:3">
      <c r="A326">
        <v>10572</v>
      </c>
      <c r="B326" t="s">
        <v>202</v>
      </c>
      <c r="C326" s="9">
        <v>35599</v>
      </c>
    </row>
    <row r="327" spans="1:3">
      <c r="A327">
        <v>10573</v>
      </c>
      <c r="B327" t="s">
        <v>236</v>
      </c>
      <c r="C327" s="9">
        <v>35600</v>
      </c>
    </row>
    <row r="328" spans="1:3">
      <c r="A328">
        <v>10574</v>
      </c>
      <c r="B328" t="s">
        <v>258</v>
      </c>
      <c r="C328" s="9">
        <v>35600</v>
      </c>
    </row>
    <row r="329" spans="1:3">
      <c r="A329">
        <v>10575</v>
      </c>
      <c r="B329" t="s">
        <v>201</v>
      </c>
      <c r="C329" s="9">
        <v>35601</v>
      </c>
    </row>
    <row r="330" spans="1:3">
      <c r="A330">
        <v>10576</v>
      </c>
      <c r="B330" t="s">
        <v>200</v>
      </c>
      <c r="C330" s="9">
        <v>35604</v>
      </c>
    </row>
    <row r="331" spans="1:3">
      <c r="A331">
        <v>10577</v>
      </c>
      <c r="B331" t="s">
        <v>258</v>
      </c>
      <c r="C331" s="9">
        <v>35604</v>
      </c>
    </row>
    <row r="332" spans="1:3">
      <c r="A332">
        <v>10578</v>
      </c>
      <c r="B332" t="s">
        <v>208</v>
      </c>
      <c r="C332" s="9">
        <v>35605</v>
      </c>
    </row>
    <row r="333" spans="1:3">
      <c r="A333">
        <v>10579</v>
      </c>
      <c r="B333" t="s">
        <v>259</v>
      </c>
      <c r="C333" s="9">
        <v>35606</v>
      </c>
    </row>
    <row r="334" spans="1:3">
      <c r="A334">
        <v>10580</v>
      </c>
      <c r="B334" t="s">
        <v>188</v>
      </c>
      <c r="C334" s="9">
        <v>35607</v>
      </c>
    </row>
    <row r="335" spans="1:3">
      <c r="A335">
        <v>10581</v>
      </c>
      <c r="B335" t="s">
        <v>229</v>
      </c>
      <c r="C335" s="9">
        <v>35607</v>
      </c>
    </row>
    <row r="336" spans="1:3">
      <c r="A336">
        <v>10582</v>
      </c>
      <c r="B336" t="s">
        <v>253</v>
      </c>
      <c r="C336" s="9">
        <v>35608</v>
      </c>
    </row>
    <row r="337" spans="1:3">
      <c r="A337">
        <v>10583</v>
      </c>
      <c r="B337" t="s">
        <v>193</v>
      </c>
      <c r="C337" s="9">
        <v>35611</v>
      </c>
    </row>
    <row r="338" spans="1:3">
      <c r="A338">
        <v>10584</v>
      </c>
      <c r="B338" t="s">
        <v>192</v>
      </c>
      <c r="C338" s="9">
        <v>35611</v>
      </c>
    </row>
    <row r="339" spans="1:3">
      <c r="A339">
        <v>10585</v>
      </c>
      <c r="B339" t="s">
        <v>184</v>
      </c>
      <c r="C339" s="9">
        <v>35612</v>
      </c>
    </row>
    <row r="340" spans="1:3">
      <c r="A340">
        <v>10586</v>
      </c>
      <c r="B340" t="s">
        <v>207</v>
      </c>
      <c r="C340" s="9">
        <v>35613</v>
      </c>
    </row>
    <row r="341" spans="1:3">
      <c r="A341">
        <v>10587</v>
      </c>
      <c r="B341" t="s">
        <v>189</v>
      </c>
      <c r="C341" s="9">
        <v>35613</v>
      </c>
    </row>
    <row r="342" spans="1:3">
      <c r="A342">
        <v>10588</v>
      </c>
      <c r="B342" t="s">
        <v>198</v>
      </c>
      <c r="C342" s="9">
        <v>35614</v>
      </c>
    </row>
    <row r="343" spans="1:3">
      <c r="A343">
        <v>10589</v>
      </c>
      <c r="B343" t="s">
        <v>256</v>
      </c>
      <c r="C343" s="9">
        <v>35615</v>
      </c>
    </row>
    <row r="344" spans="1:3">
      <c r="A344">
        <v>10590</v>
      </c>
      <c r="B344" t="s">
        <v>226</v>
      </c>
      <c r="C344" s="9">
        <v>35618</v>
      </c>
    </row>
    <row r="345" spans="1:3">
      <c r="A345">
        <v>10591</v>
      </c>
      <c r="B345" t="s">
        <v>238</v>
      </c>
      <c r="C345" s="9">
        <v>35618</v>
      </c>
    </row>
    <row r="346" spans="1:3">
      <c r="A346">
        <v>10592</v>
      </c>
      <c r="B346" t="s">
        <v>203</v>
      </c>
      <c r="C346" s="9">
        <v>35619</v>
      </c>
    </row>
    <row r="347" spans="1:3">
      <c r="A347">
        <v>10593</v>
      </c>
      <c r="B347" t="s">
        <v>203</v>
      </c>
      <c r="C347" s="9">
        <v>35620</v>
      </c>
    </row>
    <row r="348" spans="1:3">
      <c r="A348">
        <v>10594</v>
      </c>
      <c r="B348" t="s">
        <v>214</v>
      </c>
      <c r="C348" s="9">
        <v>35620</v>
      </c>
    </row>
    <row r="349" spans="1:3">
      <c r="A349">
        <v>10595</v>
      </c>
      <c r="B349" t="s">
        <v>186</v>
      </c>
      <c r="C349" s="9">
        <v>35621</v>
      </c>
    </row>
    <row r="350" spans="1:3">
      <c r="A350">
        <v>10596</v>
      </c>
      <c r="B350" t="s">
        <v>196</v>
      </c>
      <c r="C350" s="9">
        <v>35622</v>
      </c>
    </row>
    <row r="351" spans="1:3">
      <c r="A351">
        <v>10597</v>
      </c>
      <c r="B351" t="s">
        <v>231</v>
      </c>
      <c r="C351" s="9">
        <v>35622</v>
      </c>
    </row>
    <row r="352" spans="1:3">
      <c r="A352">
        <v>10598</v>
      </c>
      <c r="B352" t="s">
        <v>190</v>
      </c>
      <c r="C352" s="9">
        <v>35625</v>
      </c>
    </row>
    <row r="353" spans="1:3">
      <c r="A353">
        <v>10599</v>
      </c>
      <c r="B353" t="s">
        <v>208</v>
      </c>
      <c r="C353" s="9">
        <v>35626</v>
      </c>
    </row>
    <row r="354" spans="1:3">
      <c r="A354">
        <v>10600</v>
      </c>
      <c r="B354" t="s">
        <v>241</v>
      </c>
      <c r="C354" s="9">
        <v>35627</v>
      </c>
    </row>
    <row r="355" spans="1:3">
      <c r="A355">
        <v>10601</v>
      </c>
      <c r="B355" t="s">
        <v>185</v>
      </c>
      <c r="C355" s="9">
        <v>35627</v>
      </c>
    </row>
    <row r="356" spans="1:3">
      <c r="A356">
        <v>10602</v>
      </c>
      <c r="B356" t="s">
        <v>238</v>
      </c>
      <c r="C356" s="9">
        <v>35628</v>
      </c>
    </row>
    <row r="357" spans="1:3">
      <c r="A357">
        <v>10603</v>
      </c>
      <c r="B357" t="s">
        <v>222</v>
      </c>
      <c r="C357" s="9">
        <v>35629</v>
      </c>
    </row>
    <row r="358" spans="1:3">
      <c r="A358">
        <v>10604</v>
      </c>
      <c r="B358" t="s">
        <v>224</v>
      </c>
      <c r="C358" s="9">
        <v>35629</v>
      </c>
    </row>
    <row r="359" spans="1:3">
      <c r="A359">
        <v>10605</v>
      </c>
      <c r="B359" t="s">
        <v>226</v>
      </c>
      <c r="C359" s="9">
        <v>35632</v>
      </c>
    </row>
    <row r="360" spans="1:3">
      <c r="A360">
        <v>10606</v>
      </c>
      <c r="B360" t="s">
        <v>210</v>
      </c>
      <c r="C360" s="9">
        <v>35633</v>
      </c>
    </row>
    <row r="361" spans="1:3">
      <c r="A361">
        <v>10607</v>
      </c>
      <c r="B361" t="s">
        <v>222</v>
      </c>
      <c r="C361" s="9">
        <v>35633</v>
      </c>
    </row>
    <row r="362" spans="1:3">
      <c r="A362">
        <v>10608</v>
      </c>
      <c r="B362" t="s">
        <v>178</v>
      </c>
      <c r="C362" s="9">
        <v>35634</v>
      </c>
    </row>
    <row r="363" spans="1:3">
      <c r="A363">
        <v>10609</v>
      </c>
      <c r="B363" t="s">
        <v>218</v>
      </c>
      <c r="C363" s="9">
        <v>35635</v>
      </c>
    </row>
    <row r="364" spans="1:3">
      <c r="A364">
        <v>10610</v>
      </c>
      <c r="B364" t="s">
        <v>230</v>
      </c>
      <c r="C364" s="9">
        <v>35636</v>
      </c>
    </row>
    <row r="365" spans="1:3">
      <c r="A365">
        <v>10611</v>
      </c>
      <c r="B365" t="s">
        <v>240</v>
      </c>
      <c r="C365" s="9">
        <v>35636</v>
      </c>
    </row>
    <row r="366" spans="1:3">
      <c r="A366">
        <v>10612</v>
      </c>
      <c r="B366" t="s">
        <v>222</v>
      </c>
      <c r="C366" s="9">
        <v>35639</v>
      </c>
    </row>
    <row r="367" spans="1:3">
      <c r="A367">
        <v>10613</v>
      </c>
      <c r="B367" t="s">
        <v>185</v>
      </c>
      <c r="C367" s="9">
        <v>35640</v>
      </c>
    </row>
    <row r="368" spans="1:3">
      <c r="A368">
        <v>10614</v>
      </c>
      <c r="B368" t="s">
        <v>253</v>
      </c>
      <c r="C368" s="9">
        <v>35640</v>
      </c>
    </row>
    <row r="369" spans="1:3">
      <c r="A369">
        <v>10615</v>
      </c>
      <c r="B369" t="s">
        <v>260</v>
      </c>
      <c r="C369" s="9">
        <v>35641</v>
      </c>
    </row>
    <row r="370" spans="1:3">
      <c r="A370">
        <v>10616</v>
      </c>
      <c r="B370" t="s">
        <v>256</v>
      </c>
      <c r="C370" s="9">
        <v>35642</v>
      </c>
    </row>
    <row r="371" spans="1:3">
      <c r="A371">
        <v>10617</v>
      </c>
      <c r="B371" t="s">
        <v>256</v>
      </c>
      <c r="C371" s="9">
        <v>35642</v>
      </c>
    </row>
    <row r="372" spans="1:3">
      <c r="A372">
        <v>10618</v>
      </c>
      <c r="B372" t="s">
        <v>226</v>
      </c>
      <c r="C372" s="9">
        <v>35643</v>
      </c>
    </row>
    <row r="373" spans="1:3">
      <c r="A373">
        <v>10619</v>
      </c>
      <c r="B373" t="s">
        <v>226</v>
      </c>
      <c r="C373" s="9">
        <v>35646</v>
      </c>
    </row>
    <row r="374" spans="1:3">
      <c r="A374">
        <v>10620</v>
      </c>
      <c r="B374" t="s">
        <v>252</v>
      </c>
      <c r="C374" s="9">
        <v>35647</v>
      </c>
    </row>
    <row r="375" spans="1:3">
      <c r="A375">
        <v>10621</v>
      </c>
      <c r="B375" t="s">
        <v>219</v>
      </c>
      <c r="C375" s="9">
        <v>35647</v>
      </c>
    </row>
    <row r="376" spans="1:3">
      <c r="A376">
        <v>10622</v>
      </c>
      <c r="B376" t="s">
        <v>206</v>
      </c>
      <c r="C376" s="9">
        <v>35648</v>
      </c>
    </row>
    <row r="377" spans="1:3">
      <c r="A377">
        <v>10623</v>
      </c>
      <c r="B377" t="s">
        <v>194</v>
      </c>
      <c r="C377" s="9">
        <v>35649</v>
      </c>
    </row>
    <row r="378" spans="1:3">
      <c r="A378">
        <v>10624</v>
      </c>
      <c r="B378" t="s">
        <v>261</v>
      </c>
      <c r="C378" s="9">
        <v>35649</v>
      </c>
    </row>
    <row r="379" spans="1:3">
      <c r="A379">
        <v>10625</v>
      </c>
      <c r="B379" t="s">
        <v>216</v>
      </c>
      <c r="C379" s="9">
        <v>35650</v>
      </c>
    </row>
    <row r="380" spans="1:3">
      <c r="A380">
        <v>10626</v>
      </c>
      <c r="B380" t="s">
        <v>202</v>
      </c>
      <c r="C380" s="9">
        <v>35653</v>
      </c>
    </row>
    <row r="381" spans="1:3">
      <c r="A381">
        <v>10627</v>
      </c>
      <c r="B381" t="s">
        <v>222</v>
      </c>
      <c r="C381" s="9">
        <v>35653</v>
      </c>
    </row>
    <row r="382" spans="1:3">
      <c r="A382">
        <v>10628</v>
      </c>
      <c r="B382" t="s">
        <v>192</v>
      </c>
      <c r="C382" s="9">
        <v>35654</v>
      </c>
    </row>
    <row r="383" spans="1:3">
      <c r="A383">
        <v>10629</v>
      </c>
      <c r="B383" t="s">
        <v>213</v>
      </c>
      <c r="C383" s="9">
        <v>35654</v>
      </c>
    </row>
    <row r="384" spans="1:3">
      <c r="A384">
        <v>10630</v>
      </c>
      <c r="B384" t="s">
        <v>221</v>
      </c>
      <c r="C384" s="9">
        <v>35655</v>
      </c>
    </row>
    <row r="385" spans="1:3">
      <c r="A385">
        <v>10631</v>
      </c>
      <c r="B385" t="s">
        <v>230</v>
      </c>
      <c r="C385" s="9">
        <v>35656</v>
      </c>
    </row>
    <row r="386" spans="1:3">
      <c r="A386">
        <v>10632</v>
      </c>
      <c r="B386" t="s">
        <v>212</v>
      </c>
      <c r="C386" s="9">
        <v>35656</v>
      </c>
    </row>
    <row r="387" spans="1:3">
      <c r="A387">
        <v>10633</v>
      </c>
      <c r="B387" t="s">
        <v>186</v>
      </c>
      <c r="C387" s="9">
        <v>35657</v>
      </c>
    </row>
    <row r="388" spans="1:3">
      <c r="A388">
        <v>10634</v>
      </c>
      <c r="B388" t="s">
        <v>245</v>
      </c>
      <c r="C388" s="9">
        <v>35657</v>
      </c>
    </row>
    <row r="389" spans="1:3">
      <c r="A389">
        <v>10635</v>
      </c>
      <c r="B389" t="s">
        <v>199</v>
      </c>
      <c r="C389" s="9">
        <v>35660</v>
      </c>
    </row>
    <row r="390" spans="1:3">
      <c r="A390">
        <v>10636</v>
      </c>
      <c r="B390" t="s">
        <v>193</v>
      </c>
      <c r="C390" s="9">
        <v>35661</v>
      </c>
    </row>
    <row r="391" spans="1:3">
      <c r="A391">
        <v>10637</v>
      </c>
      <c r="B391" t="s">
        <v>239</v>
      </c>
      <c r="C391" s="9">
        <v>35661</v>
      </c>
    </row>
    <row r="392" spans="1:3">
      <c r="A392">
        <v>10638</v>
      </c>
      <c r="B392" t="s">
        <v>244</v>
      </c>
      <c r="C392" s="9">
        <v>35662</v>
      </c>
    </row>
    <row r="393" spans="1:3">
      <c r="A393">
        <v>10639</v>
      </c>
      <c r="B393" t="s">
        <v>242</v>
      </c>
      <c r="C393" s="9">
        <v>35662</v>
      </c>
    </row>
    <row r="394" spans="1:3">
      <c r="A394">
        <v>10640</v>
      </c>
      <c r="B394" t="s">
        <v>212</v>
      </c>
      <c r="C394" s="9">
        <v>35663</v>
      </c>
    </row>
    <row r="395" spans="1:3">
      <c r="A395">
        <v>10641</v>
      </c>
      <c r="B395" t="s">
        <v>185</v>
      </c>
      <c r="C395" s="9">
        <v>35664</v>
      </c>
    </row>
    <row r="396" spans="1:3">
      <c r="A396">
        <v>10642</v>
      </c>
      <c r="B396" t="s">
        <v>228</v>
      </c>
      <c r="C396" s="9">
        <v>35664</v>
      </c>
    </row>
    <row r="397" spans="1:3">
      <c r="A397">
        <v>10643</v>
      </c>
      <c r="B397" t="s">
        <v>262</v>
      </c>
      <c r="C397" s="9">
        <v>35667</v>
      </c>
    </row>
    <row r="398" spans="1:3">
      <c r="A398">
        <v>10644</v>
      </c>
      <c r="B398" t="s">
        <v>184</v>
      </c>
      <c r="C398" s="9">
        <v>35667</v>
      </c>
    </row>
    <row r="399" spans="1:3">
      <c r="A399">
        <v>10645</v>
      </c>
      <c r="B399" t="s">
        <v>179</v>
      </c>
      <c r="C399" s="9">
        <v>35668</v>
      </c>
    </row>
    <row r="400" spans="1:3">
      <c r="A400">
        <v>10646</v>
      </c>
      <c r="B400" t="s">
        <v>211</v>
      </c>
      <c r="C400" s="9">
        <v>35669</v>
      </c>
    </row>
    <row r="401" spans="1:3">
      <c r="A401">
        <v>10647</v>
      </c>
      <c r="B401" t="s">
        <v>189</v>
      </c>
      <c r="C401" s="9">
        <v>35669</v>
      </c>
    </row>
    <row r="402" spans="1:3">
      <c r="A402">
        <v>10648</v>
      </c>
      <c r="B402" t="s">
        <v>206</v>
      </c>
      <c r="C402" s="9">
        <v>35670</v>
      </c>
    </row>
    <row r="403" spans="1:3">
      <c r="A403">
        <v>10649</v>
      </c>
      <c r="B403" t="s">
        <v>257</v>
      </c>
      <c r="C403" s="9">
        <v>35670</v>
      </c>
    </row>
    <row r="404" spans="1:3">
      <c r="A404">
        <v>10650</v>
      </c>
      <c r="B404" t="s">
        <v>229</v>
      </c>
      <c r="C404" s="9">
        <v>35671</v>
      </c>
    </row>
    <row r="405" spans="1:3">
      <c r="A405">
        <v>10651</v>
      </c>
      <c r="B405" t="s">
        <v>212</v>
      </c>
      <c r="C405" s="9">
        <v>35674</v>
      </c>
    </row>
    <row r="406" spans="1:3">
      <c r="A406">
        <v>10652</v>
      </c>
      <c r="B406" t="s">
        <v>248</v>
      </c>
      <c r="C406" s="9">
        <v>35674</v>
      </c>
    </row>
    <row r="407" spans="1:3">
      <c r="A407">
        <v>10653</v>
      </c>
      <c r="B407" t="s">
        <v>194</v>
      </c>
      <c r="C407" s="9">
        <v>35675</v>
      </c>
    </row>
    <row r="408" spans="1:3">
      <c r="A408">
        <v>10654</v>
      </c>
      <c r="B408" t="s">
        <v>202</v>
      </c>
      <c r="C408" s="9">
        <v>35675</v>
      </c>
    </row>
    <row r="409" spans="1:3">
      <c r="A409">
        <v>10655</v>
      </c>
      <c r="B409" t="s">
        <v>207</v>
      </c>
      <c r="C409" s="9">
        <v>35676</v>
      </c>
    </row>
    <row r="410" spans="1:3">
      <c r="A410">
        <v>10656</v>
      </c>
      <c r="B410" t="s">
        <v>256</v>
      </c>
      <c r="C410" s="9">
        <v>35677</v>
      </c>
    </row>
    <row r="411" spans="1:3">
      <c r="A411">
        <v>10657</v>
      </c>
      <c r="B411" t="s">
        <v>222</v>
      </c>
      <c r="C411" s="9">
        <v>35677</v>
      </c>
    </row>
    <row r="412" spans="1:3">
      <c r="A412">
        <v>10658</v>
      </c>
      <c r="B412" t="s">
        <v>198</v>
      </c>
      <c r="C412" s="9">
        <v>35678</v>
      </c>
    </row>
    <row r="413" spans="1:3">
      <c r="A413">
        <v>10659</v>
      </c>
      <c r="B413" t="s">
        <v>239</v>
      </c>
      <c r="C413" s="9">
        <v>35678</v>
      </c>
    </row>
    <row r="414" spans="1:3">
      <c r="A414">
        <v>10660</v>
      </c>
      <c r="B414" t="s">
        <v>241</v>
      </c>
      <c r="C414" s="9">
        <v>35681</v>
      </c>
    </row>
    <row r="415" spans="1:3">
      <c r="A415">
        <v>10661</v>
      </c>
      <c r="B415" t="s">
        <v>211</v>
      </c>
      <c r="C415" s="9">
        <v>35682</v>
      </c>
    </row>
    <row r="416" spans="1:3">
      <c r="A416">
        <v>10662</v>
      </c>
      <c r="B416" t="s">
        <v>215</v>
      </c>
      <c r="C416" s="9">
        <v>35682</v>
      </c>
    </row>
    <row r="417" spans="1:3">
      <c r="A417">
        <v>10663</v>
      </c>
      <c r="B417" t="s">
        <v>225</v>
      </c>
      <c r="C417" s="9">
        <v>35683</v>
      </c>
    </row>
    <row r="418" spans="1:3">
      <c r="A418">
        <v>10664</v>
      </c>
      <c r="B418" t="s">
        <v>224</v>
      </c>
      <c r="C418" s="9">
        <v>35683</v>
      </c>
    </row>
    <row r="419" spans="1:3">
      <c r="A419">
        <v>10665</v>
      </c>
      <c r="B419" t="s">
        <v>215</v>
      </c>
      <c r="C419" s="9">
        <v>35684</v>
      </c>
    </row>
    <row r="420" spans="1:3">
      <c r="A420">
        <v>10666</v>
      </c>
      <c r="B420" t="s">
        <v>183</v>
      </c>
      <c r="C420" s="9">
        <v>35685</v>
      </c>
    </row>
    <row r="421" spans="1:3">
      <c r="A421">
        <v>10667</v>
      </c>
      <c r="B421" t="s">
        <v>186</v>
      </c>
      <c r="C421" s="9">
        <v>35685</v>
      </c>
    </row>
    <row r="422" spans="1:3">
      <c r="A422">
        <v>10668</v>
      </c>
      <c r="B422" t="s">
        <v>212</v>
      </c>
      <c r="C422" s="9">
        <v>35688</v>
      </c>
    </row>
    <row r="423" spans="1:3">
      <c r="A423">
        <v>10669</v>
      </c>
      <c r="B423" t="s">
        <v>228</v>
      </c>
      <c r="C423" s="9">
        <v>35688</v>
      </c>
    </row>
    <row r="424" spans="1:3">
      <c r="A424">
        <v>10670</v>
      </c>
      <c r="B424" t="s">
        <v>194</v>
      </c>
      <c r="C424" s="9">
        <v>35689</v>
      </c>
    </row>
    <row r="425" spans="1:3">
      <c r="A425">
        <v>10671</v>
      </c>
      <c r="B425" t="s">
        <v>263</v>
      </c>
      <c r="C425" s="9">
        <v>35690</v>
      </c>
    </row>
    <row r="426" spans="1:3">
      <c r="A426">
        <v>10672</v>
      </c>
      <c r="B426" t="s">
        <v>202</v>
      </c>
      <c r="C426" s="9">
        <v>35690</v>
      </c>
    </row>
    <row r="427" spans="1:3">
      <c r="A427">
        <v>10673</v>
      </c>
      <c r="B427" t="s">
        <v>260</v>
      </c>
      <c r="C427" s="9">
        <v>35691</v>
      </c>
    </row>
    <row r="428" spans="1:3">
      <c r="A428">
        <v>10674</v>
      </c>
      <c r="B428" t="s">
        <v>219</v>
      </c>
      <c r="C428" s="9">
        <v>35691</v>
      </c>
    </row>
    <row r="429" spans="1:3">
      <c r="A429">
        <v>10675</v>
      </c>
      <c r="B429" t="s">
        <v>194</v>
      </c>
      <c r="C429" s="9">
        <v>35692</v>
      </c>
    </row>
    <row r="430" spans="1:3">
      <c r="A430">
        <v>10676</v>
      </c>
      <c r="B430" t="s">
        <v>200</v>
      </c>
      <c r="C430" s="9">
        <v>35695</v>
      </c>
    </row>
    <row r="431" spans="1:3">
      <c r="A431">
        <v>10677</v>
      </c>
      <c r="B431" t="s">
        <v>236</v>
      </c>
      <c r="C431" s="9">
        <v>35695</v>
      </c>
    </row>
    <row r="432" spans="1:3">
      <c r="A432">
        <v>10678</v>
      </c>
      <c r="B432" t="s">
        <v>222</v>
      </c>
      <c r="C432" s="9">
        <v>35696</v>
      </c>
    </row>
    <row r="433" spans="1:3">
      <c r="A433">
        <v>10679</v>
      </c>
      <c r="B433" t="s">
        <v>192</v>
      </c>
      <c r="C433" s="9">
        <v>35696</v>
      </c>
    </row>
    <row r="434" spans="1:3">
      <c r="A434">
        <v>10680</v>
      </c>
      <c r="B434" t="s">
        <v>214</v>
      </c>
      <c r="C434" s="9">
        <v>35697</v>
      </c>
    </row>
    <row r="435" spans="1:3">
      <c r="A435">
        <v>10681</v>
      </c>
      <c r="B435" t="s">
        <v>256</v>
      </c>
      <c r="C435" s="9">
        <v>35698</v>
      </c>
    </row>
    <row r="436" spans="1:3">
      <c r="A436">
        <v>10682</v>
      </c>
      <c r="B436" t="s">
        <v>236</v>
      </c>
      <c r="C436" s="9">
        <v>35698</v>
      </c>
    </row>
    <row r="437" spans="1:3">
      <c r="A437">
        <v>10683</v>
      </c>
      <c r="B437" t="s">
        <v>218</v>
      </c>
      <c r="C437" s="9">
        <v>35699</v>
      </c>
    </row>
    <row r="438" spans="1:3">
      <c r="A438">
        <v>10684</v>
      </c>
      <c r="B438" t="s">
        <v>188</v>
      </c>
      <c r="C438" s="9">
        <v>35699</v>
      </c>
    </row>
    <row r="439" spans="1:3">
      <c r="A439">
        <v>10685</v>
      </c>
      <c r="B439" t="s">
        <v>248</v>
      </c>
      <c r="C439" s="9">
        <v>35702</v>
      </c>
    </row>
    <row r="440" spans="1:3">
      <c r="A440">
        <v>10686</v>
      </c>
      <c r="B440" t="s">
        <v>231</v>
      </c>
      <c r="C440" s="9">
        <v>35703</v>
      </c>
    </row>
    <row r="441" spans="1:3">
      <c r="A441">
        <v>10687</v>
      </c>
      <c r="B441" t="s">
        <v>211</v>
      </c>
      <c r="C441" s="9">
        <v>35703</v>
      </c>
    </row>
    <row r="442" spans="1:3">
      <c r="A442">
        <v>10688</v>
      </c>
      <c r="B442" t="s">
        <v>238</v>
      </c>
      <c r="C442" s="9">
        <v>35704</v>
      </c>
    </row>
    <row r="443" spans="1:3">
      <c r="A443">
        <v>10689</v>
      </c>
      <c r="B443" t="s">
        <v>202</v>
      </c>
      <c r="C443" s="9">
        <v>35704</v>
      </c>
    </row>
    <row r="444" spans="1:3">
      <c r="A444">
        <v>10690</v>
      </c>
      <c r="B444" t="s">
        <v>179</v>
      </c>
      <c r="C444" s="9">
        <v>35705</v>
      </c>
    </row>
    <row r="445" spans="1:3">
      <c r="A445">
        <v>10691</v>
      </c>
      <c r="B445" t="s">
        <v>198</v>
      </c>
      <c r="C445" s="9">
        <v>35706</v>
      </c>
    </row>
    <row r="446" spans="1:3">
      <c r="A446">
        <v>10692</v>
      </c>
      <c r="B446" t="s">
        <v>262</v>
      </c>
      <c r="C446" s="9">
        <v>35706</v>
      </c>
    </row>
    <row r="447" spans="1:3">
      <c r="A447">
        <v>10693</v>
      </c>
      <c r="B447" t="s">
        <v>196</v>
      </c>
      <c r="C447" s="9">
        <v>35709</v>
      </c>
    </row>
    <row r="448" spans="1:3">
      <c r="A448">
        <v>10694</v>
      </c>
      <c r="B448" t="s">
        <v>198</v>
      </c>
      <c r="C448" s="9">
        <v>35709</v>
      </c>
    </row>
    <row r="449" spans="1:3">
      <c r="A449">
        <v>10695</v>
      </c>
      <c r="B449" t="s">
        <v>260</v>
      </c>
      <c r="C449" s="9">
        <v>35710</v>
      </c>
    </row>
    <row r="450" spans="1:3">
      <c r="A450">
        <v>10696</v>
      </c>
      <c r="B450" t="s">
        <v>196</v>
      </c>
      <c r="C450" s="9">
        <v>35711</v>
      </c>
    </row>
    <row r="451" spans="1:3">
      <c r="A451">
        <v>10697</v>
      </c>
      <c r="B451" t="s">
        <v>244</v>
      </c>
      <c r="C451" s="9">
        <v>35711</v>
      </c>
    </row>
    <row r="452" spans="1:3">
      <c r="A452">
        <v>10698</v>
      </c>
      <c r="B452" t="s">
        <v>186</v>
      </c>
      <c r="C452" s="9">
        <v>35712</v>
      </c>
    </row>
    <row r="453" spans="1:3">
      <c r="A453">
        <v>10699</v>
      </c>
      <c r="B453" t="s">
        <v>201</v>
      </c>
      <c r="C453" s="9">
        <v>35712</v>
      </c>
    </row>
    <row r="454" spans="1:3">
      <c r="A454">
        <v>10700</v>
      </c>
      <c r="B454" t="s">
        <v>222</v>
      </c>
      <c r="C454" s="9">
        <v>35713</v>
      </c>
    </row>
    <row r="455" spans="1:3">
      <c r="A455">
        <v>10701</v>
      </c>
      <c r="B455" t="s">
        <v>211</v>
      </c>
      <c r="C455" s="9">
        <v>35716</v>
      </c>
    </row>
    <row r="456" spans="1:3">
      <c r="A456">
        <v>10702</v>
      </c>
      <c r="B456" t="s">
        <v>262</v>
      </c>
      <c r="C456" s="9">
        <v>35716</v>
      </c>
    </row>
    <row r="457" spans="1:3">
      <c r="A457">
        <v>10703</v>
      </c>
      <c r="B457" t="s">
        <v>191</v>
      </c>
      <c r="C457" s="9">
        <v>35717</v>
      </c>
    </row>
    <row r="458" spans="1:3">
      <c r="A458">
        <v>10704</v>
      </c>
      <c r="B458" t="s">
        <v>239</v>
      </c>
      <c r="C458" s="9">
        <v>35717</v>
      </c>
    </row>
    <row r="459" spans="1:3">
      <c r="A459">
        <v>10705</v>
      </c>
      <c r="B459" t="s">
        <v>185</v>
      </c>
      <c r="C459" s="9">
        <v>35718</v>
      </c>
    </row>
    <row r="460" spans="1:3">
      <c r="A460">
        <v>10706</v>
      </c>
      <c r="B460" t="s">
        <v>214</v>
      </c>
      <c r="C460" s="9">
        <v>35719</v>
      </c>
    </row>
    <row r="461" spans="1:3">
      <c r="A461">
        <v>10707</v>
      </c>
      <c r="B461" t="s">
        <v>232</v>
      </c>
      <c r="C461" s="9">
        <v>35719</v>
      </c>
    </row>
    <row r="462" spans="1:3">
      <c r="A462">
        <v>10708</v>
      </c>
      <c r="B462" t="s">
        <v>217</v>
      </c>
      <c r="C462" s="9">
        <v>35720</v>
      </c>
    </row>
    <row r="463" spans="1:3">
      <c r="A463">
        <v>10709</v>
      </c>
      <c r="B463" t="s">
        <v>248</v>
      </c>
      <c r="C463" s="9">
        <v>35720</v>
      </c>
    </row>
    <row r="464" spans="1:3">
      <c r="A464">
        <v>10710</v>
      </c>
      <c r="B464" t="s">
        <v>247</v>
      </c>
      <c r="C464" s="9">
        <v>35723</v>
      </c>
    </row>
    <row r="465" spans="1:3">
      <c r="A465">
        <v>10711</v>
      </c>
      <c r="B465" t="s">
        <v>222</v>
      </c>
      <c r="C465" s="9">
        <v>35724</v>
      </c>
    </row>
    <row r="466" spans="1:3">
      <c r="A466">
        <v>10712</v>
      </c>
      <c r="B466" t="s">
        <v>211</v>
      </c>
      <c r="C466" s="9">
        <v>35724</v>
      </c>
    </row>
    <row r="467" spans="1:3">
      <c r="A467">
        <v>10713</v>
      </c>
      <c r="B467" t="s">
        <v>222</v>
      </c>
      <c r="C467" s="9">
        <v>35725</v>
      </c>
    </row>
    <row r="468" spans="1:3">
      <c r="A468">
        <v>10714</v>
      </c>
      <c r="B468" t="s">
        <v>222</v>
      </c>
      <c r="C468" s="9">
        <v>35725</v>
      </c>
    </row>
    <row r="469" spans="1:3">
      <c r="A469">
        <v>10715</v>
      </c>
      <c r="B469" t="s">
        <v>225</v>
      </c>
      <c r="C469" s="9">
        <v>35726</v>
      </c>
    </row>
    <row r="470" spans="1:3">
      <c r="A470">
        <v>10716</v>
      </c>
      <c r="B470" t="s">
        <v>250</v>
      </c>
      <c r="C470" s="9">
        <v>35727</v>
      </c>
    </row>
    <row r="471" spans="1:3">
      <c r="A471">
        <v>10717</v>
      </c>
      <c r="B471" t="s">
        <v>194</v>
      </c>
      <c r="C471" s="9">
        <v>35727</v>
      </c>
    </row>
    <row r="472" spans="1:3">
      <c r="A472">
        <v>10718</v>
      </c>
      <c r="B472" t="s">
        <v>221</v>
      </c>
      <c r="C472" s="9">
        <v>35730</v>
      </c>
    </row>
    <row r="473" spans="1:3">
      <c r="A473">
        <v>10719</v>
      </c>
      <c r="B473" t="s">
        <v>259</v>
      </c>
      <c r="C473" s="9">
        <v>35730</v>
      </c>
    </row>
    <row r="474" spans="1:3">
      <c r="A474">
        <v>10720</v>
      </c>
      <c r="B474" t="s">
        <v>189</v>
      </c>
      <c r="C474" s="9">
        <v>35731</v>
      </c>
    </row>
    <row r="475" spans="1:3">
      <c r="A475">
        <v>10721</v>
      </c>
      <c r="B475" t="s">
        <v>198</v>
      </c>
      <c r="C475" s="9">
        <v>35732</v>
      </c>
    </row>
    <row r="476" spans="1:3">
      <c r="A476">
        <v>10722</v>
      </c>
      <c r="B476" t="s">
        <v>222</v>
      </c>
      <c r="C476" s="9">
        <v>35732</v>
      </c>
    </row>
    <row r="477" spans="1:3">
      <c r="A477">
        <v>10723</v>
      </c>
      <c r="B477" t="s">
        <v>196</v>
      </c>
      <c r="C477" s="9">
        <v>35733</v>
      </c>
    </row>
    <row r="478" spans="1:3">
      <c r="A478">
        <v>10724</v>
      </c>
      <c r="B478" t="s">
        <v>226</v>
      </c>
      <c r="C478" s="9">
        <v>35733</v>
      </c>
    </row>
    <row r="479" spans="1:3">
      <c r="A479">
        <v>10725</v>
      </c>
      <c r="B479" t="s">
        <v>229</v>
      </c>
      <c r="C479" s="9">
        <v>35734</v>
      </c>
    </row>
    <row r="480" spans="1:3">
      <c r="A480">
        <v>10726</v>
      </c>
      <c r="B480" t="s">
        <v>235</v>
      </c>
      <c r="C480" s="9">
        <v>35737</v>
      </c>
    </row>
    <row r="481" spans="1:3">
      <c r="A481">
        <v>10727</v>
      </c>
      <c r="B481" t="s">
        <v>207</v>
      </c>
      <c r="C481" s="9">
        <v>35737</v>
      </c>
    </row>
    <row r="482" spans="1:3">
      <c r="A482">
        <v>10728</v>
      </c>
      <c r="B482" t="s">
        <v>239</v>
      </c>
      <c r="C482" s="9">
        <v>35738</v>
      </c>
    </row>
    <row r="483" spans="1:3">
      <c r="A483">
        <v>10729</v>
      </c>
      <c r="B483" t="s">
        <v>244</v>
      </c>
      <c r="C483" s="9">
        <v>35738</v>
      </c>
    </row>
    <row r="484" spans="1:3">
      <c r="A484">
        <v>10730</v>
      </c>
      <c r="B484" t="s">
        <v>225</v>
      </c>
      <c r="C484" s="9">
        <v>35739</v>
      </c>
    </row>
    <row r="485" spans="1:3">
      <c r="A485">
        <v>10731</v>
      </c>
      <c r="B485" t="s">
        <v>182</v>
      </c>
      <c r="C485" s="9">
        <v>35740</v>
      </c>
    </row>
    <row r="486" spans="1:3">
      <c r="A486">
        <v>10732</v>
      </c>
      <c r="B486" t="s">
        <v>225</v>
      </c>
      <c r="C486" s="9">
        <v>35740</v>
      </c>
    </row>
    <row r="487" spans="1:3">
      <c r="A487">
        <v>10733</v>
      </c>
      <c r="B487" t="s">
        <v>202</v>
      </c>
      <c r="C487" s="9">
        <v>35741</v>
      </c>
    </row>
    <row r="488" spans="1:3">
      <c r="A488">
        <v>10734</v>
      </c>
      <c r="B488" t="s">
        <v>248</v>
      </c>
      <c r="C488" s="9">
        <v>35741</v>
      </c>
    </row>
    <row r="489" spans="1:3">
      <c r="A489">
        <v>10735</v>
      </c>
      <c r="B489" t="s">
        <v>259</v>
      </c>
      <c r="C489" s="9">
        <v>35744</v>
      </c>
    </row>
    <row r="490" spans="1:3">
      <c r="A490">
        <v>10736</v>
      </c>
      <c r="B490" t="s">
        <v>211</v>
      </c>
      <c r="C490" s="9">
        <v>35745</v>
      </c>
    </row>
    <row r="491" spans="1:3">
      <c r="A491">
        <v>10737</v>
      </c>
      <c r="B491" t="s">
        <v>177</v>
      </c>
      <c r="C491" s="9">
        <v>35745</v>
      </c>
    </row>
    <row r="492" spans="1:3">
      <c r="A492">
        <v>10738</v>
      </c>
      <c r="B492" t="s">
        <v>264</v>
      </c>
      <c r="C492" s="9">
        <v>35746</v>
      </c>
    </row>
    <row r="493" spans="1:3">
      <c r="A493">
        <v>10739</v>
      </c>
      <c r="B493" t="s">
        <v>177</v>
      </c>
      <c r="C493" s="9">
        <v>35746</v>
      </c>
    </row>
    <row r="494" spans="1:3">
      <c r="A494">
        <v>10740</v>
      </c>
      <c r="B494" t="s">
        <v>196</v>
      </c>
      <c r="C494" s="9">
        <v>35747</v>
      </c>
    </row>
    <row r="495" spans="1:3">
      <c r="A495">
        <v>10741</v>
      </c>
      <c r="B495" t="s">
        <v>232</v>
      </c>
      <c r="C495" s="9">
        <v>35748</v>
      </c>
    </row>
    <row r="496" spans="1:3">
      <c r="A496">
        <v>10742</v>
      </c>
      <c r="B496" t="s">
        <v>243</v>
      </c>
      <c r="C496" s="9">
        <v>35748</v>
      </c>
    </row>
    <row r="497" spans="1:3">
      <c r="A497">
        <v>10743</v>
      </c>
      <c r="B497" t="s">
        <v>232</v>
      </c>
      <c r="C497" s="9">
        <v>35751</v>
      </c>
    </row>
    <row r="498" spans="1:3">
      <c r="A498">
        <v>10744</v>
      </c>
      <c r="B498" t="s">
        <v>238</v>
      </c>
      <c r="C498" s="9">
        <v>35751</v>
      </c>
    </row>
    <row r="499" spans="1:3">
      <c r="A499">
        <v>10745</v>
      </c>
      <c r="B499" t="s">
        <v>198</v>
      </c>
      <c r="C499" s="9">
        <v>35752</v>
      </c>
    </row>
    <row r="500" spans="1:3">
      <c r="A500">
        <v>10746</v>
      </c>
      <c r="B500" t="s">
        <v>182</v>
      </c>
      <c r="C500" s="9">
        <v>35753</v>
      </c>
    </row>
    <row r="501" spans="1:3">
      <c r="A501">
        <v>10747</v>
      </c>
      <c r="B501" t="s">
        <v>231</v>
      </c>
      <c r="C501" s="9">
        <v>35753</v>
      </c>
    </row>
    <row r="502" spans="1:3">
      <c r="A502">
        <v>10748</v>
      </c>
      <c r="B502" t="s">
        <v>222</v>
      </c>
      <c r="C502" s="9">
        <v>35754</v>
      </c>
    </row>
    <row r="503" spans="1:3">
      <c r="A503">
        <v>10749</v>
      </c>
      <c r="B503" t="s">
        <v>219</v>
      </c>
      <c r="C503" s="9">
        <v>35754</v>
      </c>
    </row>
    <row r="504" spans="1:3">
      <c r="A504">
        <v>10750</v>
      </c>
      <c r="B504" t="s">
        <v>193</v>
      </c>
      <c r="C504" s="9">
        <v>35755</v>
      </c>
    </row>
    <row r="505" spans="1:3">
      <c r="A505">
        <v>10751</v>
      </c>
      <c r="B505" t="s">
        <v>183</v>
      </c>
      <c r="C505" s="9">
        <v>35758</v>
      </c>
    </row>
    <row r="506" spans="1:3">
      <c r="A506">
        <v>10752</v>
      </c>
      <c r="B506" t="s">
        <v>254</v>
      </c>
      <c r="C506" s="9">
        <v>35758</v>
      </c>
    </row>
    <row r="507" spans="1:3">
      <c r="A507">
        <v>10753</v>
      </c>
      <c r="B507" t="s">
        <v>247</v>
      </c>
      <c r="C507" s="9">
        <v>35759</v>
      </c>
    </row>
    <row r="508" spans="1:3">
      <c r="A508">
        <v>10754</v>
      </c>
      <c r="B508" t="s">
        <v>199</v>
      </c>
      <c r="C508" s="9">
        <v>35759</v>
      </c>
    </row>
    <row r="509" spans="1:3">
      <c r="A509">
        <v>10755</v>
      </c>
      <c r="B509" t="s">
        <v>225</v>
      </c>
      <c r="C509" s="9">
        <v>35760</v>
      </c>
    </row>
    <row r="510" spans="1:3">
      <c r="A510">
        <v>10756</v>
      </c>
      <c r="B510" t="s">
        <v>197</v>
      </c>
      <c r="C510" s="9">
        <v>35761</v>
      </c>
    </row>
    <row r="511" spans="1:3">
      <c r="A511">
        <v>10757</v>
      </c>
      <c r="B511" t="s">
        <v>222</v>
      </c>
      <c r="C511" s="9">
        <v>35761</v>
      </c>
    </row>
    <row r="512" spans="1:3">
      <c r="A512">
        <v>10758</v>
      </c>
      <c r="B512" t="s">
        <v>183</v>
      </c>
      <c r="C512" s="9">
        <v>35762</v>
      </c>
    </row>
    <row r="513" spans="1:3">
      <c r="A513">
        <v>10759</v>
      </c>
      <c r="B513" t="s">
        <v>216</v>
      </c>
      <c r="C513" s="9">
        <v>35762</v>
      </c>
    </row>
    <row r="514" spans="1:3">
      <c r="A514">
        <v>10760</v>
      </c>
      <c r="B514" t="s">
        <v>257</v>
      </c>
      <c r="C514" s="9">
        <v>35765</v>
      </c>
    </row>
    <row r="515" spans="1:3">
      <c r="A515">
        <v>10761</v>
      </c>
      <c r="B515" t="s">
        <v>190</v>
      </c>
      <c r="C515" s="9">
        <v>35766</v>
      </c>
    </row>
    <row r="516" spans="1:3">
      <c r="A516">
        <v>10762</v>
      </c>
      <c r="B516" t="s">
        <v>191</v>
      </c>
      <c r="C516" s="9">
        <v>35766</v>
      </c>
    </row>
    <row r="517" spans="1:3">
      <c r="A517">
        <v>10763</v>
      </c>
      <c r="B517" t="s">
        <v>245</v>
      </c>
      <c r="C517" s="9">
        <v>35767</v>
      </c>
    </row>
    <row r="518" spans="1:3">
      <c r="A518">
        <v>10764</v>
      </c>
      <c r="B518" t="s">
        <v>186</v>
      </c>
      <c r="C518" s="9">
        <v>35767</v>
      </c>
    </row>
    <row r="519" spans="1:3">
      <c r="A519">
        <v>10765</v>
      </c>
      <c r="B519" t="s">
        <v>198</v>
      </c>
      <c r="C519" s="9">
        <v>35768</v>
      </c>
    </row>
    <row r="520" spans="1:3">
      <c r="A520">
        <v>10766</v>
      </c>
      <c r="B520" t="s">
        <v>188</v>
      </c>
      <c r="C520" s="9">
        <v>35769</v>
      </c>
    </row>
    <row r="521" spans="1:3">
      <c r="A521">
        <v>10767</v>
      </c>
      <c r="B521" t="s">
        <v>181</v>
      </c>
      <c r="C521" s="9">
        <v>35769</v>
      </c>
    </row>
    <row r="522" spans="1:3">
      <c r="A522">
        <v>10768</v>
      </c>
      <c r="B522" t="s">
        <v>232</v>
      </c>
      <c r="C522" s="9">
        <v>35772</v>
      </c>
    </row>
    <row r="523" spans="1:3">
      <c r="A523">
        <v>10769</v>
      </c>
      <c r="B523" t="s">
        <v>238</v>
      </c>
      <c r="C523" s="9">
        <v>35772</v>
      </c>
    </row>
    <row r="524" spans="1:3">
      <c r="A524">
        <v>10770</v>
      </c>
      <c r="B524" t="s">
        <v>179</v>
      </c>
      <c r="C524" s="9">
        <v>35773</v>
      </c>
    </row>
    <row r="525" spans="1:3">
      <c r="A525">
        <v>10771</v>
      </c>
      <c r="B525" t="s">
        <v>186</v>
      </c>
      <c r="C525" s="9">
        <v>35774</v>
      </c>
    </row>
    <row r="526" spans="1:3">
      <c r="A526">
        <v>10772</v>
      </c>
      <c r="B526" t="s">
        <v>203</v>
      </c>
      <c r="C526" s="9">
        <v>35774</v>
      </c>
    </row>
    <row r="527" spans="1:3">
      <c r="A527">
        <v>10773</v>
      </c>
      <c r="B527" t="s">
        <v>186</v>
      </c>
      <c r="C527" s="9">
        <v>35775</v>
      </c>
    </row>
    <row r="528" spans="1:3">
      <c r="A528">
        <v>10774</v>
      </c>
      <c r="B528" t="s">
        <v>191</v>
      </c>
      <c r="C528" s="9">
        <v>35775</v>
      </c>
    </row>
    <row r="529" spans="1:3">
      <c r="A529">
        <v>10775</v>
      </c>
      <c r="B529" t="s">
        <v>261</v>
      </c>
      <c r="C529" s="9">
        <v>35776</v>
      </c>
    </row>
    <row r="530" spans="1:3">
      <c r="A530">
        <v>10776</v>
      </c>
      <c r="B530" t="s">
        <v>186</v>
      </c>
      <c r="C530" s="9">
        <v>35779</v>
      </c>
    </row>
    <row r="531" spans="1:3">
      <c r="A531">
        <v>10777</v>
      </c>
      <c r="B531" t="s">
        <v>248</v>
      </c>
      <c r="C531" s="9">
        <v>35779</v>
      </c>
    </row>
    <row r="532" spans="1:3">
      <c r="A532">
        <v>10778</v>
      </c>
      <c r="B532" t="s">
        <v>202</v>
      </c>
      <c r="C532" s="9">
        <v>35780</v>
      </c>
    </row>
    <row r="533" spans="1:3">
      <c r="A533">
        <v>10779</v>
      </c>
      <c r="B533" t="s">
        <v>201</v>
      </c>
      <c r="C533" s="9">
        <v>35780</v>
      </c>
    </row>
    <row r="534" spans="1:3">
      <c r="A534">
        <v>10780</v>
      </c>
      <c r="B534" t="s">
        <v>205</v>
      </c>
      <c r="C534" s="9">
        <v>35780</v>
      </c>
    </row>
    <row r="535" spans="1:3">
      <c r="A535">
        <v>10781</v>
      </c>
      <c r="B535" t="s">
        <v>193</v>
      </c>
      <c r="C535" s="9">
        <v>35781</v>
      </c>
    </row>
    <row r="536" spans="1:3">
      <c r="A536">
        <v>10782</v>
      </c>
      <c r="B536" t="s">
        <v>255</v>
      </c>
      <c r="C536" s="9">
        <v>35781</v>
      </c>
    </row>
    <row r="537" spans="1:3">
      <c r="A537">
        <v>10783</v>
      </c>
      <c r="B537" t="s">
        <v>179</v>
      </c>
      <c r="C537" s="9">
        <v>35782</v>
      </c>
    </row>
    <row r="538" spans="1:3">
      <c r="A538">
        <v>10784</v>
      </c>
      <c r="B538" t="s">
        <v>199</v>
      </c>
      <c r="C538" s="9">
        <v>35782</v>
      </c>
    </row>
    <row r="539" spans="1:3">
      <c r="A539">
        <v>10785</v>
      </c>
      <c r="B539" t="s">
        <v>195</v>
      </c>
      <c r="C539" s="9">
        <v>35782</v>
      </c>
    </row>
    <row r="540" spans="1:3">
      <c r="A540">
        <v>10786</v>
      </c>
      <c r="B540" t="s">
        <v>239</v>
      </c>
      <c r="C540" s="9">
        <v>35783</v>
      </c>
    </row>
    <row r="541" spans="1:3">
      <c r="A541">
        <v>10787</v>
      </c>
      <c r="B541" t="s">
        <v>230</v>
      </c>
      <c r="C541" s="9">
        <v>35783</v>
      </c>
    </row>
    <row r="542" spans="1:3">
      <c r="A542">
        <v>10788</v>
      </c>
      <c r="B542" t="s">
        <v>198</v>
      </c>
      <c r="C542" s="9">
        <v>35786</v>
      </c>
    </row>
    <row r="543" spans="1:3">
      <c r="A543">
        <v>10789</v>
      </c>
      <c r="B543" t="s">
        <v>245</v>
      </c>
      <c r="C543" s="9">
        <v>35786</v>
      </c>
    </row>
    <row r="544" spans="1:3">
      <c r="A544">
        <v>10790</v>
      </c>
      <c r="B544" t="s">
        <v>248</v>
      </c>
      <c r="C544" s="9">
        <v>35786</v>
      </c>
    </row>
    <row r="545" spans="1:3">
      <c r="A545">
        <v>10791</v>
      </c>
      <c r="B545" t="s">
        <v>194</v>
      </c>
      <c r="C545" s="9">
        <v>35787</v>
      </c>
    </row>
    <row r="546" spans="1:3">
      <c r="A546">
        <v>10792</v>
      </c>
      <c r="B546" t="s">
        <v>240</v>
      </c>
      <c r="C546" s="9">
        <v>35787</v>
      </c>
    </row>
    <row r="547" spans="1:3">
      <c r="A547">
        <v>10793</v>
      </c>
      <c r="B547" t="s">
        <v>232</v>
      </c>
      <c r="C547" s="9">
        <v>35788</v>
      </c>
    </row>
    <row r="548" spans="1:3">
      <c r="A548">
        <v>10794</v>
      </c>
      <c r="B548" t="s">
        <v>189</v>
      </c>
      <c r="C548" s="9">
        <v>35788</v>
      </c>
    </row>
    <row r="549" spans="1:3">
      <c r="A549">
        <v>10795</v>
      </c>
      <c r="B549" t="s">
        <v>186</v>
      </c>
      <c r="C549" s="9">
        <v>35788</v>
      </c>
    </row>
    <row r="550" spans="1:3">
      <c r="A550">
        <v>10796</v>
      </c>
      <c r="B550" t="s">
        <v>185</v>
      </c>
      <c r="C550" s="9">
        <v>35789</v>
      </c>
    </row>
    <row r="551" spans="1:3">
      <c r="A551">
        <v>10797</v>
      </c>
      <c r="B551" t="s">
        <v>234</v>
      </c>
      <c r="C551" s="9">
        <v>35789</v>
      </c>
    </row>
    <row r="552" spans="1:3">
      <c r="A552">
        <v>10798</v>
      </c>
      <c r="B552" t="s">
        <v>219</v>
      </c>
      <c r="C552" s="9">
        <v>35790</v>
      </c>
    </row>
    <row r="553" spans="1:3">
      <c r="A553">
        <v>10799</v>
      </c>
      <c r="B553" t="s">
        <v>221</v>
      </c>
      <c r="C553" s="9">
        <v>35790</v>
      </c>
    </row>
    <row r="554" spans="1:3">
      <c r="A554">
        <v>10800</v>
      </c>
      <c r="B554" t="s">
        <v>233</v>
      </c>
      <c r="C554" s="9">
        <v>35790</v>
      </c>
    </row>
    <row r="555" spans="1:3">
      <c r="A555">
        <v>10801</v>
      </c>
      <c r="B555" t="s">
        <v>223</v>
      </c>
      <c r="C555" s="9">
        <v>35793</v>
      </c>
    </row>
    <row r="556" spans="1:3">
      <c r="A556">
        <v>10802</v>
      </c>
      <c r="B556" t="s">
        <v>228</v>
      </c>
      <c r="C556" s="9">
        <v>35793</v>
      </c>
    </row>
    <row r="557" spans="1:3">
      <c r="A557">
        <v>10803</v>
      </c>
      <c r="B557" t="s">
        <v>184</v>
      </c>
      <c r="C557" s="9">
        <v>35794</v>
      </c>
    </row>
    <row r="558" spans="1:3">
      <c r="A558">
        <v>10804</v>
      </c>
      <c r="B558" t="s">
        <v>233</v>
      </c>
      <c r="C558" s="9">
        <v>35794</v>
      </c>
    </row>
    <row r="559" spans="1:3">
      <c r="A559">
        <v>10805</v>
      </c>
      <c r="B559" t="s">
        <v>217</v>
      </c>
      <c r="C559" s="9">
        <v>35794</v>
      </c>
    </row>
    <row r="560" spans="1:3">
      <c r="A560">
        <v>10806</v>
      </c>
      <c r="B560" t="s">
        <v>180</v>
      </c>
      <c r="C560" s="9">
        <v>35795</v>
      </c>
    </row>
    <row r="561" spans="1:3">
      <c r="A561">
        <v>10807</v>
      </c>
      <c r="B561" t="s">
        <v>247</v>
      </c>
      <c r="C561" s="9">
        <v>35795</v>
      </c>
    </row>
    <row r="562" spans="1:3">
      <c r="A562">
        <v>10808</v>
      </c>
      <c r="B562" t="s">
        <v>214</v>
      </c>
      <c r="C562" s="9">
        <v>35796</v>
      </c>
    </row>
    <row r="563" spans="1:3">
      <c r="A563">
        <v>10809</v>
      </c>
      <c r="B563" t="s">
        <v>184</v>
      </c>
      <c r="C563" s="9">
        <v>35796</v>
      </c>
    </row>
    <row r="564" spans="1:3">
      <c r="A564">
        <v>10810</v>
      </c>
      <c r="B564" t="s">
        <v>252</v>
      </c>
      <c r="C564" s="9">
        <v>35796</v>
      </c>
    </row>
    <row r="565" spans="1:3">
      <c r="A565">
        <v>10811</v>
      </c>
      <c r="B565" t="s">
        <v>244</v>
      </c>
      <c r="C565" s="9">
        <v>35797</v>
      </c>
    </row>
    <row r="566" spans="1:3">
      <c r="A566">
        <v>10812</v>
      </c>
      <c r="B566" t="s">
        <v>207</v>
      </c>
      <c r="C566" s="9">
        <v>35797</v>
      </c>
    </row>
    <row r="567" spans="1:3">
      <c r="A567">
        <v>10813</v>
      </c>
      <c r="B567" t="s">
        <v>206</v>
      </c>
      <c r="C567" s="9">
        <v>35800</v>
      </c>
    </row>
    <row r="568" spans="1:3">
      <c r="A568">
        <v>10814</v>
      </c>
      <c r="B568" t="s">
        <v>180</v>
      </c>
      <c r="C568" s="9">
        <v>35800</v>
      </c>
    </row>
    <row r="569" spans="1:3">
      <c r="A569">
        <v>10815</v>
      </c>
      <c r="B569" t="s">
        <v>222</v>
      </c>
      <c r="C569" s="9">
        <v>35800</v>
      </c>
    </row>
    <row r="570" spans="1:3">
      <c r="A570">
        <v>10816</v>
      </c>
      <c r="B570" t="s">
        <v>256</v>
      </c>
      <c r="C570" s="9">
        <v>35801</v>
      </c>
    </row>
    <row r="571" spans="1:3">
      <c r="A571">
        <v>10817</v>
      </c>
      <c r="B571" t="s">
        <v>221</v>
      </c>
      <c r="C571" s="9">
        <v>35801</v>
      </c>
    </row>
    <row r="572" spans="1:3">
      <c r="A572">
        <v>10818</v>
      </c>
      <c r="B572" t="s">
        <v>199</v>
      </c>
      <c r="C572" s="9">
        <v>35802</v>
      </c>
    </row>
    <row r="573" spans="1:3">
      <c r="A573">
        <v>10819</v>
      </c>
      <c r="B573" t="s">
        <v>255</v>
      </c>
      <c r="C573" s="9">
        <v>35802</v>
      </c>
    </row>
    <row r="574" spans="1:3">
      <c r="A574">
        <v>10820</v>
      </c>
      <c r="B574" t="s">
        <v>190</v>
      </c>
      <c r="C574" s="9">
        <v>35802</v>
      </c>
    </row>
    <row r="575" spans="1:3">
      <c r="A575">
        <v>10821</v>
      </c>
      <c r="B575" t="s">
        <v>197</v>
      </c>
      <c r="C575" s="9">
        <v>35803</v>
      </c>
    </row>
    <row r="576" spans="1:3">
      <c r="A576">
        <v>10822</v>
      </c>
      <c r="B576" t="s">
        <v>258</v>
      </c>
      <c r="C576" s="9">
        <v>35803</v>
      </c>
    </row>
    <row r="577" spans="1:3">
      <c r="A577">
        <v>10823</v>
      </c>
      <c r="B577" t="s">
        <v>205</v>
      </c>
      <c r="C577" s="9">
        <v>35804</v>
      </c>
    </row>
    <row r="578" spans="1:3">
      <c r="A578">
        <v>10824</v>
      </c>
      <c r="B578" t="s">
        <v>191</v>
      </c>
      <c r="C578" s="9">
        <v>35804</v>
      </c>
    </row>
    <row r="579" spans="1:3">
      <c r="A579">
        <v>10825</v>
      </c>
      <c r="B579" t="s">
        <v>234</v>
      </c>
      <c r="C579" s="9">
        <v>35804</v>
      </c>
    </row>
    <row r="580" spans="1:3">
      <c r="A580">
        <v>10826</v>
      </c>
      <c r="B580" t="s">
        <v>192</v>
      </c>
      <c r="C580" s="9">
        <v>35807</v>
      </c>
    </row>
    <row r="581" spans="1:3">
      <c r="A581">
        <v>10827</v>
      </c>
      <c r="B581" t="s">
        <v>225</v>
      </c>
      <c r="C581" s="9">
        <v>35807</v>
      </c>
    </row>
    <row r="582" spans="1:3">
      <c r="A582">
        <v>10828</v>
      </c>
      <c r="B582" t="s">
        <v>250</v>
      </c>
      <c r="C582" s="9">
        <v>35808</v>
      </c>
    </row>
    <row r="583" spans="1:3">
      <c r="A583">
        <v>10829</v>
      </c>
      <c r="B583" t="s">
        <v>219</v>
      </c>
      <c r="C583" s="9">
        <v>35808</v>
      </c>
    </row>
    <row r="584" spans="1:3">
      <c r="A584">
        <v>10830</v>
      </c>
      <c r="B584" t="s">
        <v>210</v>
      </c>
      <c r="C584" s="9">
        <v>35808</v>
      </c>
    </row>
    <row r="585" spans="1:3">
      <c r="A585">
        <v>10831</v>
      </c>
      <c r="B585" t="s">
        <v>242</v>
      </c>
      <c r="C585" s="9">
        <v>35809</v>
      </c>
    </row>
    <row r="586" spans="1:3">
      <c r="A586">
        <v>10832</v>
      </c>
      <c r="B586" t="s">
        <v>230</v>
      </c>
      <c r="C586" s="9">
        <v>35809</v>
      </c>
    </row>
    <row r="587" spans="1:3">
      <c r="A587">
        <v>10833</v>
      </c>
      <c r="B587" t="s">
        <v>188</v>
      </c>
      <c r="C587" s="9">
        <v>35810</v>
      </c>
    </row>
    <row r="588" spans="1:3">
      <c r="A588">
        <v>10834</v>
      </c>
      <c r="B588" t="s">
        <v>210</v>
      </c>
      <c r="C588" s="9">
        <v>35810</v>
      </c>
    </row>
    <row r="589" spans="1:3">
      <c r="A589">
        <v>10835</v>
      </c>
      <c r="B589" t="s">
        <v>262</v>
      </c>
      <c r="C589" s="9">
        <v>35810</v>
      </c>
    </row>
    <row r="590" spans="1:3">
      <c r="A590">
        <v>10836</v>
      </c>
      <c r="B590" t="s">
        <v>186</v>
      </c>
      <c r="C590" s="9">
        <v>35811</v>
      </c>
    </row>
    <row r="591" spans="1:3">
      <c r="A591">
        <v>10837</v>
      </c>
      <c r="B591" t="s">
        <v>202</v>
      </c>
      <c r="C591" s="9">
        <v>35811</v>
      </c>
    </row>
    <row r="592" spans="1:3">
      <c r="A592">
        <v>10838</v>
      </c>
      <c r="B592" t="s">
        <v>244</v>
      </c>
      <c r="C592" s="9">
        <v>35814</v>
      </c>
    </row>
    <row r="593" spans="1:3">
      <c r="A593">
        <v>10839</v>
      </c>
      <c r="B593" t="s">
        <v>210</v>
      </c>
      <c r="C593" s="9">
        <v>35814</v>
      </c>
    </row>
    <row r="594" spans="1:3">
      <c r="A594">
        <v>10840</v>
      </c>
      <c r="B594" t="s">
        <v>244</v>
      </c>
      <c r="C594" s="9">
        <v>35814</v>
      </c>
    </row>
    <row r="595" spans="1:3">
      <c r="A595">
        <v>10841</v>
      </c>
      <c r="B595" t="s">
        <v>181</v>
      </c>
      <c r="C595" s="9">
        <v>35815</v>
      </c>
    </row>
    <row r="596" spans="1:3">
      <c r="A596">
        <v>10842</v>
      </c>
      <c r="B596" t="s">
        <v>200</v>
      </c>
      <c r="C596" s="9">
        <v>35815</v>
      </c>
    </row>
    <row r="597" spans="1:3">
      <c r="A597">
        <v>10843</v>
      </c>
      <c r="B597" t="s">
        <v>180</v>
      </c>
      <c r="C597" s="9">
        <v>35816</v>
      </c>
    </row>
    <row r="598" spans="1:3">
      <c r="A598">
        <v>10844</v>
      </c>
      <c r="B598" t="s">
        <v>231</v>
      </c>
      <c r="C598" s="9">
        <v>35816</v>
      </c>
    </row>
    <row r="599" spans="1:3">
      <c r="A599">
        <v>10845</v>
      </c>
      <c r="B599" t="s">
        <v>198</v>
      </c>
      <c r="C599" s="9">
        <v>35816</v>
      </c>
    </row>
    <row r="600" spans="1:3">
      <c r="A600">
        <v>10846</v>
      </c>
      <c r="B600" t="s">
        <v>181</v>
      </c>
      <c r="C600" s="9">
        <v>35817</v>
      </c>
    </row>
    <row r="601" spans="1:3">
      <c r="A601">
        <v>10847</v>
      </c>
      <c r="B601" t="s">
        <v>222</v>
      </c>
      <c r="C601" s="9">
        <v>35817</v>
      </c>
    </row>
    <row r="602" spans="1:3">
      <c r="A602">
        <v>10848</v>
      </c>
      <c r="B602" t="s">
        <v>249</v>
      </c>
      <c r="C602" s="9">
        <v>35818</v>
      </c>
    </row>
    <row r="603" spans="1:3">
      <c r="A603">
        <v>10849</v>
      </c>
      <c r="B603" t="s">
        <v>221</v>
      </c>
      <c r="C603" s="9">
        <v>35818</v>
      </c>
    </row>
    <row r="604" spans="1:3">
      <c r="A604">
        <v>10850</v>
      </c>
      <c r="B604" t="s">
        <v>180</v>
      </c>
      <c r="C604" s="9">
        <v>35818</v>
      </c>
    </row>
    <row r="605" spans="1:3">
      <c r="A605">
        <v>10851</v>
      </c>
      <c r="B605" t="s">
        <v>206</v>
      </c>
      <c r="C605" s="9">
        <v>35821</v>
      </c>
    </row>
    <row r="606" spans="1:3">
      <c r="A606">
        <v>10852</v>
      </c>
      <c r="B606" t="s">
        <v>190</v>
      </c>
      <c r="C606" s="9">
        <v>35821</v>
      </c>
    </row>
    <row r="607" spans="1:3">
      <c r="A607">
        <v>10853</v>
      </c>
      <c r="B607" t="s">
        <v>253</v>
      </c>
      <c r="C607" s="9">
        <v>35822</v>
      </c>
    </row>
    <row r="608" spans="1:3">
      <c r="A608">
        <v>10854</v>
      </c>
      <c r="B608" t="s">
        <v>186</v>
      </c>
      <c r="C608" s="9">
        <v>35822</v>
      </c>
    </row>
    <row r="609" spans="1:3">
      <c r="A609">
        <v>10855</v>
      </c>
      <c r="B609" t="s">
        <v>214</v>
      </c>
      <c r="C609" s="9">
        <v>35822</v>
      </c>
    </row>
    <row r="610" spans="1:3">
      <c r="A610">
        <v>10856</v>
      </c>
      <c r="B610" t="s">
        <v>236</v>
      </c>
      <c r="C610" s="9">
        <v>35823</v>
      </c>
    </row>
    <row r="611" spans="1:3">
      <c r="A611">
        <v>10857</v>
      </c>
      <c r="B611" t="s">
        <v>202</v>
      </c>
      <c r="C611" s="9">
        <v>35823</v>
      </c>
    </row>
    <row r="612" spans="1:3">
      <c r="A612">
        <v>10858</v>
      </c>
      <c r="B612" t="s">
        <v>265</v>
      </c>
      <c r="C612" s="9">
        <v>35824</v>
      </c>
    </row>
    <row r="613" spans="1:3">
      <c r="A613">
        <v>10859</v>
      </c>
      <c r="B613" t="s">
        <v>194</v>
      </c>
      <c r="C613" s="9">
        <v>35824</v>
      </c>
    </row>
    <row r="614" spans="1:3">
      <c r="A614">
        <v>10860</v>
      </c>
      <c r="B614" t="s">
        <v>263</v>
      </c>
      <c r="C614" s="9">
        <v>35824</v>
      </c>
    </row>
    <row r="615" spans="1:3">
      <c r="A615">
        <v>10861</v>
      </c>
      <c r="B615" t="s">
        <v>196</v>
      </c>
      <c r="C615" s="9">
        <v>35825</v>
      </c>
    </row>
    <row r="616" spans="1:3">
      <c r="A616">
        <v>10862</v>
      </c>
      <c r="B616" t="s">
        <v>203</v>
      </c>
      <c r="C616" s="9">
        <v>35825</v>
      </c>
    </row>
    <row r="617" spans="1:3">
      <c r="A617">
        <v>10863</v>
      </c>
      <c r="B617" t="s">
        <v>185</v>
      </c>
      <c r="C617" s="9">
        <v>35828</v>
      </c>
    </row>
    <row r="618" spans="1:3">
      <c r="A618">
        <v>10864</v>
      </c>
      <c r="B618" t="s">
        <v>232</v>
      </c>
      <c r="C618" s="9">
        <v>35828</v>
      </c>
    </row>
    <row r="619" spans="1:3">
      <c r="A619">
        <v>10865</v>
      </c>
      <c r="B619" t="s">
        <v>198</v>
      </c>
      <c r="C619" s="9">
        <v>35828</v>
      </c>
    </row>
    <row r="620" spans="1:3">
      <c r="A620">
        <v>10866</v>
      </c>
      <c r="B620" t="s">
        <v>202</v>
      </c>
      <c r="C620" s="9">
        <v>35829</v>
      </c>
    </row>
    <row r="621" spans="1:3">
      <c r="A621">
        <v>10867</v>
      </c>
      <c r="B621" t="s">
        <v>215</v>
      </c>
      <c r="C621" s="9">
        <v>35829</v>
      </c>
    </row>
    <row r="622" spans="1:3">
      <c r="A622">
        <v>10868</v>
      </c>
      <c r="B622" t="s">
        <v>239</v>
      </c>
      <c r="C622" s="9">
        <v>35830</v>
      </c>
    </row>
    <row r="623" spans="1:3">
      <c r="A623">
        <v>10869</v>
      </c>
      <c r="B623" t="s">
        <v>233</v>
      </c>
      <c r="C623" s="9">
        <v>35830</v>
      </c>
    </row>
    <row r="624" spans="1:3">
      <c r="A624">
        <v>10870</v>
      </c>
      <c r="B624" t="s">
        <v>240</v>
      </c>
      <c r="C624" s="9">
        <v>35830</v>
      </c>
    </row>
    <row r="625" spans="1:3">
      <c r="A625">
        <v>10871</v>
      </c>
      <c r="B625" t="s">
        <v>225</v>
      </c>
      <c r="C625" s="9">
        <v>35831</v>
      </c>
    </row>
    <row r="626" spans="1:3">
      <c r="A626">
        <v>10872</v>
      </c>
      <c r="B626" t="s">
        <v>213</v>
      </c>
      <c r="C626" s="9">
        <v>35831</v>
      </c>
    </row>
    <row r="627" spans="1:3">
      <c r="A627">
        <v>10873</v>
      </c>
      <c r="B627" t="s">
        <v>260</v>
      </c>
      <c r="C627" s="9">
        <v>35832</v>
      </c>
    </row>
    <row r="628" spans="1:3">
      <c r="A628">
        <v>10874</v>
      </c>
      <c r="B628" t="s">
        <v>213</v>
      </c>
      <c r="C628" s="9">
        <v>35832</v>
      </c>
    </row>
    <row r="629" spans="1:3">
      <c r="A629">
        <v>10875</v>
      </c>
      <c r="B629" t="s">
        <v>202</v>
      </c>
      <c r="C629" s="9">
        <v>35832</v>
      </c>
    </row>
    <row r="630" spans="1:3">
      <c r="A630">
        <v>10876</v>
      </c>
      <c r="B630" t="s">
        <v>225</v>
      </c>
      <c r="C630" s="9">
        <v>35835</v>
      </c>
    </row>
    <row r="631" spans="1:3">
      <c r="A631">
        <v>10877</v>
      </c>
      <c r="B631" t="s">
        <v>206</v>
      </c>
      <c r="C631" s="9">
        <v>35835</v>
      </c>
    </row>
    <row r="632" spans="1:3">
      <c r="A632">
        <v>10878</v>
      </c>
      <c r="B632" t="s">
        <v>198</v>
      </c>
      <c r="C632" s="9">
        <v>35836</v>
      </c>
    </row>
    <row r="633" spans="1:3">
      <c r="A633">
        <v>10879</v>
      </c>
      <c r="B633" t="s">
        <v>260</v>
      </c>
      <c r="C633" s="9">
        <v>35836</v>
      </c>
    </row>
    <row r="634" spans="1:3">
      <c r="A634">
        <v>10880</v>
      </c>
      <c r="B634" t="s">
        <v>191</v>
      </c>
      <c r="C634" s="9">
        <v>35836</v>
      </c>
    </row>
    <row r="635" spans="1:3">
      <c r="A635">
        <v>10881</v>
      </c>
      <c r="B635" t="s">
        <v>255</v>
      </c>
      <c r="C635" s="9">
        <v>35837</v>
      </c>
    </row>
    <row r="636" spans="1:3">
      <c r="A636">
        <v>10882</v>
      </c>
      <c r="B636" t="s">
        <v>222</v>
      </c>
      <c r="C636" s="9">
        <v>35837</v>
      </c>
    </row>
    <row r="637" spans="1:3">
      <c r="A637">
        <v>10883</v>
      </c>
      <c r="B637" t="s">
        <v>215</v>
      </c>
      <c r="C637" s="9">
        <v>35838</v>
      </c>
    </row>
    <row r="638" spans="1:3">
      <c r="A638">
        <v>10884</v>
      </c>
      <c r="B638" t="s">
        <v>259</v>
      </c>
      <c r="C638" s="9">
        <v>35838</v>
      </c>
    </row>
    <row r="639" spans="1:3">
      <c r="A639">
        <v>10885</v>
      </c>
      <c r="B639" t="s">
        <v>181</v>
      </c>
      <c r="C639" s="9">
        <v>35838</v>
      </c>
    </row>
    <row r="640" spans="1:3">
      <c r="A640">
        <v>10886</v>
      </c>
      <c r="B640" t="s">
        <v>179</v>
      </c>
      <c r="C640" s="9">
        <v>35839</v>
      </c>
    </row>
    <row r="641" spans="1:3">
      <c r="A641">
        <v>10887</v>
      </c>
      <c r="B641" t="s">
        <v>237</v>
      </c>
      <c r="C641" s="9">
        <v>35839</v>
      </c>
    </row>
    <row r="642" spans="1:3">
      <c r="A642">
        <v>10888</v>
      </c>
      <c r="B642" t="s">
        <v>213</v>
      </c>
      <c r="C642" s="9">
        <v>35842</v>
      </c>
    </row>
    <row r="643" spans="1:3">
      <c r="A643">
        <v>10889</v>
      </c>
      <c r="B643" t="s">
        <v>190</v>
      </c>
      <c r="C643" s="9">
        <v>35842</v>
      </c>
    </row>
    <row r="644" spans="1:3">
      <c r="A644">
        <v>10890</v>
      </c>
      <c r="B644" t="s">
        <v>218</v>
      </c>
      <c r="C644" s="9">
        <v>35842</v>
      </c>
    </row>
    <row r="645" spans="1:3">
      <c r="A645">
        <v>10891</v>
      </c>
      <c r="B645" t="s">
        <v>203</v>
      </c>
      <c r="C645" s="9">
        <v>35843</v>
      </c>
    </row>
    <row r="646" spans="1:3">
      <c r="A646">
        <v>10892</v>
      </c>
      <c r="B646" t="s">
        <v>257</v>
      </c>
      <c r="C646" s="9">
        <v>35843</v>
      </c>
    </row>
    <row r="647" spans="1:3">
      <c r="A647">
        <v>10893</v>
      </c>
      <c r="B647" t="s">
        <v>221</v>
      </c>
      <c r="C647" s="9">
        <v>35844</v>
      </c>
    </row>
    <row r="648" spans="1:3">
      <c r="A648">
        <v>10894</v>
      </c>
      <c r="B648" t="s">
        <v>222</v>
      </c>
      <c r="C648" s="9">
        <v>35844</v>
      </c>
    </row>
    <row r="649" spans="1:3">
      <c r="A649">
        <v>10895</v>
      </c>
      <c r="B649" t="s">
        <v>186</v>
      </c>
      <c r="C649" s="9">
        <v>35844</v>
      </c>
    </row>
    <row r="650" spans="1:3">
      <c r="A650">
        <v>10896</v>
      </c>
      <c r="B650" t="s">
        <v>257</v>
      </c>
      <c r="C650" s="9">
        <v>35845</v>
      </c>
    </row>
    <row r="651" spans="1:3">
      <c r="A651">
        <v>10897</v>
      </c>
      <c r="B651" t="s">
        <v>211</v>
      </c>
      <c r="C651" s="9">
        <v>35845</v>
      </c>
    </row>
    <row r="652" spans="1:3">
      <c r="A652">
        <v>10898</v>
      </c>
      <c r="B652" t="s">
        <v>246</v>
      </c>
      <c r="C652" s="9">
        <v>35846</v>
      </c>
    </row>
    <row r="653" spans="1:3">
      <c r="A653">
        <v>10899</v>
      </c>
      <c r="B653" t="s">
        <v>205</v>
      </c>
      <c r="C653" s="9">
        <v>35846</v>
      </c>
    </row>
    <row r="654" spans="1:3">
      <c r="A654">
        <v>10900</v>
      </c>
      <c r="B654" t="s">
        <v>184</v>
      </c>
      <c r="C654" s="9">
        <v>35846</v>
      </c>
    </row>
    <row r="655" spans="1:3">
      <c r="A655">
        <v>10901</v>
      </c>
      <c r="B655" t="s">
        <v>185</v>
      </c>
      <c r="C655" s="9">
        <v>35849</v>
      </c>
    </row>
    <row r="656" spans="1:3">
      <c r="A656">
        <v>10902</v>
      </c>
      <c r="B656" t="s">
        <v>191</v>
      </c>
      <c r="C656" s="9">
        <v>35849</v>
      </c>
    </row>
    <row r="657" spans="1:3">
      <c r="A657">
        <v>10903</v>
      </c>
      <c r="B657" t="s">
        <v>179</v>
      </c>
      <c r="C657" s="9">
        <v>35850</v>
      </c>
    </row>
    <row r="658" spans="1:3">
      <c r="A658">
        <v>10904</v>
      </c>
      <c r="B658" t="s">
        <v>196</v>
      </c>
      <c r="C658" s="9">
        <v>35850</v>
      </c>
    </row>
    <row r="659" spans="1:3">
      <c r="A659">
        <v>10905</v>
      </c>
      <c r="B659" t="s">
        <v>184</v>
      </c>
      <c r="C659" s="9">
        <v>35850</v>
      </c>
    </row>
    <row r="660" spans="1:3">
      <c r="A660">
        <v>10906</v>
      </c>
      <c r="B660" t="s">
        <v>240</v>
      </c>
      <c r="C660" s="9">
        <v>35851</v>
      </c>
    </row>
    <row r="661" spans="1:3">
      <c r="A661">
        <v>10907</v>
      </c>
      <c r="B661" t="s">
        <v>264</v>
      </c>
      <c r="C661" s="9">
        <v>35851</v>
      </c>
    </row>
    <row r="662" spans="1:3">
      <c r="A662">
        <v>10908</v>
      </c>
      <c r="B662" t="s">
        <v>207</v>
      </c>
      <c r="C662" s="9">
        <v>35852</v>
      </c>
    </row>
    <row r="663" spans="1:3">
      <c r="A663">
        <v>10909</v>
      </c>
      <c r="B663" t="s">
        <v>242</v>
      </c>
      <c r="C663" s="9">
        <v>35852</v>
      </c>
    </row>
    <row r="664" spans="1:3">
      <c r="A664">
        <v>10910</v>
      </c>
      <c r="B664" t="s">
        <v>260</v>
      </c>
      <c r="C664" s="9">
        <v>35852</v>
      </c>
    </row>
    <row r="665" spans="1:3">
      <c r="A665">
        <v>10911</v>
      </c>
      <c r="B665" t="s">
        <v>213</v>
      </c>
      <c r="C665" s="9">
        <v>35852</v>
      </c>
    </row>
    <row r="666" spans="1:3">
      <c r="A666">
        <v>10912</v>
      </c>
      <c r="B666" t="s">
        <v>211</v>
      </c>
      <c r="C666" s="9">
        <v>35852</v>
      </c>
    </row>
    <row r="667" spans="1:3">
      <c r="A667">
        <v>10913</v>
      </c>
      <c r="B667" t="s">
        <v>239</v>
      </c>
      <c r="C667" s="9">
        <v>35852</v>
      </c>
    </row>
    <row r="668" spans="1:3">
      <c r="A668">
        <v>10914</v>
      </c>
      <c r="B668" t="s">
        <v>239</v>
      </c>
      <c r="C668" s="9">
        <v>35853</v>
      </c>
    </row>
    <row r="669" spans="1:3">
      <c r="A669">
        <v>10915</v>
      </c>
      <c r="B669" t="s">
        <v>200</v>
      </c>
      <c r="C669" s="9">
        <v>35853</v>
      </c>
    </row>
    <row r="670" spans="1:3">
      <c r="A670">
        <v>10916</v>
      </c>
      <c r="B670" t="s">
        <v>250</v>
      </c>
      <c r="C670" s="9">
        <v>35853</v>
      </c>
    </row>
    <row r="671" spans="1:3">
      <c r="A671">
        <v>10917</v>
      </c>
      <c r="B671" t="s">
        <v>204</v>
      </c>
      <c r="C671" s="9">
        <v>35856</v>
      </c>
    </row>
    <row r="672" spans="1:3">
      <c r="A672">
        <v>10918</v>
      </c>
      <c r="B672" t="s">
        <v>243</v>
      </c>
      <c r="C672" s="9">
        <v>35856</v>
      </c>
    </row>
    <row r="673" spans="1:3">
      <c r="A673">
        <v>10919</v>
      </c>
      <c r="B673" t="s">
        <v>244</v>
      </c>
      <c r="C673" s="9">
        <v>35856</v>
      </c>
    </row>
    <row r="674" spans="1:3">
      <c r="A674">
        <v>10920</v>
      </c>
      <c r="B674" t="s">
        <v>232</v>
      </c>
      <c r="C674" s="9">
        <v>35857</v>
      </c>
    </row>
    <row r="675" spans="1:3">
      <c r="A675">
        <v>10921</v>
      </c>
      <c r="B675" t="s">
        <v>238</v>
      </c>
      <c r="C675" s="9">
        <v>35857</v>
      </c>
    </row>
    <row r="676" spans="1:3">
      <c r="A676">
        <v>10922</v>
      </c>
      <c r="B676" t="s">
        <v>179</v>
      </c>
      <c r="C676" s="9">
        <v>35857</v>
      </c>
    </row>
    <row r="677" spans="1:3">
      <c r="A677">
        <v>10923</v>
      </c>
      <c r="B677" t="s">
        <v>230</v>
      </c>
      <c r="C677" s="9">
        <v>35857</v>
      </c>
    </row>
    <row r="678" spans="1:3">
      <c r="A678">
        <v>10924</v>
      </c>
      <c r="B678" t="s">
        <v>202</v>
      </c>
      <c r="C678" s="9">
        <v>35858</v>
      </c>
    </row>
    <row r="679" spans="1:3">
      <c r="A679">
        <v>10925</v>
      </c>
      <c r="B679" t="s">
        <v>179</v>
      </c>
      <c r="C679" s="9">
        <v>35858</v>
      </c>
    </row>
    <row r="680" spans="1:3">
      <c r="A680">
        <v>10926</v>
      </c>
      <c r="B680" t="s">
        <v>216</v>
      </c>
      <c r="C680" s="9">
        <v>35858</v>
      </c>
    </row>
    <row r="681" spans="1:3">
      <c r="A681">
        <v>10927</v>
      </c>
      <c r="B681" t="s">
        <v>265</v>
      </c>
      <c r="C681" s="9">
        <v>35859</v>
      </c>
    </row>
    <row r="682" spans="1:3">
      <c r="A682">
        <v>10928</v>
      </c>
      <c r="B682" t="s">
        <v>237</v>
      </c>
      <c r="C682" s="9">
        <v>35859</v>
      </c>
    </row>
    <row r="683" spans="1:3">
      <c r="A683">
        <v>10929</v>
      </c>
      <c r="B683" t="s">
        <v>194</v>
      </c>
      <c r="C683" s="9">
        <v>35859</v>
      </c>
    </row>
    <row r="684" spans="1:3">
      <c r="A684">
        <v>10930</v>
      </c>
      <c r="B684" t="s">
        <v>181</v>
      </c>
      <c r="C684" s="9">
        <v>35860</v>
      </c>
    </row>
    <row r="685" spans="1:3">
      <c r="A685">
        <v>10931</v>
      </c>
      <c r="B685" t="s">
        <v>183</v>
      </c>
      <c r="C685" s="9">
        <v>35860</v>
      </c>
    </row>
    <row r="686" spans="1:3">
      <c r="A686">
        <v>10932</v>
      </c>
      <c r="B686" t="s">
        <v>225</v>
      </c>
      <c r="C686" s="9">
        <v>35860</v>
      </c>
    </row>
    <row r="687" spans="1:3">
      <c r="A687">
        <v>10933</v>
      </c>
      <c r="B687" t="s">
        <v>219</v>
      </c>
      <c r="C687" s="9">
        <v>35860</v>
      </c>
    </row>
    <row r="688" spans="1:3">
      <c r="A688">
        <v>10934</v>
      </c>
      <c r="B688" t="s">
        <v>203</v>
      </c>
      <c r="C688" s="9">
        <v>35863</v>
      </c>
    </row>
    <row r="689" spans="1:3">
      <c r="A689">
        <v>10935</v>
      </c>
      <c r="B689" t="s">
        <v>184</v>
      </c>
      <c r="C689" s="9">
        <v>35863</v>
      </c>
    </row>
    <row r="690" spans="1:3">
      <c r="A690">
        <v>10936</v>
      </c>
      <c r="B690" t="s">
        <v>256</v>
      </c>
      <c r="C690" s="9">
        <v>35863</v>
      </c>
    </row>
    <row r="691" spans="1:3">
      <c r="A691">
        <v>10937</v>
      </c>
      <c r="B691" t="s">
        <v>255</v>
      </c>
      <c r="C691" s="9">
        <v>35864</v>
      </c>
    </row>
    <row r="692" spans="1:3">
      <c r="A692">
        <v>10938</v>
      </c>
      <c r="B692" t="s">
        <v>198</v>
      </c>
      <c r="C692" s="9">
        <v>35864</v>
      </c>
    </row>
    <row r="693" spans="1:3">
      <c r="A693">
        <v>10939</v>
      </c>
      <c r="B693" t="s">
        <v>199</v>
      </c>
      <c r="C693" s="9">
        <v>35864</v>
      </c>
    </row>
    <row r="694" spans="1:3">
      <c r="A694">
        <v>10940</v>
      </c>
      <c r="B694" t="s">
        <v>225</v>
      </c>
      <c r="C694" s="9">
        <v>35865</v>
      </c>
    </row>
    <row r="695" spans="1:3">
      <c r="A695">
        <v>10941</v>
      </c>
      <c r="B695" t="s">
        <v>222</v>
      </c>
      <c r="C695" s="9">
        <v>35865</v>
      </c>
    </row>
    <row r="696" spans="1:3">
      <c r="A696">
        <v>10942</v>
      </c>
      <c r="B696" t="s">
        <v>207</v>
      </c>
      <c r="C696" s="9">
        <v>35865</v>
      </c>
    </row>
    <row r="697" spans="1:3">
      <c r="A697">
        <v>10943</v>
      </c>
      <c r="B697" t="s">
        <v>208</v>
      </c>
      <c r="C697" s="9">
        <v>35865</v>
      </c>
    </row>
    <row r="698" spans="1:3">
      <c r="A698">
        <v>10944</v>
      </c>
      <c r="B698" t="s">
        <v>243</v>
      </c>
      <c r="C698" s="9">
        <v>35866</v>
      </c>
    </row>
    <row r="699" spans="1:3">
      <c r="A699">
        <v>10945</v>
      </c>
      <c r="B699" t="s">
        <v>201</v>
      </c>
      <c r="C699" s="9">
        <v>35866</v>
      </c>
    </row>
    <row r="700" spans="1:3">
      <c r="A700">
        <v>10946</v>
      </c>
      <c r="B700" t="s">
        <v>238</v>
      </c>
      <c r="C700" s="9">
        <v>35866</v>
      </c>
    </row>
    <row r="701" spans="1:3">
      <c r="A701">
        <v>10947</v>
      </c>
      <c r="B701" t="s">
        <v>208</v>
      </c>
      <c r="C701" s="9">
        <v>35867</v>
      </c>
    </row>
    <row r="702" spans="1:3">
      <c r="A702">
        <v>10948</v>
      </c>
      <c r="B702" t="s">
        <v>213</v>
      </c>
      <c r="C702" s="9">
        <v>35867</v>
      </c>
    </row>
    <row r="703" spans="1:3">
      <c r="A703">
        <v>10949</v>
      </c>
      <c r="B703" t="s">
        <v>243</v>
      </c>
      <c r="C703" s="9">
        <v>35867</v>
      </c>
    </row>
    <row r="704" spans="1:3">
      <c r="A704">
        <v>10950</v>
      </c>
      <c r="B704" t="s">
        <v>199</v>
      </c>
      <c r="C704" s="9">
        <v>35870</v>
      </c>
    </row>
    <row r="705" spans="1:3">
      <c r="A705">
        <v>10951</v>
      </c>
      <c r="B705" t="s">
        <v>183</v>
      </c>
      <c r="C705" s="9">
        <v>35870</v>
      </c>
    </row>
    <row r="706" spans="1:3">
      <c r="A706">
        <v>10952</v>
      </c>
      <c r="B706" t="s">
        <v>262</v>
      </c>
      <c r="C706" s="9">
        <v>35870</v>
      </c>
    </row>
    <row r="707" spans="1:3">
      <c r="A707">
        <v>10953</v>
      </c>
      <c r="B707" t="s">
        <v>232</v>
      </c>
      <c r="C707" s="9">
        <v>35870</v>
      </c>
    </row>
    <row r="708" spans="1:3">
      <c r="A708">
        <v>10954</v>
      </c>
      <c r="B708" t="s">
        <v>244</v>
      </c>
      <c r="C708" s="9">
        <v>35871</v>
      </c>
    </row>
    <row r="709" spans="1:3">
      <c r="A709">
        <v>10955</v>
      </c>
      <c r="B709" t="s">
        <v>191</v>
      </c>
      <c r="C709" s="9">
        <v>35871</v>
      </c>
    </row>
    <row r="710" spans="1:3">
      <c r="A710">
        <v>10956</v>
      </c>
      <c r="B710" t="s">
        <v>253</v>
      </c>
      <c r="C710" s="9">
        <v>35871</v>
      </c>
    </row>
    <row r="711" spans="1:3">
      <c r="A711">
        <v>10957</v>
      </c>
      <c r="B711" t="s">
        <v>185</v>
      </c>
      <c r="C711" s="9">
        <v>35872</v>
      </c>
    </row>
    <row r="712" spans="1:3">
      <c r="A712">
        <v>10958</v>
      </c>
      <c r="B712" t="s">
        <v>246</v>
      </c>
      <c r="C712" s="9">
        <v>35872</v>
      </c>
    </row>
    <row r="713" spans="1:3">
      <c r="A713">
        <v>10959</v>
      </c>
      <c r="B713" t="s">
        <v>248</v>
      </c>
      <c r="C713" s="9">
        <v>35872</v>
      </c>
    </row>
    <row r="714" spans="1:3">
      <c r="A714">
        <v>10960</v>
      </c>
      <c r="B714" t="s">
        <v>185</v>
      </c>
      <c r="C714" s="9">
        <v>35873</v>
      </c>
    </row>
    <row r="715" spans="1:3">
      <c r="A715">
        <v>10961</v>
      </c>
      <c r="B715" t="s">
        <v>239</v>
      </c>
      <c r="C715" s="9">
        <v>35873</v>
      </c>
    </row>
    <row r="716" spans="1:3">
      <c r="A716">
        <v>10962</v>
      </c>
      <c r="B716" t="s">
        <v>198</v>
      </c>
      <c r="C716" s="9">
        <v>35873</v>
      </c>
    </row>
    <row r="717" spans="1:3">
      <c r="A717">
        <v>10963</v>
      </c>
      <c r="B717" t="s">
        <v>224</v>
      </c>
      <c r="C717" s="9">
        <v>35873</v>
      </c>
    </row>
    <row r="718" spans="1:3">
      <c r="A718">
        <v>10964</v>
      </c>
      <c r="B718" t="s">
        <v>264</v>
      </c>
      <c r="C718" s="9">
        <v>35874</v>
      </c>
    </row>
    <row r="719" spans="1:3">
      <c r="A719">
        <v>10965</v>
      </c>
      <c r="B719" t="s">
        <v>214</v>
      </c>
      <c r="C719" s="9">
        <v>35874</v>
      </c>
    </row>
    <row r="720" spans="1:3">
      <c r="A720">
        <v>10966</v>
      </c>
      <c r="B720" t="s">
        <v>182</v>
      </c>
      <c r="C720" s="9">
        <v>35874</v>
      </c>
    </row>
    <row r="721" spans="1:3">
      <c r="A721">
        <v>10967</v>
      </c>
      <c r="B721" t="s">
        <v>178</v>
      </c>
      <c r="C721" s="9">
        <v>35877</v>
      </c>
    </row>
    <row r="722" spans="1:3">
      <c r="A722">
        <v>10968</v>
      </c>
      <c r="B722" t="s">
        <v>186</v>
      </c>
      <c r="C722" s="9">
        <v>35877</v>
      </c>
    </row>
    <row r="723" spans="1:3">
      <c r="A723">
        <v>10969</v>
      </c>
      <c r="B723" t="s">
        <v>209</v>
      </c>
      <c r="C723" s="9">
        <v>35877</v>
      </c>
    </row>
    <row r="724" spans="1:3">
      <c r="A724">
        <v>10970</v>
      </c>
      <c r="B724" t="s">
        <v>223</v>
      </c>
      <c r="C724" s="9">
        <v>35878</v>
      </c>
    </row>
    <row r="725" spans="1:3">
      <c r="A725">
        <v>10971</v>
      </c>
      <c r="B725" t="s">
        <v>263</v>
      </c>
      <c r="C725" s="9">
        <v>35878</v>
      </c>
    </row>
    <row r="726" spans="1:3">
      <c r="A726">
        <v>10972</v>
      </c>
      <c r="B726" t="s">
        <v>265</v>
      </c>
      <c r="C726" s="9">
        <v>35878</v>
      </c>
    </row>
    <row r="727" spans="1:3">
      <c r="A727">
        <v>10973</v>
      </c>
      <c r="B727" t="s">
        <v>265</v>
      </c>
      <c r="C727" s="9">
        <v>35878</v>
      </c>
    </row>
    <row r="728" spans="1:3">
      <c r="A728">
        <v>10974</v>
      </c>
      <c r="B728" t="s">
        <v>197</v>
      </c>
      <c r="C728" s="9">
        <v>35879</v>
      </c>
    </row>
    <row r="729" spans="1:3">
      <c r="A729">
        <v>10975</v>
      </c>
      <c r="B729" t="s">
        <v>243</v>
      </c>
      <c r="C729" s="9">
        <v>35879</v>
      </c>
    </row>
    <row r="730" spans="1:3">
      <c r="A730">
        <v>10976</v>
      </c>
      <c r="B730" t="s">
        <v>185</v>
      </c>
      <c r="C730" s="9">
        <v>35879</v>
      </c>
    </row>
    <row r="731" spans="1:3">
      <c r="A731">
        <v>10977</v>
      </c>
      <c r="B731" t="s">
        <v>191</v>
      </c>
      <c r="C731" s="9">
        <v>35880</v>
      </c>
    </row>
    <row r="732" spans="1:3">
      <c r="A732">
        <v>10978</v>
      </c>
      <c r="B732" t="s">
        <v>257</v>
      </c>
      <c r="C732" s="9">
        <v>35880</v>
      </c>
    </row>
    <row r="733" spans="1:3">
      <c r="A733">
        <v>10979</v>
      </c>
      <c r="B733" t="s">
        <v>186</v>
      </c>
      <c r="C733" s="9">
        <v>35880</v>
      </c>
    </row>
    <row r="734" spans="1:3">
      <c r="A734">
        <v>10980</v>
      </c>
      <c r="B734" t="s">
        <v>191</v>
      </c>
      <c r="C734" s="9">
        <v>35881</v>
      </c>
    </row>
    <row r="735" spans="1:3">
      <c r="A735">
        <v>10981</v>
      </c>
      <c r="B735" t="s">
        <v>179</v>
      </c>
      <c r="C735" s="9">
        <v>35881</v>
      </c>
    </row>
    <row r="736" spans="1:3">
      <c r="A736">
        <v>10982</v>
      </c>
      <c r="B736" t="s">
        <v>243</v>
      </c>
      <c r="C736" s="9">
        <v>35881</v>
      </c>
    </row>
    <row r="737" spans="1:3">
      <c r="A737">
        <v>10983</v>
      </c>
      <c r="B737" t="s">
        <v>222</v>
      </c>
      <c r="C737" s="9">
        <v>35881</v>
      </c>
    </row>
    <row r="738" spans="1:3">
      <c r="A738">
        <v>10984</v>
      </c>
      <c r="B738" t="s">
        <v>222</v>
      </c>
      <c r="C738" s="9">
        <v>35884</v>
      </c>
    </row>
    <row r="739" spans="1:3">
      <c r="A739">
        <v>10985</v>
      </c>
      <c r="B739" t="s">
        <v>211</v>
      </c>
      <c r="C739" s="9">
        <v>35884</v>
      </c>
    </row>
    <row r="740" spans="1:3">
      <c r="A740">
        <v>10986</v>
      </c>
      <c r="B740" t="s">
        <v>246</v>
      </c>
      <c r="C740" s="9">
        <v>35884</v>
      </c>
    </row>
    <row r="741" spans="1:3">
      <c r="A741">
        <v>10987</v>
      </c>
      <c r="B741" t="s">
        <v>235</v>
      </c>
      <c r="C741" s="9">
        <v>35885</v>
      </c>
    </row>
    <row r="742" spans="1:3">
      <c r="A742">
        <v>10988</v>
      </c>
      <c r="B742" t="s">
        <v>190</v>
      </c>
      <c r="C742" s="9">
        <v>35885</v>
      </c>
    </row>
    <row r="743" spans="1:3">
      <c r="A743">
        <v>10989</v>
      </c>
      <c r="B743" t="s">
        <v>189</v>
      </c>
      <c r="C743" s="9">
        <v>35885</v>
      </c>
    </row>
    <row r="744" spans="1:3">
      <c r="A744">
        <v>10990</v>
      </c>
      <c r="B744" t="s">
        <v>186</v>
      </c>
      <c r="C744" s="9">
        <v>35886</v>
      </c>
    </row>
    <row r="745" spans="1:3">
      <c r="A745">
        <v>10991</v>
      </c>
      <c r="B745" t="s">
        <v>198</v>
      </c>
      <c r="C745" s="9">
        <v>35886</v>
      </c>
    </row>
    <row r="746" spans="1:3">
      <c r="A746">
        <v>10992</v>
      </c>
      <c r="B746" t="s">
        <v>217</v>
      </c>
      <c r="C746" s="9">
        <v>35886</v>
      </c>
    </row>
    <row r="747" spans="1:3">
      <c r="A747">
        <v>10993</v>
      </c>
      <c r="B747" t="s">
        <v>191</v>
      </c>
      <c r="C747" s="9">
        <v>35886</v>
      </c>
    </row>
    <row r="748" spans="1:3">
      <c r="A748">
        <v>10994</v>
      </c>
      <c r="B748" t="s">
        <v>238</v>
      </c>
      <c r="C748" s="9">
        <v>35887</v>
      </c>
    </row>
    <row r="749" spans="1:3">
      <c r="A749">
        <v>10995</v>
      </c>
      <c r="B749" t="s">
        <v>220</v>
      </c>
      <c r="C749" s="9">
        <v>35887</v>
      </c>
    </row>
    <row r="750" spans="1:3">
      <c r="A750">
        <v>10996</v>
      </c>
      <c r="B750" t="s">
        <v>198</v>
      </c>
      <c r="C750" s="9">
        <v>35887</v>
      </c>
    </row>
    <row r="751" spans="1:3">
      <c r="A751">
        <v>10997</v>
      </c>
      <c r="B751" t="s">
        <v>205</v>
      </c>
      <c r="C751" s="9">
        <v>35888</v>
      </c>
    </row>
    <row r="752" spans="1:3">
      <c r="A752">
        <v>10998</v>
      </c>
      <c r="B752" t="s">
        <v>240</v>
      </c>
      <c r="C752" s="9">
        <v>35888</v>
      </c>
    </row>
    <row r="753" spans="1:3">
      <c r="A753">
        <v>10999</v>
      </c>
      <c r="B753" t="s">
        <v>188</v>
      </c>
      <c r="C753" s="9">
        <v>35888</v>
      </c>
    </row>
    <row r="754" spans="1:3">
      <c r="A754">
        <v>11000</v>
      </c>
      <c r="B754" t="s">
        <v>190</v>
      </c>
      <c r="C754" s="9">
        <v>35891</v>
      </c>
    </row>
    <row r="755" spans="1:3">
      <c r="A755">
        <v>11001</v>
      </c>
      <c r="B755" t="s">
        <v>191</v>
      </c>
      <c r="C755" s="9">
        <v>35891</v>
      </c>
    </row>
    <row r="756" spans="1:3">
      <c r="A756">
        <v>11002</v>
      </c>
      <c r="B756" t="s">
        <v>222</v>
      </c>
      <c r="C756" s="9">
        <v>35891</v>
      </c>
    </row>
    <row r="757" spans="1:3">
      <c r="A757">
        <v>11003</v>
      </c>
      <c r="B757" t="s">
        <v>261</v>
      </c>
      <c r="C757" s="9">
        <v>35891</v>
      </c>
    </row>
    <row r="758" spans="1:3">
      <c r="A758">
        <v>11004</v>
      </c>
      <c r="B758" t="s">
        <v>257</v>
      </c>
      <c r="C758" s="9">
        <v>35892</v>
      </c>
    </row>
    <row r="759" spans="1:3">
      <c r="A759">
        <v>11005</v>
      </c>
      <c r="B759" t="s">
        <v>260</v>
      </c>
      <c r="C759" s="9">
        <v>35892</v>
      </c>
    </row>
    <row r="760" spans="1:3">
      <c r="A760">
        <v>11006</v>
      </c>
      <c r="B760" t="s">
        <v>256</v>
      </c>
      <c r="C760" s="9">
        <v>35892</v>
      </c>
    </row>
    <row r="761" spans="1:3">
      <c r="A761">
        <v>11007</v>
      </c>
      <c r="B761" t="s">
        <v>227</v>
      </c>
      <c r="C761" s="9">
        <v>35893</v>
      </c>
    </row>
    <row r="762" spans="1:3">
      <c r="A762">
        <v>11008</v>
      </c>
      <c r="B762" t="s">
        <v>186</v>
      </c>
      <c r="C762" s="9">
        <v>35893</v>
      </c>
    </row>
    <row r="763" spans="1:3">
      <c r="A763">
        <v>11009</v>
      </c>
      <c r="B763" t="s">
        <v>213</v>
      </c>
      <c r="C763" s="9">
        <v>35893</v>
      </c>
    </row>
    <row r="764" spans="1:3">
      <c r="A764">
        <v>11010</v>
      </c>
      <c r="B764" t="s">
        <v>207</v>
      </c>
      <c r="C764" s="9">
        <v>35894</v>
      </c>
    </row>
    <row r="765" spans="1:3">
      <c r="A765">
        <v>11011</v>
      </c>
      <c r="B765" t="s">
        <v>262</v>
      </c>
      <c r="C765" s="9">
        <v>35894</v>
      </c>
    </row>
    <row r="766" spans="1:3">
      <c r="A766">
        <v>11012</v>
      </c>
      <c r="B766" t="s">
        <v>194</v>
      </c>
      <c r="C766" s="9">
        <v>35894</v>
      </c>
    </row>
    <row r="767" spans="1:3">
      <c r="A767">
        <v>11013</v>
      </c>
      <c r="B767" t="s">
        <v>204</v>
      </c>
      <c r="C767" s="9">
        <v>35894</v>
      </c>
    </row>
    <row r="768" spans="1:3">
      <c r="A768">
        <v>11014</v>
      </c>
      <c r="B768" t="s">
        <v>244</v>
      </c>
      <c r="C768" s="9">
        <v>35895</v>
      </c>
    </row>
    <row r="769" spans="1:3">
      <c r="A769">
        <v>11015</v>
      </c>
      <c r="B769" t="s">
        <v>242</v>
      </c>
      <c r="C769" s="9">
        <v>35895</v>
      </c>
    </row>
    <row r="770" spans="1:3">
      <c r="A770">
        <v>11016</v>
      </c>
      <c r="B770" t="s">
        <v>232</v>
      </c>
      <c r="C770" s="9">
        <v>35895</v>
      </c>
    </row>
    <row r="771" spans="1:3">
      <c r="A771">
        <v>11017</v>
      </c>
      <c r="B771" t="s">
        <v>186</v>
      </c>
      <c r="C771" s="9">
        <v>35898</v>
      </c>
    </row>
    <row r="772" spans="1:3">
      <c r="A772">
        <v>11018</v>
      </c>
      <c r="B772" t="s">
        <v>215</v>
      </c>
      <c r="C772" s="9">
        <v>35898</v>
      </c>
    </row>
    <row r="773" spans="1:3">
      <c r="A773">
        <v>11019</v>
      </c>
      <c r="B773" t="s">
        <v>250</v>
      </c>
      <c r="C773" s="9">
        <v>35898</v>
      </c>
    </row>
    <row r="774" spans="1:3">
      <c r="A774">
        <v>11020</v>
      </c>
      <c r="B774" t="s">
        <v>188</v>
      </c>
      <c r="C774" s="9">
        <v>35899</v>
      </c>
    </row>
    <row r="775" spans="1:3">
      <c r="A775">
        <v>11021</v>
      </c>
      <c r="B775" t="s">
        <v>198</v>
      </c>
      <c r="C775" s="9">
        <v>35899</v>
      </c>
    </row>
    <row r="776" spans="1:3">
      <c r="A776">
        <v>11022</v>
      </c>
      <c r="B776" t="s">
        <v>179</v>
      </c>
      <c r="C776" s="9">
        <v>35899</v>
      </c>
    </row>
    <row r="777" spans="1:3">
      <c r="A777">
        <v>11023</v>
      </c>
      <c r="B777" t="s">
        <v>208</v>
      </c>
      <c r="C777" s="9">
        <v>35899</v>
      </c>
    </row>
    <row r="778" spans="1:3">
      <c r="A778">
        <v>11024</v>
      </c>
      <c r="B778" t="s">
        <v>235</v>
      </c>
      <c r="C778" s="9">
        <v>35900</v>
      </c>
    </row>
    <row r="779" spans="1:3">
      <c r="A779">
        <v>11025</v>
      </c>
      <c r="B779" t="s">
        <v>193</v>
      </c>
      <c r="C779" s="9">
        <v>35900</v>
      </c>
    </row>
    <row r="780" spans="1:3">
      <c r="A780">
        <v>11026</v>
      </c>
      <c r="B780" t="s">
        <v>247</v>
      </c>
      <c r="C780" s="9">
        <v>35900</v>
      </c>
    </row>
    <row r="781" spans="1:3">
      <c r="A781">
        <v>11027</v>
      </c>
      <c r="B781" t="s">
        <v>243</v>
      </c>
      <c r="C781" s="9">
        <v>35901</v>
      </c>
    </row>
    <row r="782" spans="1:3">
      <c r="A782">
        <v>11028</v>
      </c>
      <c r="B782" t="s">
        <v>221</v>
      </c>
      <c r="C782" s="9">
        <v>35901</v>
      </c>
    </row>
    <row r="783" spans="1:3">
      <c r="A783">
        <v>11029</v>
      </c>
      <c r="B783" t="s">
        <v>182</v>
      </c>
      <c r="C783" s="9">
        <v>35901</v>
      </c>
    </row>
    <row r="784" spans="1:3">
      <c r="A784">
        <v>11030</v>
      </c>
      <c r="B784" t="s">
        <v>222</v>
      </c>
      <c r="C784" s="9">
        <v>35902</v>
      </c>
    </row>
    <row r="785" spans="1:3">
      <c r="A785">
        <v>11031</v>
      </c>
      <c r="B785" t="s">
        <v>222</v>
      </c>
      <c r="C785" s="9">
        <v>35902</v>
      </c>
    </row>
    <row r="786" spans="1:3">
      <c r="A786">
        <v>11032</v>
      </c>
      <c r="B786" t="s">
        <v>196</v>
      </c>
      <c r="C786" s="9">
        <v>35902</v>
      </c>
    </row>
    <row r="787" spans="1:3">
      <c r="A787">
        <v>11033</v>
      </c>
      <c r="B787" t="s">
        <v>183</v>
      </c>
      <c r="C787" s="9">
        <v>35902</v>
      </c>
    </row>
    <row r="788" spans="1:3">
      <c r="A788">
        <v>11034</v>
      </c>
      <c r="B788" t="s">
        <v>214</v>
      </c>
      <c r="C788" s="9">
        <v>35905</v>
      </c>
    </row>
    <row r="789" spans="1:3">
      <c r="A789">
        <v>11035</v>
      </c>
      <c r="B789" t="s">
        <v>181</v>
      </c>
      <c r="C789" s="9">
        <v>35905</v>
      </c>
    </row>
    <row r="790" spans="1:3">
      <c r="A790">
        <v>11036</v>
      </c>
      <c r="B790" t="s">
        <v>234</v>
      </c>
      <c r="C790" s="9">
        <v>35905</v>
      </c>
    </row>
    <row r="791" spans="1:3">
      <c r="A791">
        <v>11037</v>
      </c>
      <c r="B791" t="s">
        <v>213</v>
      </c>
      <c r="C791" s="9">
        <v>35906</v>
      </c>
    </row>
    <row r="792" spans="1:3">
      <c r="A792">
        <v>11038</v>
      </c>
      <c r="B792" t="s">
        <v>181</v>
      </c>
      <c r="C792" s="9">
        <v>35906</v>
      </c>
    </row>
    <row r="793" spans="1:3">
      <c r="A793">
        <v>11039</v>
      </c>
      <c r="B793" t="s">
        <v>244</v>
      </c>
      <c r="C793" s="9">
        <v>35906</v>
      </c>
    </row>
    <row r="794" spans="1:3">
      <c r="A794">
        <v>11040</v>
      </c>
      <c r="B794" t="s">
        <v>256</v>
      </c>
      <c r="C794" s="9">
        <v>35907</v>
      </c>
    </row>
    <row r="795" spans="1:3">
      <c r="A795">
        <v>11041</v>
      </c>
      <c r="B795" t="s">
        <v>182</v>
      </c>
      <c r="C795" s="9">
        <v>35907</v>
      </c>
    </row>
    <row r="796" spans="1:3">
      <c r="A796">
        <v>11042</v>
      </c>
      <c r="B796" t="s">
        <v>209</v>
      </c>
      <c r="C796" s="9">
        <v>35907</v>
      </c>
    </row>
    <row r="797" spans="1:3">
      <c r="A797">
        <v>11043</v>
      </c>
      <c r="B797" t="s">
        <v>264</v>
      </c>
      <c r="C797" s="9">
        <v>35907</v>
      </c>
    </row>
    <row r="798" spans="1:3">
      <c r="A798">
        <v>11044</v>
      </c>
      <c r="B798" t="s">
        <v>240</v>
      </c>
      <c r="C798" s="9">
        <v>35908</v>
      </c>
    </row>
    <row r="799" spans="1:3">
      <c r="A799">
        <v>11045</v>
      </c>
      <c r="B799" t="s">
        <v>243</v>
      </c>
      <c r="C799" s="9">
        <v>35908</v>
      </c>
    </row>
    <row r="800" spans="1:3">
      <c r="A800">
        <v>11046</v>
      </c>
      <c r="B800" t="s">
        <v>212</v>
      </c>
      <c r="C800" s="9">
        <v>35908</v>
      </c>
    </row>
    <row r="801" spans="1:3">
      <c r="A801">
        <v>11047</v>
      </c>
      <c r="B801" t="s">
        <v>235</v>
      </c>
      <c r="C801" s="9">
        <v>35909</v>
      </c>
    </row>
    <row r="802" spans="1:3">
      <c r="A802">
        <v>11048</v>
      </c>
      <c r="B802" t="s">
        <v>243</v>
      </c>
      <c r="C802" s="9">
        <v>35909</v>
      </c>
    </row>
    <row r="803" spans="1:3">
      <c r="A803">
        <v>11049</v>
      </c>
      <c r="B803" t="s">
        <v>248</v>
      </c>
      <c r="C803" s="9">
        <v>35909</v>
      </c>
    </row>
    <row r="804" spans="1:3">
      <c r="A804">
        <v>11050</v>
      </c>
      <c r="B804" t="s">
        <v>191</v>
      </c>
      <c r="C804" s="9">
        <v>35912</v>
      </c>
    </row>
    <row r="805" spans="1:3">
      <c r="A805">
        <v>11051</v>
      </c>
      <c r="B805" t="s">
        <v>230</v>
      </c>
      <c r="C805" s="9">
        <v>35912</v>
      </c>
    </row>
    <row r="806" spans="1:3">
      <c r="A806">
        <v>11052</v>
      </c>
      <c r="B806" t="s">
        <v>179</v>
      </c>
      <c r="C806" s="9">
        <v>35912</v>
      </c>
    </row>
    <row r="807" spans="1:3">
      <c r="A807">
        <v>11053</v>
      </c>
      <c r="B807" t="s">
        <v>231</v>
      </c>
      <c r="C807" s="9">
        <v>35912</v>
      </c>
    </row>
    <row r="808" spans="1:3">
      <c r="A808">
        <v>11054</v>
      </c>
      <c r="B808" t="s">
        <v>255</v>
      </c>
      <c r="C808" s="9">
        <v>35913</v>
      </c>
    </row>
    <row r="809" spans="1:3">
      <c r="A809">
        <v>11055</v>
      </c>
      <c r="B809" t="s">
        <v>185</v>
      </c>
      <c r="C809" s="9">
        <v>35913</v>
      </c>
    </row>
    <row r="810" spans="1:3">
      <c r="A810">
        <v>11056</v>
      </c>
      <c r="B810" t="s">
        <v>235</v>
      </c>
      <c r="C810" s="9">
        <v>35913</v>
      </c>
    </row>
    <row r="811" spans="1:3">
      <c r="A811">
        <v>11057</v>
      </c>
      <c r="B811" t="s">
        <v>254</v>
      </c>
      <c r="C811" s="9">
        <v>35914</v>
      </c>
    </row>
    <row r="812" spans="1:3">
      <c r="A812">
        <v>11058</v>
      </c>
      <c r="B812" t="s">
        <v>253</v>
      </c>
      <c r="C812" s="9">
        <v>35914</v>
      </c>
    </row>
    <row r="813" spans="1:3">
      <c r="A813">
        <v>11059</v>
      </c>
      <c r="B813" t="s">
        <v>206</v>
      </c>
      <c r="C813" s="9">
        <v>35914</v>
      </c>
    </row>
    <row r="814" spans="1:3">
      <c r="A814">
        <v>11060</v>
      </c>
      <c r="B814" t="s">
        <v>247</v>
      </c>
      <c r="C814" s="9">
        <v>35915</v>
      </c>
    </row>
    <row r="815" spans="1:3">
      <c r="A815">
        <v>11061</v>
      </c>
      <c r="B815" t="s">
        <v>256</v>
      </c>
      <c r="C815" s="9">
        <v>35915</v>
      </c>
    </row>
    <row r="816" spans="1:3">
      <c r="A816">
        <v>11062</v>
      </c>
      <c r="B816" t="s">
        <v>207</v>
      </c>
      <c r="C816" s="9">
        <v>35915</v>
      </c>
    </row>
    <row r="817" spans="1:3">
      <c r="A817">
        <v>11063</v>
      </c>
      <c r="B817" t="s">
        <v>211</v>
      </c>
      <c r="C817" s="9">
        <v>35915</v>
      </c>
    </row>
    <row r="818" spans="1:3">
      <c r="A818">
        <v>11064</v>
      </c>
      <c r="B818" t="s">
        <v>222</v>
      </c>
      <c r="C818" s="9">
        <v>35916</v>
      </c>
    </row>
    <row r="819" spans="1:3">
      <c r="A819">
        <v>11065</v>
      </c>
      <c r="B819" t="s">
        <v>205</v>
      </c>
      <c r="C819" s="9">
        <v>35916</v>
      </c>
    </row>
    <row r="820" spans="1:3">
      <c r="A820">
        <v>11066</v>
      </c>
      <c r="B820" t="s">
        <v>196</v>
      </c>
      <c r="C820" s="9">
        <v>35916</v>
      </c>
    </row>
    <row r="821" spans="1:3">
      <c r="A821">
        <v>11067</v>
      </c>
      <c r="B821" t="s">
        <v>234</v>
      </c>
      <c r="C821" s="9">
        <v>35919</v>
      </c>
    </row>
    <row r="822" spans="1:3">
      <c r="A822">
        <v>11068</v>
      </c>
      <c r="B822" t="s">
        <v>239</v>
      </c>
      <c r="C822" s="9">
        <v>35919</v>
      </c>
    </row>
    <row r="823" spans="1:3">
      <c r="A823">
        <v>11069</v>
      </c>
      <c r="B823" t="s">
        <v>200</v>
      </c>
      <c r="C823" s="9">
        <v>35919</v>
      </c>
    </row>
    <row r="824" spans="1:3">
      <c r="A824">
        <v>11070</v>
      </c>
      <c r="B824" t="s">
        <v>203</v>
      </c>
      <c r="C824" s="9">
        <v>35920</v>
      </c>
    </row>
    <row r="825" spans="1:3">
      <c r="A825">
        <v>11071</v>
      </c>
      <c r="B825" t="s">
        <v>205</v>
      </c>
      <c r="C825" s="9">
        <v>35920</v>
      </c>
    </row>
    <row r="826" spans="1:3">
      <c r="A826">
        <v>11072</v>
      </c>
      <c r="B826" t="s">
        <v>186</v>
      </c>
      <c r="C826" s="9">
        <v>35920</v>
      </c>
    </row>
    <row r="827" spans="1:3">
      <c r="A827">
        <v>11073</v>
      </c>
      <c r="B827" t="s">
        <v>220</v>
      </c>
      <c r="C827" s="9">
        <v>35920</v>
      </c>
    </row>
    <row r="828" spans="1:3">
      <c r="A828">
        <v>11074</v>
      </c>
      <c r="B828" t="s">
        <v>228</v>
      </c>
      <c r="C828" s="9">
        <v>35921</v>
      </c>
    </row>
    <row r="829" spans="1:3">
      <c r="A829">
        <v>11075</v>
      </c>
      <c r="B829" t="s">
        <v>183</v>
      </c>
      <c r="C829" s="9">
        <v>35921</v>
      </c>
    </row>
    <row r="830" spans="1:3">
      <c r="A830">
        <v>11076</v>
      </c>
      <c r="B830" t="s">
        <v>225</v>
      </c>
      <c r="C830" s="9">
        <v>35921</v>
      </c>
    </row>
    <row r="831" spans="1:3">
      <c r="A831">
        <v>11077</v>
      </c>
      <c r="B831" t="s">
        <v>190</v>
      </c>
      <c r="C831" s="9">
        <v>35921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7A3A-DD33-4334-B0A2-A055BA0F9D62}">
  <dimension ref="A1:G78"/>
  <sheetViews>
    <sheetView workbookViewId="0">
      <selection activeCell="F1" sqref="F1"/>
    </sheetView>
  </sheetViews>
  <sheetFormatPr defaultRowHeight="13.8"/>
  <cols>
    <col min="1" max="1" width="11.5" bestFit="1" customWidth="1"/>
    <col min="2" max="2" width="29.796875" bestFit="1" customWidth="1"/>
    <col min="3" max="3" width="12" bestFit="1" customWidth="1"/>
    <col min="4" max="4" width="12.69921875" bestFit="1" customWidth="1"/>
    <col min="5" max="5" width="18" bestFit="1" customWidth="1"/>
    <col min="6" max="6" width="10.8984375" bestFit="1" customWidth="1"/>
    <col min="7" max="7" width="13" bestFit="1" customWidth="1"/>
  </cols>
  <sheetData>
    <row r="1" spans="1:7">
      <c r="A1" t="s">
        <v>20</v>
      </c>
      <c r="B1" t="s">
        <v>21</v>
      </c>
      <c r="C1" t="s">
        <v>22</v>
      </c>
      <c r="D1" t="s">
        <v>0</v>
      </c>
      <c r="E1" t="s">
        <v>23</v>
      </c>
      <c r="F1" t="s">
        <v>24</v>
      </c>
      <c r="G1" t="s">
        <v>1</v>
      </c>
    </row>
    <row r="2" spans="1:7">
      <c r="A2">
        <v>1</v>
      </c>
      <c r="B2" t="s">
        <v>25</v>
      </c>
      <c r="C2">
        <v>1</v>
      </c>
      <c r="D2">
        <v>1</v>
      </c>
      <c r="E2" t="s">
        <v>26</v>
      </c>
      <c r="F2">
        <v>18</v>
      </c>
      <c r="G2" t="str">
        <f>_xlfn.XLOOKUP(Products[[#This Row],[CategoryID]],Category!A:A,Category!B:B,"Not Found")</f>
        <v>Beverages</v>
      </c>
    </row>
    <row r="3" spans="1:7">
      <c r="A3">
        <v>2</v>
      </c>
      <c r="B3" t="s">
        <v>27</v>
      </c>
      <c r="C3">
        <v>1</v>
      </c>
      <c r="D3">
        <v>1</v>
      </c>
      <c r="E3" t="s">
        <v>28</v>
      </c>
      <c r="F3">
        <v>19</v>
      </c>
      <c r="G3" t="str">
        <f>_xlfn.XLOOKUP(Products[[#This Row],[CategoryID]],Category!A:A,Category!B:B,"Not Found")</f>
        <v>Beverages</v>
      </c>
    </row>
    <row r="4" spans="1:7">
      <c r="A4">
        <v>3</v>
      </c>
      <c r="B4" t="s">
        <v>29</v>
      </c>
      <c r="C4">
        <v>1</v>
      </c>
      <c r="D4">
        <v>2</v>
      </c>
      <c r="E4" t="s">
        <v>30</v>
      </c>
      <c r="F4">
        <v>10</v>
      </c>
      <c r="G4" t="str">
        <f>_xlfn.XLOOKUP(Products[[#This Row],[CategoryID]],Category!A:A,Category!B:B,"Not Found")</f>
        <v>Condiments</v>
      </c>
    </row>
    <row r="5" spans="1:7">
      <c r="A5">
        <v>4</v>
      </c>
      <c r="B5" t="s">
        <v>31</v>
      </c>
      <c r="C5">
        <v>2</v>
      </c>
      <c r="D5">
        <v>2</v>
      </c>
      <c r="E5" t="s">
        <v>32</v>
      </c>
      <c r="F5">
        <v>22</v>
      </c>
      <c r="G5" t="str">
        <f>_xlfn.XLOOKUP(Products[[#This Row],[CategoryID]],Category!A:A,Category!B:B,"Not Found")</f>
        <v>Condiments</v>
      </c>
    </row>
    <row r="6" spans="1:7">
      <c r="A6">
        <v>5</v>
      </c>
      <c r="B6" t="s">
        <v>33</v>
      </c>
      <c r="C6">
        <v>2</v>
      </c>
      <c r="D6">
        <v>2</v>
      </c>
      <c r="E6" t="s">
        <v>34</v>
      </c>
      <c r="F6">
        <v>21.35</v>
      </c>
      <c r="G6" t="str">
        <f>_xlfn.XLOOKUP(Products[[#This Row],[CategoryID]],Category!A:A,Category!B:B,"Not Found")</f>
        <v>Condiments</v>
      </c>
    </row>
    <row r="7" spans="1:7">
      <c r="A7">
        <v>6</v>
      </c>
      <c r="B7" t="s">
        <v>35</v>
      </c>
      <c r="C7">
        <v>3</v>
      </c>
      <c r="D7">
        <v>2</v>
      </c>
      <c r="E7" t="s">
        <v>36</v>
      </c>
      <c r="F7">
        <v>25</v>
      </c>
      <c r="G7" t="str">
        <f>_xlfn.XLOOKUP(Products[[#This Row],[CategoryID]],Category!A:A,Category!B:B,"Not Found")</f>
        <v>Condiments</v>
      </c>
    </row>
    <row r="8" spans="1:7">
      <c r="A8">
        <v>7</v>
      </c>
      <c r="B8" t="s">
        <v>37</v>
      </c>
      <c r="C8">
        <v>3</v>
      </c>
      <c r="D8">
        <v>7</v>
      </c>
      <c r="E8" t="s">
        <v>38</v>
      </c>
      <c r="F8">
        <v>30</v>
      </c>
      <c r="G8" t="str">
        <f>_xlfn.XLOOKUP(Products[[#This Row],[CategoryID]],Category!A:A,Category!B:B,"Not Found")</f>
        <v>Produce</v>
      </c>
    </row>
    <row r="9" spans="1:7">
      <c r="A9">
        <v>8</v>
      </c>
      <c r="B9" t="s">
        <v>39</v>
      </c>
      <c r="C9">
        <v>3</v>
      </c>
      <c r="D9">
        <v>2</v>
      </c>
      <c r="E9" t="s">
        <v>40</v>
      </c>
      <c r="F9">
        <v>40</v>
      </c>
      <c r="G9" t="str">
        <f>_xlfn.XLOOKUP(Products[[#This Row],[CategoryID]],Category!A:A,Category!B:B,"Not Found")</f>
        <v>Condiments</v>
      </c>
    </row>
    <row r="10" spans="1:7">
      <c r="A10">
        <v>9</v>
      </c>
      <c r="B10" t="s">
        <v>41</v>
      </c>
      <c r="C10">
        <v>4</v>
      </c>
      <c r="D10">
        <v>6</v>
      </c>
      <c r="E10" t="s">
        <v>42</v>
      </c>
      <c r="F10">
        <v>97</v>
      </c>
      <c r="G10" t="str">
        <f>_xlfn.XLOOKUP(Products[[#This Row],[CategoryID]],Category!A:A,Category!B:B,"Not Found")</f>
        <v>Meat/Poultry</v>
      </c>
    </row>
    <row r="11" spans="1:7">
      <c r="A11">
        <v>10</v>
      </c>
      <c r="B11" t="s">
        <v>43</v>
      </c>
      <c r="C11">
        <v>4</v>
      </c>
      <c r="D11">
        <v>8</v>
      </c>
      <c r="E11" t="s">
        <v>44</v>
      </c>
      <c r="F11">
        <v>31</v>
      </c>
      <c r="G11" t="str">
        <f>_xlfn.XLOOKUP(Products[[#This Row],[CategoryID]],Category!A:A,Category!B:B,"Not Found")</f>
        <v>Seafood</v>
      </c>
    </row>
    <row r="12" spans="1:7">
      <c r="A12">
        <v>11</v>
      </c>
      <c r="B12" t="s">
        <v>45</v>
      </c>
      <c r="C12">
        <v>5</v>
      </c>
      <c r="D12">
        <v>4</v>
      </c>
      <c r="E12" t="s">
        <v>46</v>
      </c>
      <c r="F12">
        <v>21</v>
      </c>
      <c r="G12" t="str">
        <f>_xlfn.XLOOKUP(Products[[#This Row],[CategoryID]],Category!A:A,Category!B:B,"Not Found")</f>
        <v>Dairy Products</v>
      </c>
    </row>
    <row r="13" spans="1:7">
      <c r="A13">
        <v>12</v>
      </c>
      <c r="B13" t="s">
        <v>47</v>
      </c>
      <c r="C13">
        <v>5</v>
      </c>
      <c r="D13">
        <v>4</v>
      </c>
      <c r="E13" t="s">
        <v>48</v>
      </c>
      <c r="F13">
        <v>38</v>
      </c>
      <c r="G13" t="str">
        <f>_xlfn.XLOOKUP(Products[[#This Row],[CategoryID]],Category!A:A,Category!B:B,"Not Found")</f>
        <v>Dairy Products</v>
      </c>
    </row>
    <row r="14" spans="1:7">
      <c r="A14">
        <v>13</v>
      </c>
      <c r="B14" t="s">
        <v>49</v>
      </c>
      <c r="C14">
        <v>6</v>
      </c>
      <c r="D14">
        <v>8</v>
      </c>
      <c r="E14" t="s">
        <v>50</v>
      </c>
      <c r="F14">
        <v>6</v>
      </c>
      <c r="G14" t="str">
        <f>_xlfn.XLOOKUP(Products[[#This Row],[CategoryID]],Category!A:A,Category!B:B,"Not Found")</f>
        <v>Seafood</v>
      </c>
    </row>
    <row r="15" spans="1:7">
      <c r="A15">
        <v>14</v>
      </c>
      <c r="B15" t="s">
        <v>51</v>
      </c>
      <c r="C15">
        <v>6</v>
      </c>
      <c r="D15">
        <v>7</v>
      </c>
      <c r="E15" t="s">
        <v>52</v>
      </c>
      <c r="F15">
        <v>23.25</v>
      </c>
      <c r="G15" t="str">
        <f>_xlfn.XLOOKUP(Products[[#This Row],[CategoryID]],Category!A:A,Category!B:B,"Not Found")</f>
        <v>Produce</v>
      </c>
    </row>
    <row r="16" spans="1:7">
      <c r="A16">
        <v>15</v>
      </c>
      <c r="B16" t="s">
        <v>53</v>
      </c>
      <c r="C16">
        <v>6</v>
      </c>
      <c r="D16">
        <v>2</v>
      </c>
      <c r="E16" t="s">
        <v>54</v>
      </c>
      <c r="F16">
        <v>15.5</v>
      </c>
      <c r="G16" t="str">
        <f>_xlfn.XLOOKUP(Products[[#This Row],[CategoryID]],Category!A:A,Category!B:B,"Not Found")</f>
        <v>Condiments</v>
      </c>
    </row>
    <row r="17" spans="1:7">
      <c r="A17">
        <v>16</v>
      </c>
      <c r="B17" t="s">
        <v>55</v>
      </c>
      <c r="C17">
        <v>7</v>
      </c>
      <c r="D17">
        <v>3</v>
      </c>
      <c r="E17" t="s">
        <v>56</v>
      </c>
      <c r="F17">
        <v>17.45</v>
      </c>
      <c r="G17" t="str">
        <f>_xlfn.XLOOKUP(Products[[#This Row],[CategoryID]],Category!A:A,Category!B:B,"Not Found")</f>
        <v>Confections</v>
      </c>
    </row>
    <row r="18" spans="1:7">
      <c r="A18">
        <v>17</v>
      </c>
      <c r="B18" t="s">
        <v>57</v>
      </c>
      <c r="C18">
        <v>7</v>
      </c>
      <c r="D18">
        <v>6</v>
      </c>
      <c r="E18" t="s">
        <v>58</v>
      </c>
      <c r="F18">
        <v>39</v>
      </c>
      <c r="G18" t="str">
        <f>_xlfn.XLOOKUP(Products[[#This Row],[CategoryID]],Category!A:A,Category!B:B,"Not Found")</f>
        <v>Meat/Poultry</v>
      </c>
    </row>
    <row r="19" spans="1:7">
      <c r="A19">
        <v>18</v>
      </c>
      <c r="B19" t="s">
        <v>59</v>
      </c>
      <c r="C19">
        <v>7</v>
      </c>
      <c r="D19">
        <v>8</v>
      </c>
      <c r="E19" t="s">
        <v>60</v>
      </c>
      <c r="F19">
        <v>62.5</v>
      </c>
      <c r="G19" t="str">
        <f>_xlfn.XLOOKUP(Products[[#This Row],[CategoryID]],Category!A:A,Category!B:B,"Not Found")</f>
        <v>Seafood</v>
      </c>
    </row>
    <row r="20" spans="1:7">
      <c r="A20">
        <v>19</v>
      </c>
      <c r="B20" t="s">
        <v>61</v>
      </c>
      <c r="C20">
        <v>8</v>
      </c>
      <c r="D20">
        <v>3</v>
      </c>
      <c r="E20" t="s">
        <v>62</v>
      </c>
      <c r="F20">
        <v>9.1999999999999993</v>
      </c>
      <c r="G20" t="str">
        <f>_xlfn.XLOOKUP(Products[[#This Row],[CategoryID]],Category!A:A,Category!B:B,"Not Found")</f>
        <v>Confections</v>
      </c>
    </row>
    <row r="21" spans="1:7">
      <c r="A21">
        <v>20</v>
      </c>
      <c r="B21" t="s">
        <v>63</v>
      </c>
      <c r="C21">
        <v>8</v>
      </c>
      <c r="D21">
        <v>3</v>
      </c>
      <c r="E21" t="s">
        <v>64</v>
      </c>
      <c r="F21">
        <v>81</v>
      </c>
      <c r="G21" t="str">
        <f>_xlfn.XLOOKUP(Products[[#This Row],[CategoryID]],Category!A:A,Category!B:B,"Not Found")</f>
        <v>Confections</v>
      </c>
    </row>
    <row r="22" spans="1:7">
      <c r="A22">
        <v>21</v>
      </c>
      <c r="B22" t="s">
        <v>65</v>
      </c>
      <c r="C22">
        <v>8</v>
      </c>
      <c r="D22">
        <v>3</v>
      </c>
      <c r="E22" t="s">
        <v>66</v>
      </c>
      <c r="F22">
        <v>10</v>
      </c>
      <c r="G22" t="str">
        <f>_xlfn.XLOOKUP(Products[[#This Row],[CategoryID]],Category!A:A,Category!B:B,"Not Found")</f>
        <v>Confections</v>
      </c>
    </row>
    <row r="23" spans="1:7">
      <c r="A23">
        <v>22</v>
      </c>
      <c r="B23" t="s">
        <v>67</v>
      </c>
      <c r="C23">
        <v>9</v>
      </c>
      <c r="D23">
        <v>5</v>
      </c>
      <c r="E23" t="s">
        <v>68</v>
      </c>
      <c r="F23">
        <v>21</v>
      </c>
      <c r="G23" t="str">
        <f>_xlfn.XLOOKUP(Products[[#This Row],[CategoryID]],Category!A:A,Category!B:B,"Not Found")</f>
        <v>Grains/Cereals</v>
      </c>
    </row>
    <row r="24" spans="1:7">
      <c r="A24">
        <v>23</v>
      </c>
      <c r="B24" t="s">
        <v>69</v>
      </c>
      <c r="C24">
        <v>9</v>
      </c>
      <c r="D24">
        <v>5</v>
      </c>
      <c r="E24" t="s">
        <v>70</v>
      </c>
      <c r="F24">
        <v>9</v>
      </c>
      <c r="G24" t="str">
        <f>_xlfn.XLOOKUP(Products[[#This Row],[CategoryID]],Category!A:A,Category!B:B,"Not Found")</f>
        <v>Grains/Cereals</v>
      </c>
    </row>
    <row r="25" spans="1:7">
      <c r="A25">
        <v>24</v>
      </c>
      <c r="B25" t="s">
        <v>71</v>
      </c>
      <c r="C25">
        <v>10</v>
      </c>
      <c r="D25">
        <v>1</v>
      </c>
      <c r="E25" t="s">
        <v>72</v>
      </c>
      <c r="F25">
        <v>4.5</v>
      </c>
      <c r="G25" t="str">
        <f>_xlfn.XLOOKUP(Products[[#This Row],[CategoryID]],Category!A:A,Category!B:B,"Not Found")</f>
        <v>Beverages</v>
      </c>
    </row>
    <row r="26" spans="1:7">
      <c r="A26">
        <v>25</v>
      </c>
      <c r="B26" t="s">
        <v>73</v>
      </c>
      <c r="C26">
        <v>11</v>
      </c>
      <c r="D26">
        <v>3</v>
      </c>
      <c r="E26" t="s">
        <v>74</v>
      </c>
      <c r="F26">
        <v>14</v>
      </c>
      <c r="G26" t="str">
        <f>_xlfn.XLOOKUP(Products[[#This Row],[CategoryID]],Category!A:A,Category!B:B,"Not Found")</f>
        <v>Confections</v>
      </c>
    </row>
    <row r="27" spans="1:7">
      <c r="A27">
        <v>26</v>
      </c>
      <c r="B27" t="s">
        <v>75</v>
      </c>
      <c r="C27">
        <v>11</v>
      </c>
      <c r="D27">
        <v>3</v>
      </c>
      <c r="E27" t="s">
        <v>76</v>
      </c>
      <c r="F27">
        <v>31.23</v>
      </c>
      <c r="G27" t="str">
        <f>_xlfn.XLOOKUP(Products[[#This Row],[CategoryID]],Category!A:A,Category!B:B,"Not Found")</f>
        <v>Confections</v>
      </c>
    </row>
    <row r="28" spans="1:7">
      <c r="A28">
        <v>27</v>
      </c>
      <c r="B28" t="s">
        <v>77</v>
      </c>
      <c r="C28">
        <v>11</v>
      </c>
      <c r="D28">
        <v>3</v>
      </c>
      <c r="E28" t="s">
        <v>78</v>
      </c>
      <c r="F28">
        <v>43.9</v>
      </c>
      <c r="G28" t="str">
        <f>_xlfn.XLOOKUP(Products[[#This Row],[CategoryID]],Category!A:A,Category!B:B,"Not Found")</f>
        <v>Confections</v>
      </c>
    </row>
    <row r="29" spans="1:7">
      <c r="A29">
        <v>28</v>
      </c>
      <c r="B29" t="s">
        <v>79</v>
      </c>
      <c r="C29">
        <v>12</v>
      </c>
      <c r="D29">
        <v>7</v>
      </c>
      <c r="E29" t="s">
        <v>80</v>
      </c>
      <c r="F29">
        <v>45.6</v>
      </c>
      <c r="G29" t="str">
        <f>_xlfn.XLOOKUP(Products[[#This Row],[CategoryID]],Category!A:A,Category!B:B,"Not Found")</f>
        <v>Produce</v>
      </c>
    </row>
    <row r="30" spans="1:7">
      <c r="A30">
        <v>29</v>
      </c>
      <c r="B30" t="s">
        <v>81</v>
      </c>
      <c r="C30">
        <v>12</v>
      </c>
      <c r="D30">
        <v>6</v>
      </c>
      <c r="E30" t="s">
        <v>82</v>
      </c>
      <c r="F30">
        <v>123.79</v>
      </c>
      <c r="G30" t="str">
        <f>_xlfn.XLOOKUP(Products[[#This Row],[CategoryID]],Category!A:A,Category!B:B,"Not Found")</f>
        <v>Meat/Poultry</v>
      </c>
    </row>
    <row r="31" spans="1:7">
      <c r="A31">
        <v>30</v>
      </c>
      <c r="B31" t="s">
        <v>83</v>
      </c>
      <c r="C31">
        <v>13</v>
      </c>
      <c r="D31">
        <v>8</v>
      </c>
      <c r="E31" t="s">
        <v>84</v>
      </c>
      <c r="F31">
        <v>25.89</v>
      </c>
      <c r="G31" t="str">
        <f>_xlfn.XLOOKUP(Products[[#This Row],[CategoryID]],Category!A:A,Category!B:B,"Not Found")</f>
        <v>Seafood</v>
      </c>
    </row>
    <row r="32" spans="1:7">
      <c r="A32">
        <v>31</v>
      </c>
      <c r="B32" t="s">
        <v>85</v>
      </c>
      <c r="C32">
        <v>14</v>
      </c>
      <c r="D32">
        <v>4</v>
      </c>
      <c r="E32" t="s">
        <v>86</v>
      </c>
      <c r="F32">
        <v>12.5</v>
      </c>
      <c r="G32" t="str">
        <f>_xlfn.XLOOKUP(Products[[#This Row],[CategoryID]],Category!A:A,Category!B:B,"Not Found")</f>
        <v>Dairy Products</v>
      </c>
    </row>
    <row r="33" spans="1:7">
      <c r="A33">
        <v>32</v>
      </c>
      <c r="B33" t="s">
        <v>87</v>
      </c>
      <c r="C33">
        <v>14</v>
      </c>
      <c r="D33">
        <v>4</v>
      </c>
      <c r="E33" t="s">
        <v>88</v>
      </c>
      <c r="F33">
        <v>32</v>
      </c>
      <c r="G33" t="str">
        <f>_xlfn.XLOOKUP(Products[[#This Row],[CategoryID]],Category!A:A,Category!B:B,"Not Found")</f>
        <v>Dairy Products</v>
      </c>
    </row>
    <row r="34" spans="1:7">
      <c r="A34">
        <v>33</v>
      </c>
      <c r="B34" t="s">
        <v>89</v>
      </c>
      <c r="C34">
        <v>15</v>
      </c>
      <c r="D34">
        <v>4</v>
      </c>
      <c r="E34" t="s">
        <v>90</v>
      </c>
      <c r="F34">
        <v>2.5</v>
      </c>
      <c r="G34" t="str">
        <f>_xlfn.XLOOKUP(Products[[#This Row],[CategoryID]],Category!A:A,Category!B:B,"Not Found")</f>
        <v>Dairy Products</v>
      </c>
    </row>
    <row r="35" spans="1:7">
      <c r="A35">
        <v>34</v>
      </c>
      <c r="B35" t="s">
        <v>91</v>
      </c>
      <c r="C35">
        <v>16</v>
      </c>
      <c r="D35">
        <v>1</v>
      </c>
      <c r="E35" t="s">
        <v>28</v>
      </c>
      <c r="F35">
        <v>14</v>
      </c>
      <c r="G35" t="str">
        <f>_xlfn.XLOOKUP(Products[[#This Row],[CategoryID]],Category!A:A,Category!B:B,"Not Found")</f>
        <v>Beverages</v>
      </c>
    </row>
    <row r="36" spans="1:7">
      <c r="A36">
        <v>35</v>
      </c>
      <c r="B36" t="s">
        <v>92</v>
      </c>
      <c r="C36">
        <v>16</v>
      </c>
      <c r="D36">
        <v>1</v>
      </c>
      <c r="E36" t="s">
        <v>28</v>
      </c>
      <c r="F36">
        <v>18</v>
      </c>
      <c r="G36" t="str">
        <f>_xlfn.XLOOKUP(Products[[#This Row],[CategoryID]],Category!A:A,Category!B:B,"Not Found")</f>
        <v>Beverages</v>
      </c>
    </row>
    <row r="37" spans="1:7">
      <c r="A37">
        <v>36</v>
      </c>
      <c r="B37" t="s">
        <v>93</v>
      </c>
      <c r="C37">
        <v>17</v>
      </c>
      <c r="D37">
        <v>8</v>
      </c>
      <c r="E37" t="s">
        <v>94</v>
      </c>
      <c r="F37">
        <v>19</v>
      </c>
      <c r="G37" t="str">
        <f>_xlfn.XLOOKUP(Products[[#This Row],[CategoryID]],Category!A:A,Category!B:B,"Not Found")</f>
        <v>Seafood</v>
      </c>
    </row>
    <row r="38" spans="1:7">
      <c r="A38">
        <v>37</v>
      </c>
      <c r="B38" t="s">
        <v>95</v>
      </c>
      <c r="C38">
        <v>17</v>
      </c>
      <c r="D38">
        <v>8</v>
      </c>
      <c r="E38" t="s">
        <v>96</v>
      </c>
      <c r="F38">
        <v>26</v>
      </c>
      <c r="G38" t="str">
        <f>_xlfn.XLOOKUP(Products[[#This Row],[CategoryID]],Category!A:A,Category!B:B,"Not Found")</f>
        <v>Seafood</v>
      </c>
    </row>
    <row r="39" spans="1:7">
      <c r="A39">
        <v>38</v>
      </c>
      <c r="B39" t="s">
        <v>97</v>
      </c>
      <c r="C39">
        <v>18</v>
      </c>
      <c r="D39">
        <v>1</v>
      </c>
      <c r="E39" t="s">
        <v>98</v>
      </c>
      <c r="F39">
        <v>263.5</v>
      </c>
      <c r="G39" t="str">
        <f>_xlfn.XLOOKUP(Products[[#This Row],[CategoryID]],Category!A:A,Category!B:B,"Not Found")</f>
        <v>Beverages</v>
      </c>
    </row>
    <row r="40" spans="1:7">
      <c r="A40">
        <v>39</v>
      </c>
      <c r="B40" t="s">
        <v>99</v>
      </c>
      <c r="C40">
        <v>18</v>
      </c>
      <c r="D40">
        <v>1</v>
      </c>
      <c r="E40" t="s">
        <v>100</v>
      </c>
      <c r="F40">
        <v>18</v>
      </c>
      <c r="G40" t="str">
        <f>_xlfn.XLOOKUP(Products[[#This Row],[CategoryID]],Category!A:A,Category!B:B,"Not Found")</f>
        <v>Beverages</v>
      </c>
    </row>
    <row r="41" spans="1:7">
      <c r="A41">
        <v>40</v>
      </c>
      <c r="B41" t="s">
        <v>101</v>
      </c>
      <c r="C41">
        <v>19</v>
      </c>
      <c r="D41">
        <v>8</v>
      </c>
      <c r="E41" t="s">
        <v>102</v>
      </c>
      <c r="F41">
        <v>18.399999999999999</v>
      </c>
      <c r="G41" t="str">
        <f>_xlfn.XLOOKUP(Products[[#This Row],[CategoryID]],Category!A:A,Category!B:B,"Not Found")</f>
        <v>Seafood</v>
      </c>
    </row>
    <row r="42" spans="1:7">
      <c r="A42">
        <v>41</v>
      </c>
      <c r="B42" t="s">
        <v>103</v>
      </c>
      <c r="C42">
        <v>19</v>
      </c>
      <c r="D42">
        <v>8</v>
      </c>
      <c r="E42" t="s">
        <v>104</v>
      </c>
      <c r="F42">
        <v>9.65</v>
      </c>
      <c r="G42" t="str">
        <f>_xlfn.XLOOKUP(Products[[#This Row],[CategoryID]],Category!A:A,Category!B:B,"Not Found")</f>
        <v>Seafood</v>
      </c>
    </row>
    <row r="43" spans="1:7">
      <c r="A43">
        <v>42</v>
      </c>
      <c r="B43" t="s">
        <v>105</v>
      </c>
      <c r="C43">
        <v>20</v>
      </c>
      <c r="D43">
        <v>5</v>
      </c>
      <c r="E43" t="s">
        <v>106</v>
      </c>
      <c r="F43">
        <v>14</v>
      </c>
      <c r="G43" t="str">
        <f>_xlfn.XLOOKUP(Products[[#This Row],[CategoryID]],Category!A:A,Category!B:B,"Not Found")</f>
        <v>Grains/Cereals</v>
      </c>
    </row>
    <row r="44" spans="1:7">
      <c r="A44">
        <v>43</v>
      </c>
      <c r="B44" t="s">
        <v>107</v>
      </c>
      <c r="C44">
        <v>20</v>
      </c>
      <c r="D44">
        <v>1</v>
      </c>
      <c r="E44" t="s">
        <v>108</v>
      </c>
      <c r="F44">
        <v>46</v>
      </c>
      <c r="G44" t="str">
        <f>_xlfn.XLOOKUP(Products[[#This Row],[CategoryID]],Category!A:A,Category!B:B,"Not Found")</f>
        <v>Beverages</v>
      </c>
    </row>
    <row r="45" spans="1:7">
      <c r="A45">
        <v>44</v>
      </c>
      <c r="B45" t="s">
        <v>109</v>
      </c>
      <c r="C45">
        <v>20</v>
      </c>
      <c r="D45">
        <v>2</v>
      </c>
      <c r="E45" t="s">
        <v>110</v>
      </c>
      <c r="F45">
        <v>19.45</v>
      </c>
      <c r="G45" t="str">
        <f>_xlfn.XLOOKUP(Products[[#This Row],[CategoryID]],Category!A:A,Category!B:B,"Not Found")</f>
        <v>Condiments</v>
      </c>
    </row>
    <row r="46" spans="1:7">
      <c r="A46">
        <v>45</v>
      </c>
      <c r="B46" t="s">
        <v>111</v>
      </c>
      <c r="C46">
        <v>21</v>
      </c>
      <c r="D46">
        <v>8</v>
      </c>
      <c r="E46" t="s">
        <v>112</v>
      </c>
      <c r="F46">
        <v>9.5</v>
      </c>
      <c r="G46" t="str">
        <f>_xlfn.XLOOKUP(Products[[#This Row],[CategoryID]],Category!A:A,Category!B:B,"Not Found")</f>
        <v>Seafood</v>
      </c>
    </row>
    <row r="47" spans="1:7">
      <c r="A47">
        <v>46</v>
      </c>
      <c r="B47" t="s">
        <v>113</v>
      </c>
      <c r="C47">
        <v>21</v>
      </c>
      <c r="D47">
        <v>8</v>
      </c>
      <c r="E47" t="s">
        <v>114</v>
      </c>
      <c r="F47">
        <v>12</v>
      </c>
      <c r="G47" t="str">
        <f>_xlfn.XLOOKUP(Products[[#This Row],[CategoryID]],Category!A:A,Category!B:B,"Not Found")</f>
        <v>Seafood</v>
      </c>
    </row>
    <row r="48" spans="1:7">
      <c r="A48">
        <v>47</v>
      </c>
      <c r="B48" t="s">
        <v>115</v>
      </c>
      <c r="C48">
        <v>22</v>
      </c>
      <c r="D48">
        <v>3</v>
      </c>
      <c r="E48" t="s">
        <v>116</v>
      </c>
      <c r="F48">
        <v>9.5</v>
      </c>
      <c r="G48" t="str">
        <f>_xlfn.XLOOKUP(Products[[#This Row],[CategoryID]],Category!A:A,Category!B:B,"Not Found")</f>
        <v>Confections</v>
      </c>
    </row>
    <row r="49" spans="1:7">
      <c r="A49">
        <v>48</v>
      </c>
      <c r="B49" t="s">
        <v>117</v>
      </c>
      <c r="C49">
        <v>22</v>
      </c>
      <c r="D49">
        <v>3</v>
      </c>
      <c r="E49" t="s">
        <v>118</v>
      </c>
      <c r="F49">
        <v>12.75</v>
      </c>
      <c r="G49" t="str">
        <f>_xlfn.XLOOKUP(Products[[#This Row],[CategoryID]],Category!A:A,Category!B:B,"Not Found")</f>
        <v>Confections</v>
      </c>
    </row>
    <row r="50" spans="1:7">
      <c r="A50">
        <v>49</v>
      </c>
      <c r="B50" t="s">
        <v>119</v>
      </c>
      <c r="C50">
        <v>23</v>
      </c>
      <c r="D50">
        <v>3</v>
      </c>
      <c r="E50" t="s">
        <v>120</v>
      </c>
      <c r="F50">
        <v>20</v>
      </c>
      <c r="G50" t="str">
        <f>_xlfn.XLOOKUP(Products[[#This Row],[CategoryID]],Category!A:A,Category!B:B,"Not Found")</f>
        <v>Confections</v>
      </c>
    </row>
    <row r="51" spans="1:7">
      <c r="A51">
        <v>50</v>
      </c>
      <c r="B51" t="s">
        <v>121</v>
      </c>
      <c r="C51">
        <v>23</v>
      </c>
      <c r="D51">
        <v>3</v>
      </c>
      <c r="E51" t="s">
        <v>122</v>
      </c>
      <c r="F51">
        <v>16.25</v>
      </c>
      <c r="G51" t="str">
        <f>_xlfn.XLOOKUP(Products[[#This Row],[CategoryID]],Category!A:A,Category!B:B,"Not Found")</f>
        <v>Confections</v>
      </c>
    </row>
    <row r="52" spans="1:7">
      <c r="A52">
        <v>51</v>
      </c>
      <c r="B52" t="s">
        <v>123</v>
      </c>
      <c r="C52">
        <v>24</v>
      </c>
      <c r="D52">
        <v>7</v>
      </c>
      <c r="E52" t="s">
        <v>124</v>
      </c>
      <c r="F52">
        <v>53</v>
      </c>
      <c r="G52" t="str">
        <f>_xlfn.XLOOKUP(Products[[#This Row],[CategoryID]],Category!A:A,Category!B:B,"Not Found")</f>
        <v>Produce</v>
      </c>
    </row>
    <row r="53" spans="1:7">
      <c r="A53">
        <v>52</v>
      </c>
      <c r="B53" t="s">
        <v>125</v>
      </c>
      <c r="C53">
        <v>24</v>
      </c>
      <c r="D53">
        <v>5</v>
      </c>
      <c r="E53" t="s">
        <v>126</v>
      </c>
      <c r="F53">
        <v>7</v>
      </c>
      <c r="G53" t="str">
        <f>_xlfn.XLOOKUP(Products[[#This Row],[CategoryID]],Category!A:A,Category!B:B,"Not Found")</f>
        <v>Grains/Cereals</v>
      </c>
    </row>
    <row r="54" spans="1:7">
      <c r="A54">
        <v>53</v>
      </c>
      <c r="B54" t="s">
        <v>127</v>
      </c>
      <c r="C54">
        <v>24</v>
      </c>
      <c r="D54">
        <v>6</v>
      </c>
      <c r="E54" t="s">
        <v>128</v>
      </c>
      <c r="F54">
        <v>32.799999999999997</v>
      </c>
      <c r="G54" t="str">
        <f>_xlfn.XLOOKUP(Products[[#This Row],[CategoryID]],Category!A:A,Category!B:B,"Not Found")</f>
        <v>Meat/Poultry</v>
      </c>
    </row>
    <row r="55" spans="1:7">
      <c r="A55">
        <v>54</v>
      </c>
      <c r="B55" t="s">
        <v>129</v>
      </c>
      <c r="C55">
        <v>25</v>
      </c>
      <c r="D55">
        <v>6</v>
      </c>
      <c r="E55" t="s">
        <v>130</v>
      </c>
      <c r="F55">
        <v>7.45</v>
      </c>
      <c r="G55" t="str">
        <f>_xlfn.XLOOKUP(Products[[#This Row],[CategoryID]],Category!A:A,Category!B:B,"Not Found")</f>
        <v>Meat/Poultry</v>
      </c>
    </row>
    <row r="56" spans="1:7">
      <c r="A56">
        <v>55</v>
      </c>
      <c r="B56" t="s">
        <v>131</v>
      </c>
      <c r="C56">
        <v>25</v>
      </c>
      <c r="D56">
        <v>6</v>
      </c>
      <c r="E56" t="s">
        <v>132</v>
      </c>
      <c r="F56">
        <v>24</v>
      </c>
      <c r="G56" t="str">
        <f>_xlfn.XLOOKUP(Products[[#This Row],[CategoryID]],Category!A:A,Category!B:B,"Not Found")</f>
        <v>Meat/Poultry</v>
      </c>
    </row>
    <row r="57" spans="1:7">
      <c r="A57">
        <v>56</v>
      </c>
      <c r="B57" t="s">
        <v>133</v>
      </c>
      <c r="C57">
        <v>26</v>
      </c>
      <c r="D57">
        <v>5</v>
      </c>
      <c r="E57" t="s">
        <v>134</v>
      </c>
      <c r="F57">
        <v>38</v>
      </c>
      <c r="G57" t="str">
        <f>_xlfn.XLOOKUP(Products[[#This Row],[CategoryID]],Category!A:A,Category!B:B,"Not Found")</f>
        <v>Grains/Cereals</v>
      </c>
    </row>
    <row r="58" spans="1:7">
      <c r="A58">
        <v>57</v>
      </c>
      <c r="B58" t="s">
        <v>135</v>
      </c>
      <c r="C58">
        <v>26</v>
      </c>
      <c r="D58">
        <v>5</v>
      </c>
      <c r="E58" t="s">
        <v>134</v>
      </c>
      <c r="F58">
        <v>19.5</v>
      </c>
      <c r="G58" t="str">
        <f>_xlfn.XLOOKUP(Products[[#This Row],[CategoryID]],Category!A:A,Category!B:B,"Not Found")</f>
        <v>Grains/Cereals</v>
      </c>
    </row>
    <row r="59" spans="1:7">
      <c r="A59">
        <v>58</v>
      </c>
      <c r="B59" t="s">
        <v>136</v>
      </c>
      <c r="C59">
        <v>27</v>
      </c>
      <c r="D59">
        <v>8</v>
      </c>
      <c r="E59" t="s">
        <v>137</v>
      </c>
      <c r="F59">
        <v>13.25</v>
      </c>
      <c r="G59" t="str">
        <f>_xlfn.XLOOKUP(Products[[#This Row],[CategoryID]],Category!A:A,Category!B:B,"Not Found")</f>
        <v>Seafood</v>
      </c>
    </row>
    <row r="60" spans="1:7">
      <c r="A60">
        <v>59</v>
      </c>
      <c r="B60" t="s">
        <v>138</v>
      </c>
      <c r="C60">
        <v>28</v>
      </c>
      <c r="D60">
        <v>4</v>
      </c>
      <c r="E60" t="s">
        <v>139</v>
      </c>
      <c r="F60">
        <v>55</v>
      </c>
      <c r="G60" t="str">
        <f>_xlfn.XLOOKUP(Products[[#This Row],[CategoryID]],Category!A:A,Category!B:B,"Not Found")</f>
        <v>Dairy Products</v>
      </c>
    </row>
    <row r="61" spans="1:7">
      <c r="A61">
        <v>60</v>
      </c>
      <c r="B61" t="s">
        <v>140</v>
      </c>
      <c r="C61">
        <v>28</v>
      </c>
      <c r="D61">
        <v>4</v>
      </c>
      <c r="E61" t="s">
        <v>141</v>
      </c>
      <c r="F61">
        <v>34</v>
      </c>
      <c r="G61" t="str">
        <f>_xlfn.XLOOKUP(Products[[#This Row],[CategoryID]],Category!A:A,Category!B:B,"Not Found")</f>
        <v>Dairy Products</v>
      </c>
    </row>
    <row r="62" spans="1:7">
      <c r="A62">
        <v>61</v>
      </c>
      <c r="B62" t="s">
        <v>142</v>
      </c>
      <c r="C62">
        <v>29</v>
      </c>
      <c r="D62">
        <v>2</v>
      </c>
      <c r="E62" t="s">
        <v>143</v>
      </c>
      <c r="F62">
        <v>28.5</v>
      </c>
      <c r="G62" t="str">
        <f>_xlfn.XLOOKUP(Products[[#This Row],[CategoryID]],Category!A:A,Category!B:B,"Not Found")</f>
        <v>Condiments</v>
      </c>
    </row>
    <row r="63" spans="1:7">
      <c r="A63">
        <v>62</v>
      </c>
      <c r="B63" t="s">
        <v>144</v>
      </c>
      <c r="C63">
        <v>29</v>
      </c>
      <c r="D63">
        <v>3</v>
      </c>
      <c r="E63" t="s">
        <v>145</v>
      </c>
      <c r="F63">
        <v>49.3</v>
      </c>
      <c r="G63" t="str">
        <f>_xlfn.XLOOKUP(Products[[#This Row],[CategoryID]],Category!A:A,Category!B:B,"Not Found")</f>
        <v>Confections</v>
      </c>
    </row>
    <row r="64" spans="1:7">
      <c r="A64">
        <v>63</v>
      </c>
      <c r="B64" t="s">
        <v>146</v>
      </c>
      <c r="C64">
        <v>7</v>
      </c>
      <c r="D64">
        <v>2</v>
      </c>
      <c r="E64" t="s">
        <v>147</v>
      </c>
      <c r="F64">
        <v>43.9</v>
      </c>
      <c r="G64" t="str">
        <f>_xlfn.XLOOKUP(Products[[#This Row],[CategoryID]],Category!A:A,Category!B:B,"Not Found")</f>
        <v>Condiments</v>
      </c>
    </row>
    <row r="65" spans="1:7">
      <c r="A65">
        <v>64</v>
      </c>
      <c r="B65" t="s">
        <v>148</v>
      </c>
      <c r="C65">
        <v>12</v>
      </c>
      <c r="D65">
        <v>5</v>
      </c>
      <c r="E65" t="s">
        <v>149</v>
      </c>
      <c r="F65">
        <v>33.25</v>
      </c>
      <c r="G65" t="str">
        <f>_xlfn.XLOOKUP(Products[[#This Row],[CategoryID]],Category!A:A,Category!B:B,"Not Found")</f>
        <v>Grains/Cereals</v>
      </c>
    </row>
    <row r="66" spans="1:7">
      <c r="A66">
        <v>65</v>
      </c>
      <c r="B66" t="s">
        <v>150</v>
      </c>
      <c r="C66">
        <v>2</v>
      </c>
      <c r="D66">
        <v>2</v>
      </c>
      <c r="E66" t="s">
        <v>151</v>
      </c>
      <c r="F66">
        <v>21.05</v>
      </c>
      <c r="G66" t="str">
        <f>_xlfn.XLOOKUP(Products[[#This Row],[CategoryID]],Category!A:A,Category!B:B,"Not Found")</f>
        <v>Condiments</v>
      </c>
    </row>
    <row r="67" spans="1:7">
      <c r="A67">
        <v>66</v>
      </c>
      <c r="B67" t="s">
        <v>152</v>
      </c>
      <c r="C67">
        <v>2</v>
      </c>
      <c r="D67">
        <v>2</v>
      </c>
      <c r="E67" t="s">
        <v>153</v>
      </c>
      <c r="F67">
        <v>17</v>
      </c>
      <c r="G67" t="str">
        <f>_xlfn.XLOOKUP(Products[[#This Row],[CategoryID]],Category!A:A,Category!B:B,"Not Found")</f>
        <v>Condiments</v>
      </c>
    </row>
    <row r="68" spans="1:7">
      <c r="A68">
        <v>67</v>
      </c>
      <c r="B68" t="s">
        <v>154</v>
      </c>
      <c r="C68">
        <v>16</v>
      </c>
      <c r="D68">
        <v>1</v>
      </c>
      <c r="E68" t="s">
        <v>28</v>
      </c>
      <c r="F68">
        <v>14</v>
      </c>
      <c r="G68" t="str">
        <f>_xlfn.XLOOKUP(Products[[#This Row],[CategoryID]],Category!A:A,Category!B:B,"Not Found")</f>
        <v>Beverages</v>
      </c>
    </row>
    <row r="69" spans="1:7">
      <c r="A69">
        <v>68</v>
      </c>
      <c r="B69" t="s">
        <v>155</v>
      </c>
      <c r="C69">
        <v>8</v>
      </c>
      <c r="D69">
        <v>3</v>
      </c>
      <c r="E69" t="s">
        <v>156</v>
      </c>
      <c r="F69">
        <v>12.5</v>
      </c>
      <c r="G69" t="str">
        <f>_xlfn.XLOOKUP(Products[[#This Row],[CategoryID]],Category!A:A,Category!B:B,"Not Found")</f>
        <v>Confections</v>
      </c>
    </row>
    <row r="70" spans="1:7">
      <c r="A70">
        <v>69</v>
      </c>
      <c r="B70" t="s">
        <v>157</v>
      </c>
      <c r="C70">
        <v>15</v>
      </c>
      <c r="D70">
        <v>4</v>
      </c>
      <c r="E70" t="s">
        <v>158</v>
      </c>
      <c r="F70">
        <v>36</v>
      </c>
      <c r="G70" t="str">
        <f>_xlfn.XLOOKUP(Products[[#This Row],[CategoryID]],Category!A:A,Category!B:B,"Not Found")</f>
        <v>Dairy Products</v>
      </c>
    </row>
    <row r="71" spans="1:7">
      <c r="A71">
        <v>70</v>
      </c>
      <c r="B71" t="s">
        <v>159</v>
      </c>
      <c r="C71">
        <v>7</v>
      </c>
      <c r="D71">
        <v>1</v>
      </c>
      <c r="E71" t="s">
        <v>160</v>
      </c>
      <c r="F71">
        <v>15</v>
      </c>
      <c r="G71" t="str">
        <f>_xlfn.XLOOKUP(Products[[#This Row],[CategoryID]],Category!A:A,Category!B:B,"Not Found")</f>
        <v>Beverages</v>
      </c>
    </row>
    <row r="72" spans="1:7">
      <c r="A72">
        <v>71</v>
      </c>
      <c r="B72" t="s">
        <v>161</v>
      </c>
      <c r="C72">
        <v>15</v>
      </c>
      <c r="D72">
        <v>4</v>
      </c>
      <c r="E72" t="s">
        <v>48</v>
      </c>
      <c r="F72">
        <v>21.5</v>
      </c>
      <c r="G72" t="str">
        <f>_xlfn.XLOOKUP(Products[[#This Row],[CategoryID]],Category!A:A,Category!B:B,"Not Found")</f>
        <v>Dairy Products</v>
      </c>
    </row>
    <row r="73" spans="1:7">
      <c r="A73">
        <v>72</v>
      </c>
      <c r="B73" t="s">
        <v>162</v>
      </c>
      <c r="C73">
        <v>14</v>
      </c>
      <c r="D73">
        <v>4</v>
      </c>
      <c r="E73" t="s">
        <v>88</v>
      </c>
      <c r="F73">
        <v>34.799999999999997</v>
      </c>
      <c r="G73" t="str">
        <f>_xlfn.XLOOKUP(Products[[#This Row],[CategoryID]],Category!A:A,Category!B:B,"Not Found")</f>
        <v>Dairy Products</v>
      </c>
    </row>
    <row r="74" spans="1:7">
      <c r="A74">
        <v>73</v>
      </c>
      <c r="B74" t="s">
        <v>163</v>
      </c>
      <c r="C74">
        <v>17</v>
      </c>
      <c r="D74">
        <v>8</v>
      </c>
      <c r="E74" t="s">
        <v>164</v>
      </c>
      <c r="F74">
        <v>15</v>
      </c>
      <c r="G74" t="str">
        <f>_xlfn.XLOOKUP(Products[[#This Row],[CategoryID]],Category!A:A,Category!B:B,"Not Found")</f>
        <v>Seafood</v>
      </c>
    </row>
    <row r="75" spans="1:7">
      <c r="A75">
        <v>74</v>
      </c>
      <c r="B75" t="s">
        <v>165</v>
      </c>
      <c r="C75">
        <v>4</v>
      </c>
      <c r="D75">
        <v>7</v>
      </c>
      <c r="E75" t="s">
        <v>139</v>
      </c>
      <c r="F75">
        <v>10</v>
      </c>
      <c r="G75" t="str">
        <f>_xlfn.XLOOKUP(Products[[#This Row],[CategoryID]],Category!A:A,Category!B:B,"Not Found")</f>
        <v>Produce</v>
      </c>
    </row>
    <row r="76" spans="1:7">
      <c r="A76">
        <v>75</v>
      </c>
      <c r="B76" t="s">
        <v>166</v>
      </c>
      <c r="C76">
        <v>12</v>
      </c>
      <c r="D76">
        <v>1</v>
      </c>
      <c r="E76" t="s">
        <v>167</v>
      </c>
      <c r="F76">
        <v>7.75</v>
      </c>
      <c r="G76" t="str">
        <f>_xlfn.XLOOKUP(Products[[#This Row],[CategoryID]],Category!A:A,Category!B:B,"Not Found")</f>
        <v>Beverages</v>
      </c>
    </row>
    <row r="77" spans="1:7">
      <c r="A77">
        <v>76</v>
      </c>
      <c r="B77" t="s">
        <v>168</v>
      </c>
      <c r="C77">
        <v>23</v>
      </c>
      <c r="D77">
        <v>1</v>
      </c>
      <c r="E77" t="s">
        <v>169</v>
      </c>
      <c r="F77">
        <v>18</v>
      </c>
      <c r="G77" t="str">
        <f>_xlfn.XLOOKUP(Products[[#This Row],[CategoryID]],Category!A:A,Category!B:B,"Not Found")</f>
        <v>Beverages</v>
      </c>
    </row>
    <row r="78" spans="1:7">
      <c r="A78">
        <v>77</v>
      </c>
      <c r="B78" t="s">
        <v>170</v>
      </c>
      <c r="C78">
        <v>12</v>
      </c>
      <c r="D78">
        <v>2</v>
      </c>
      <c r="E78" t="s">
        <v>171</v>
      </c>
      <c r="F78">
        <v>13</v>
      </c>
      <c r="G78" t="str">
        <f>_xlfn.XLOOKUP(Products[[#This Row],[CategoryID]],Category!A:A,Category!B:B,"Not Found")</f>
        <v>Condiments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B82FE-327C-4365-AB10-2D0614CE7717}">
  <dimension ref="A1:V2156"/>
  <sheetViews>
    <sheetView tabSelected="1" zoomScale="70" zoomScaleNormal="70" workbookViewId="0">
      <selection activeCell="J12" sqref="A1:K2156"/>
    </sheetView>
  </sheetViews>
  <sheetFormatPr defaultRowHeight="13.8"/>
  <cols>
    <col min="2" max="2" width="11.5" bestFit="1" customWidth="1"/>
    <col min="3" max="3" width="10.8984375" bestFit="1" customWidth="1"/>
    <col min="4" max="4" width="10.296875" bestFit="1" customWidth="1"/>
    <col min="5" max="5" width="10.59765625" bestFit="1" customWidth="1"/>
    <col min="6" max="6" width="13.296875" bestFit="1" customWidth="1"/>
    <col min="7" max="7" width="13.3984375" style="9" customWidth="1"/>
    <col min="8" max="8" width="15.19921875" style="17" bestFit="1" customWidth="1"/>
    <col min="9" max="9" width="13" bestFit="1" customWidth="1"/>
    <col min="10" max="10" width="10.69921875" bestFit="1" customWidth="1"/>
    <col min="11" max="11" width="29.796875" bestFit="1" customWidth="1"/>
    <col min="13" max="13" width="8.796875" customWidth="1"/>
    <col min="14" max="14" width="64.69921875" customWidth="1"/>
    <col min="20" max="20" width="8.796875" customWidth="1"/>
  </cols>
  <sheetData>
    <row r="1" spans="1:22" ht="13.8" customHeight="1">
      <c r="A1" s="5" t="s">
        <v>172</v>
      </c>
      <c r="B1" s="5" t="s">
        <v>20</v>
      </c>
      <c r="C1" s="5" t="s">
        <v>24</v>
      </c>
      <c r="D1" s="5" t="s">
        <v>173</v>
      </c>
      <c r="E1" s="6" t="s">
        <v>174</v>
      </c>
      <c r="F1" s="5" t="s">
        <v>175</v>
      </c>
      <c r="G1" s="11" t="s">
        <v>176</v>
      </c>
      <c r="H1" s="6" t="s">
        <v>266</v>
      </c>
      <c r="I1" s="5" t="s">
        <v>1</v>
      </c>
      <c r="J1" s="5" t="s">
        <v>285</v>
      </c>
      <c r="K1" s="5" t="s">
        <v>21</v>
      </c>
      <c r="N1" s="26" t="s">
        <v>384</v>
      </c>
      <c r="O1" s="27"/>
      <c r="Q1" s="28" t="s">
        <v>383</v>
      </c>
      <c r="R1" s="28"/>
      <c r="S1" s="28"/>
      <c r="T1" s="28"/>
      <c r="U1" s="28"/>
      <c r="V1" s="28"/>
    </row>
    <row r="2" spans="1:22" ht="13.8" customHeight="1">
      <c r="A2" s="1">
        <v>10248</v>
      </c>
      <c r="B2" s="1">
        <v>11</v>
      </c>
      <c r="C2" s="1">
        <v>14</v>
      </c>
      <c r="D2" s="1">
        <v>12</v>
      </c>
      <c r="E2" s="3">
        <v>0</v>
      </c>
      <c r="F2" s="10" t="str">
        <f>_xlfn.XLOOKUP(A2,Orders!A:A,Orders!B:B,"not found")</f>
        <v>VINET</v>
      </c>
      <c r="G2" s="12">
        <f>_xlfn.XLOOKUP(OrderDetails[[#This Row],[OrderID]],Orders!A:A,Orders!C:C,"Not Found")</f>
        <v>35250</v>
      </c>
      <c r="H2" s="16">
        <f>(OrderDetails[[#This Row],[UnitPrice]]*OrderDetails[[#This Row],[Quantity]])*(1-OrderDetails[[#This Row],[Discount]])</f>
        <v>168</v>
      </c>
      <c r="I2" s="15" t="str">
        <f>_xlfn.XLOOKUP(OrderDetails[[#This Row],[ProductID]],Product!A:A,Product!G:G,"Not Found")</f>
        <v>Dairy Products</v>
      </c>
      <c r="J2" s="15" t="str">
        <f>LOOKUP(MONTH(G2),{1,4,7,10},{"Winter","Spring","Summer","Autumn"})</f>
        <v>Summer</v>
      </c>
      <c r="K2" s="15" t="str">
        <f>_xlfn.XLOOKUP(OrderDetails[[#This Row],[ProductID]],Product!A:A,Product!B:B,"Not Found")</f>
        <v>Queso Cabrales</v>
      </c>
      <c r="M2" s="24"/>
      <c r="N2" s="27"/>
      <c r="O2" s="27"/>
      <c r="P2" s="24"/>
      <c r="Q2" s="28"/>
      <c r="R2" s="28"/>
      <c r="S2" s="28"/>
      <c r="T2" s="28"/>
      <c r="U2" s="28"/>
      <c r="V2" s="28"/>
    </row>
    <row r="3" spans="1:22" ht="13.8" customHeight="1">
      <c r="A3" s="2">
        <v>10248</v>
      </c>
      <c r="B3" s="2">
        <v>42</v>
      </c>
      <c r="C3" s="2">
        <v>9.8000000000000007</v>
      </c>
      <c r="D3" s="2">
        <v>10</v>
      </c>
      <c r="E3" s="4">
        <v>0</v>
      </c>
      <c r="F3" s="1" t="str">
        <f>_xlfn.XLOOKUP(A3,Orders!A:A,Orders!B:B,"not found")</f>
        <v>VINET</v>
      </c>
      <c r="G3" s="13">
        <f>_xlfn.XLOOKUP(OrderDetails[[#This Row],[OrderID]],Orders!A:A,Orders!C:C,"Not Found")</f>
        <v>35250</v>
      </c>
      <c r="H3" s="16">
        <f>(OrderDetails[[#This Row],[UnitPrice]]*OrderDetails[[#This Row],[Quantity]])*(1-OrderDetails[[#This Row],[Discount]])</f>
        <v>98</v>
      </c>
      <c r="I3" s="15" t="str">
        <f>_xlfn.XLOOKUP(OrderDetails[[#This Row],[ProductID]],Product!A:A,Product!G:G,"Not Found")</f>
        <v>Grains/Cereals</v>
      </c>
      <c r="J3" s="15" t="str">
        <f>LOOKUP(MONTH(G3),{1,4,7,10},{"Winter","Spring","Summer","Autumn"})</f>
        <v>Summer</v>
      </c>
      <c r="K3" s="15" t="str">
        <f>_xlfn.XLOOKUP(OrderDetails[[#This Row],[ProductID]],Product!A:A,Product!B:B,"Not Found")</f>
        <v>Singaporean Hokkien Fried Mee</v>
      </c>
      <c r="M3" s="24"/>
      <c r="N3" s="27"/>
      <c r="O3" s="27"/>
      <c r="P3" s="24"/>
      <c r="Q3" s="28"/>
      <c r="R3" s="28"/>
      <c r="S3" s="28"/>
      <c r="T3" s="28"/>
      <c r="U3" s="28"/>
      <c r="V3" s="28"/>
    </row>
    <row r="4" spans="1:22" ht="13.8" customHeight="1">
      <c r="A4" s="1">
        <v>10248</v>
      </c>
      <c r="B4" s="1">
        <v>72</v>
      </c>
      <c r="C4" s="1">
        <v>34.799999999999997</v>
      </c>
      <c r="D4" s="1">
        <v>5</v>
      </c>
      <c r="E4" s="3">
        <v>0</v>
      </c>
      <c r="F4" s="1" t="str">
        <f>_xlfn.XLOOKUP(A4,Orders!A:A,Orders!B:B,"not found")</f>
        <v>VINET</v>
      </c>
      <c r="G4" s="13">
        <f>_xlfn.XLOOKUP(OrderDetails[[#This Row],[OrderID]],Orders!A:A,Orders!C:C,"Not Found")</f>
        <v>35250</v>
      </c>
      <c r="H4" s="16">
        <f>(OrderDetails[[#This Row],[UnitPrice]]*OrderDetails[[#This Row],[Quantity]])*(1-OrderDetails[[#This Row],[Discount]])</f>
        <v>174</v>
      </c>
      <c r="I4" s="15" t="str">
        <f>_xlfn.XLOOKUP(OrderDetails[[#This Row],[ProductID]],Product!A:A,Product!G:G,"Not Found")</f>
        <v>Dairy Products</v>
      </c>
      <c r="J4" s="15" t="str">
        <f>LOOKUP(MONTH(G4),{1,4,7,10},{"Winter","Spring","Summer","Autumn"})</f>
        <v>Summer</v>
      </c>
      <c r="K4" s="15" t="str">
        <f>_xlfn.XLOOKUP(OrderDetails[[#This Row],[ProductID]],Product!A:A,Product!B:B,"Not Found")</f>
        <v>Mozzarella di Giovanni</v>
      </c>
      <c r="M4" s="24"/>
      <c r="N4" s="27"/>
      <c r="O4" s="27"/>
      <c r="P4" s="24"/>
      <c r="Q4" s="28"/>
      <c r="R4" s="28"/>
      <c r="S4" s="28"/>
      <c r="T4" s="28"/>
      <c r="U4" s="28"/>
      <c r="V4" s="28"/>
    </row>
    <row r="5" spans="1:22" ht="13.8" customHeight="1">
      <c r="A5" s="2">
        <v>10249</v>
      </c>
      <c r="B5" s="2">
        <v>14</v>
      </c>
      <c r="C5" s="2">
        <v>18.600000000000001</v>
      </c>
      <c r="D5" s="2">
        <v>9</v>
      </c>
      <c r="E5" s="4">
        <v>0</v>
      </c>
      <c r="F5" s="1" t="str">
        <f>_xlfn.XLOOKUP(A5,Orders!A:A,Orders!B:B,"not found")</f>
        <v>TOMSP</v>
      </c>
      <c r="G5" s="13">
        <f>_xlfn.XLOOKUP(OrderDetails[[#This Row],[OrderID]],Orders!A:A,Orders!C:C,"Not Found")</f>
        <v>35251</v>
      </c>
      <c r="H5" s="16">
        <f>(OrderDetails[[#This Row],[UnitPrice]]*OrderDetails[[#This Row],[Quantity]])*(1-OrderDetails[[#This Row],[Discount]])</f>
        <v>167.4</v>
      </c>
      <c r="I5" s="15" t="str">
        <f>_xlfn.XLOOKUP(OrderDetails[[#This Row],[ProductID]],Product!A:A,Product!G:G,"Not Found")</f>
        <v>Produce</v>
      </c>
      <c r="J5" s="15" t="str">
        <f>LOOKUP(MONTH(G5),{1,4,7,10},{"Winter","Spring","Summer","Autumn"})</f>
        <v>Summer</v>
      </c>
      <c r="K5" s="15" t="str">
        <f>_xlfn.XLOOKUP(OrderDetails[[#This Row],[ProductID]],Product!A:A,Product!B:B,"Not Found")</f>
        <v>Tofu</v>
      </c>
      <c r="M5" s="24"/>
      <c r="N5" s="27"/>
      <c r="O5" s="27"/>
      <c r="P5" s="24"/>
      <c r="Q5" s="28"/>
      <c r="R5" s="28"/>
      <c r="S5" s="28"/>
      <c r="T5" s="28"/>
      <c r="U5" s="28"/>
      <c r="V5" s="28"/>
    </row>
    <row r="6" spans="1:22" ht="13.8" customHeight="1">
      <c r="A6" s="1">
        <v>10249</v>
      </c>
      <c r="B6" s="1">
        <v>51</v>
      </c>
      <c r="C6" s="1">
        <v>42.4</v>
      </c>
      <c r="D6" s="1">
        <v>40</v>
      </c>
      <c r="E6" s="3">
        <v>0</v>
      </c>
      <c r="F6" s="1" t="str">
        <f>_xlfn.XLOOKUP(A6,Orders!A:A,Orders!B:B,"not found")</f>
        <v>TOMSP</v>
      </c>
      <c r="G6" s="13">
        <f>_xlfn.XLOOKUP(OrderDetails[[#This Row],[OrderID]],Orders!A:A,Orders!C:C,"Not Found")</f>
        <v>35251</v>
      </c>
      <c r="H6" s="16">
        <f>(OrderDetails[[#This Row],[UnitPrice]]*OrderDetails[[#This Row],[Quantity]])*(1-OrderDetails[[#This Row],[Discount]])</f>
        <v>1696</v>
      </c>
      <c r="I6" s="15" t="str">
        <f>_xlfn.XLOOKUP(OrderDetails[[#This Row],[ProductID]],Product!A:A,Product!G:G,"Not Found")</f>
        <v>Produce</v>
      </c>
      <c r="J6" s="15" t="str">
        <f>LOOKUP(MONTH(G6),{1,4,7,10},{"Winter","Spring","Summer","Autumn"})</f>
        <v>Summer</v>
      </c>
      <c r="K6" s="15" t="str">
        <f>_xlfn.XLOOKUP(OrderDetails[[#This Row],[ProductID]],Product!A:A,Product!B:B,"Not Found")</f>
        <v>Manjimup Dried Apples</v>
      </c>
      <c r="M6" s="24"/>
      <c r="N6" s="27"/>
      <c r="O6" s="27"/>
      <c r="P6" s="24"/>
      <c r="Q6" s="28"/>
      <c r="R6" s="28"/>
      <c r="S6" s="28"/>
      <c r="T6" s="28"/>
      <c r="U6" s="28"/>
      <c r="V6" s="28"/>
    </row>
    <row r="7" spans="1:22" ht="13.8" customHeight="1">
      <c r="A7" s="2">
        <v>10250</v>
      </c>
      <c r="B7" s="2">
        <v>41</v>
      </c>
      <c r="C7" s="2">
        <v>7.7</v>
      </c>
      <c r="D7" s="2">
        <v>10</v>
      </c>
      <c r="E7" s="4">
        <v>0</v>
      </c>
      <c r="F7" s="1" t="str">
        <f>_xlfn.XLOOKUP(A7,Orders!A:A,Orders!B:B,"not found")</f>
        <v>HANAR</v>
      </c>
      <c r="G7" s="13">
        <f>_xlfn.XLOOKUP(OrderDetails[[#This Row],[OrderID]],Orders!A:A,Orders!C:C,"Not Found")</f>
        <v>35254</v>
      </c>
      <c r="H7" s="16">
        <f>(OrderDetails[[#This Row],[UnitPrice]]*OrderDetails[[#This Row],[Quantity]])*(1-OrderDetails[[#This Row],[Discount]])</f>
        <v>77</v>
      </c>
      <c r="I7" s="15" t="str">
        <f>_xlfn.XLOOKUP(OrderDetails[[#This Row],[ProductID]],Product!A:A,Product!G:G,"Not Found")</f>
        <v>Seafood</v>
      </c>
      <c r="J7" s="15" t="str">
        <f>LOOKUP(MONTH(G7),{1,4,7,10},{"Winter","Spring","Summer","Autumn"})</f>
        <v>Summer</v>
      </c>
      <c r="K7" s="15" t="str">
        <f>_xlfn.XLOOKUP(OrderDetails[[#This Row],[ProductID]],Product!A:A,Product!B:B,"Not Found")</f>
        <v>Jack's New England Clam Chowder</v>
      </c>
      <c r="M7" s="24"/>
      <c r="N7" s="27"/>
      <c r="O7" s="27"/>
      <c r="P7" s="24"/>
      <c r="Q7" s="28"/>
      <c r="R7" s="28"/>
      <c r="S7" s="28"/>
      <c r="T7" s="28"/>
      <c r="U7" s="28"/>
      <c r="V7" s="28"/>
    </row>
    <row r="8" spans="1:22" ht="13.8" customHeight="1">
      <c r="A8" s="1">
        <v>10250</v>
      </c>
      <c r="B8" s="1">
        <v>51</v>
      </c>
      <c r="C8" s="1">
        <v>42.4</v>
      </c>
      <c r="D8" s="1">
        <v>35</v>
      </c>
      <c r="E8" s="3">
        <v>0.15000000596046448</v>
      </c>
      <c r="F8" s="1" t="str">
        <f>_xlfn.XLOOKUP(A8,Orders!A:A,Orders!B:B,"not found")</f>
        <v>HANAR</v>
      </c>
      <c r="G8" s="13">
        <f>_xlfn.XLOOKUP(OrderDetails[[#This Row],[OrderID]],Orders!A:A,Orders!C:C,"Not Found")</f>
        <v>35254</v>
      </c>
      <c r="H8" s="16">
        <f>(OrderDetails[[#This Row],[UnitPrice]]*OrderDetails[[#This Row],[Quantity]])*(1-OrderDetails[[#This Row],[Discount]])</f>
        <v>1261.3999911546707</v>
      </c>
      <c r="I8" s="15" t="str">
        <f>_xlfn.XLOOKUP(OrderDetails[[#This Row],[ProductID]],Product!A:A,Product!G:G,"Not Found")</f>
        <v>Produce</v>
      </c>
      <c r="J8" s="15" t="str">
        <f>LOOKUP(MONTH(G8),{1,4,7,10},{"Winter","Spring","Summer","Autumn"})</f>
        <v>Summer</v>
      </c>
      <c r="K8" s="15" t="str">
        <f>_xlfn.XLOOKUP(OrderDetails[[#This Row],[ProductID]],Product!A:A,Product!B:B,"Not Found")</f>
        <v>Manjimup Dried Apples</v>
      </c>
      <c r="M8" s="24"/>
      <c r="N8" s="27"/>
      <c r="O8" s="27"/>
      <c r="P8" s="24"/>
      <c r="Q8" s="28"/>
      <c r="R8" s="28"/>
      <c r="S8" s="28"/>
      <c r="T8" s="28"/>
      <c r="U8" s="28"/>
      <c r="V8" s="28"/>
    </row>
    <row r="9" spans="1:22" ht="13.8" customHeight="1">
      <c r="A9" s="2">
        <v>10250</v>
      </c>
      <c r="B9" s="2">
        <v>65</v>
      </c>
      <c r="C9" s="2">
        <v>16.8</v>
      </c>
      <c r="D9" s="2">
        <v>15</v>
      </c>
      <c r="E9" s="4">
        <v>0.15000000596046448</v>
      </c>
      <c r="F9" s="1" t="str">
        <f>_xlfn.XLOOKUP(A9,Orders!A:A,Orders!B:B,"not found")</f>
        <v>HANAR</v>
      </c>
      <c r="G9" s="13">
        <f>_xlfn.XLOOKUP(OrderDetails[[#This Row],[OrderID]],Orders!A:A,Orders!C:C,"Not Found")</f>
        <v>35254</v>
      </c>
      <c r="H9" s="16">
        <f>(OrderDetails[[#This Row],[UnitPrice]]*OrderDetails[[#This Row],[Quantity]])*(1-OrderDetails[[#This Row],[Discount]])</f>
        <v>214.19999849796295</v>
      </c>
      <c r="I9" s="15" t="str">
        <f>_xlfn.XLOOKUP(OrderDetails[[#This Row],[ProductID]],Product!A:A,Product!G:G,"Not Found")</f>
        <v>Condiments</v>
      </c>
      <c r="J9" s="15" t="str">
        <f>LOOKUP(MONTH(G9),{1,4,7,10},{"Winter","Spring","Summer","Autumn"})</f>
        <v>Summer</v>
      </c>
      <c r="K9" s="15" t="str">
        <f>_xlfn.XLOOKUP(OrderDetails[[#This Row],[ProductID]],Product!A:A,Product!B:B,"Not Found")</f>
        <v>Louisiana Fiery Hot Pepper Sauce</v>
      </c>
      <c r="M9" s="24"/>
      <c r="N9" s="27"/>
      <c r="O9" s="27"/>
      <c r="P9" s="24"/>
      <c r="Q9" s="28"/>
      <c r="R9" s="28"/>
      <c r="S9" s="28"/>
      <c r="T9" s="28"/>
      <c r="U9" s="28"/>
      <c r="V9" s="28"/>
    </row>
    <row r="10" spans="1:22" ht="13.8" customHeight="1">
      <c r="A10" s="1">
        <v>10251</v>
      </c>
      <c r="B10" s="1">
        <v>22</v>
      </c>
      <c r="C10" s="1">
        <v>16.8</v>
      </c>
      <c r="D10" s="1">
        <v>6</v>
      </c>
      <c r="E10" s="3">
        <v>5.000000074505806E-2</v>
      </c>
      <c r="F10" s="1" t="str">
        <f>_xlfn.XLOOKUP(A10,Orders!A:A,Orders!B:B,"not found")</f>
        <v>VICTE</v>
      </c>
      <c r="G10" s="13">
        <f>_xlfn.XLOOKUP(OrderDetails[[#This Row],[OrderID]],Orders!A:A,Orders!C:C,"Not Found")</f>
        <v>35254</v>
      </c>
      <c r="H10" s="16">
        <f>(OrderDetails[[#This Row],[UnitPrice]]*OrderDetails[[#This Row],[Quantity]])*(1-OrderDetails[[#This Row],[Discount]])</f>
        <v>95.759999924898153</v>
      </c>
      <c r="I10" s="15" t="str">
        <f>_xlfn.XLOOKUP(OrderDetails[[#This Row],[ProductID]],Product!A:A,Product!G:G,"Not Found")</f>
        <v>Grains/Cereals</v>
      </c>
      <c r="J10" s="15" t="str">
        <f>LOOKUP(MONTH(G10),{1,4,7,10},{"Winter","Spring","Summer","Autumn"})</f>
        <v>Summer</v>
      </c>
      <c r="K10" s="15" t="str">
        <f>_xlfn.XLOOKUP(OrderDetails[[#This Row],[ProductID]],Product!A:A,Product!B:B,"Not Found")</f>
        <v>Gustaf's Knäckebröd</v>
      </c>
      <c r="M10" s="24"/>
      <c r="N10" s="27"/>
      <c r="O10" s="27"/>
      <c r="P10" s="24"/>
      <c r="Q10" s="28"/>
      <c r="R10" s="28"/>
      <c r="S10" s="28"/>
      <c r="T10" s="28"/>
      <c r="U10" s="28"/>
      <c r="V10" s="28"/>
    </row>
    <row r="11" spans="1:22" ht="13.8" customHeight="1">
      <c r="A11" s="2">
        <v>10251</v>
      </c>
      <c r="B11" s="2">
        <v>57</v>
      </c>
      <c r="C11" s="2">
        <v>15.6</v>
      </c>
      <c r="D11" s="2">
        <v>15</v>
      </c>
      <c r="E11" s="4">
        <v>5.000000074505806E-2</v>
      </c>
      <c r="F11" s="1" t="str">
        <f>_xlfn.XLOOKUP(A11,Orders!A:A,Orders!B:B,"not found")</f>
        <v>VICTE</v>
      </c>
      <c r="G11" s="13">
        <f>_xlfn.XLOOKUP(OrderDetails[[#This Row],[OrderID]],Orders!A:A,Orders!C:C,"Not Found")</f>
        <v>35254</v>
      </c>
      <c r="H11" s="16">
        <f>(OrderDetails[[#This Row],[UnitPrice]]*OrderDetails[[#This Row],[Quantity]])*(1-OrderDetails[[#This Row],[Discount]])</f>
        <v>222.29999982565641</v>
      </c>
      <c r="I11" s="15" t="str">
        <f>_xlfn.XLOOKUP(OrderDetails[[#This Row],[ProductID]],Product!A:A,Product!G:G,"Not Found")</f>
        <v>Grains/Cereals</v>
      </c>
      <c r="J11" s="15" t="str">
        <f>LOOKUP(MONTH(G11),{1,4,7,10},{"Winter","Spring","Summer","Autumn"})</f>
        <v>Summer</v>
      </c>
      <c r="K11" s="15" t="str">
        <f>_xlfn.XLOOKUP(OrderDetails[[#This Row],[ProductID]],Product!A:A,Product!B:B,"Not Found")</f>
        <v>Ravioli Angelo</v>
      </c>
      <c r="M11" s="24"/>
      <c r="N11" s="27"/>
      <c r="O11" s="27"/>
      <c r="P11" s="24"/>
      <c r="Q11" s="28"/>
      <c r="R11" s="28"/>
      <c r="S11" s="28"/>
      <c r="T11" s="28"/>
      <c r="U11" s="28"/>
      <c r="V11" s="28"/>
    </row>
    <row r="12" spans="1:22" ht="13.8" customHeight="1">
      <c r="A12" s="1">
        <v>10251</v>
      </c>
      <c r="B12" s="1">
        <v>65</v>
      </c>
      <c r="C12" s="1">
        <v>16.8</v>
      </c>
      <c r="D12" s="1">
        <v>20</v>
      </c>
      <c r="E12" s="3">
        <v>0</v>
      </c>
      <c r="F12" s="1" t="str">
        <f>_xlfn.XLOOKUP(A12,Orders!A:A,Orders!B:B,"not found")</f>
        <v>VICTE</v>
      </c>
      <c r="G12" s="13">
        <f>_xlfn.XLOOKUP(OrderDetails[[#This Row],[OrderID]],Orders!A:A,Orders!C:C,"Not Found")</f>
        <v>35254</v>
      </c>
      <c r="H12" s="16">
        <f>(OrderDetails[[#This Row],[UnitPrice]]*OrderDetails[[#This Row],[Quantity]])*(1-OrderDetails[[#This Row],[Discount]])</f>
        <v>336</v>
      </c>
      <c r="I12" s="15" t="str">
        <f>_xlfn.XLOOKUP(OrderDetails[[#This Row],[ProductID]],Product!A:A,Product!G:G,"Not Found")</f>
        <v>Condiments</v>
      </c>
      <c r="J12" s="15" t="str">
        <f>LOOKUP(MONTH(G12),{1,4,7,10},{"Winter","Spring","Summer","Autumn"})</f>
        <v>Summer</v>
      </c>
      <c r="K12" s="15" t="str">
        <f>_xlfn.XLOOKUP(OrderDetails[[#This Row],[ProductID]],Product!A:A,Product!B:B,"Not Found")</f>
        <v>Louisiana Fiery Hot Pepper Sauce</v>
      </c>
      <c r="M12" s="24"/>
      <c r="N12" s="27"/>
      <c r="O12" s="27"/>
      <c r="P12" s="24"/>
      <c r="Q12" s="28"/>
      <c r="R12" s="28"/>
      <c r="S12" s="28"/>
      <c r="T12" s="28"/>
      <c r="U12" s="28"/>
      <c r="V12" s="28"/>
    </row>
    <row r="13" spans="1:22" ht="13.8" customHeight="1">
      <c r="A13" s="2">
        <v>10252</v>
      </c>
      <c r="B13" s="2">
        <v>20</v>
      </c>
      <c r="C13" s="2">
        <v>64.8</v>
      </c>
      <c r="D13" s="2">
        <v>40</v>
      </c>
      <c r="E13" s="4">
        <v>5.000000074505806E-2</v>
      </c>
      <c r="F13" s="1" t="str">
        <f>_xlfn.XLOOKUP(A13,Orders!A:A,Orders!B:B,"not found")</f>
        <v>SUPRD</v>
      </c>
      <c r="G13" s="13">
        <f>_xlfn.XLOOKUP(OrderDetails[[#This Row],[OrderID]],Orders!A:A,Orders!C:C,"Not Found")</f>
        <v>35255</v>
      </c>
      <c r="H13" s="16">
        <f>(OrderDetails[[#This Row],[UnitPrice]]*OrderDetails[[#This Row],[Quantity]])*(1-OrderDetails[[#This Row],[Discount]])</f>
        <v>2462.3999980688095</v>
      </c>
      <c r="I13" s="15" t="str">
        <f>_xlfn.XLOOKUP(OrderDetails[[#This Row],[ProductID]],Product!A:A,Product!G:G,"Not Found")</f>
        <v>Confections</v>
      </c>
      <c r="J13" s="15" t="str">
        <f>LOOKUP(MONTH(G13),{1,4,7,10},{"Winter","Spring","Summer","Autumn"})</f>
        <v>Summer</v>
      </c>
      <c r="K13" s="15" t="str">
        <f>_xlfn.XLOOKUP(OrderDetails[[#This Row],[ProductID]],Product!A:A,Product!B:B,"Not Found")</f>
        <v>Sir Rodney's Marmalade</v>
      </c>
      <c r="M13" s="24"/>
      <c r="N13" s="27"/>
      <c r="O13" s="27"/>
      <c r="P13" s="24"/>
      <c r="Q13" s="28"/>
      <c r="R13" s="28"/>
      <c r="S13" s="28"/>
      <c r="T13" s="28"/>
      <c r="U13" s="28"/>
      <c r="V13" s="28"/>
    </row>
    <row r="14" spans="1:22" ht="13.8" customHeight="1">
      <c r="A14" s="1">
        <v>10252</v>
      </c>
      <c r="B14" s="1">
        <v>33</v>
      </c>
      <c r="C14" s="1">
        <v>2</v>
      </c>
      <c r="D14" s="1">
        <v>25</v>
      </c>
      <c r="E14" s="3">
        <v>5.000000074505806E-2</v>
      </c>
      <c r="F14" s="1" t="str">
        <f>_xlfn.XLOOKUP(A14,Orders!A:A,Orders!B:B,"not found")</f>
        <v>SUPRD</v>
      </c>
      <c r="G14" s="13">
        <f>_xlfn.XLOOKUP(OrderDetails[[#This Row],[OrderID]],Orders!A:A,Orders!C:C,"Not Found")</f>
        <v>35255</v>
      </c>
      <c r="H14" s="16">
        <f>(OrderDetails[[#This Row],[UnitPrice]]*OrderDetails[[#This Row],[Quantity]])*(1-OrderDetails[[#This Row],[Discount]])</f>
        <v>47.499999962747097</v>
      </c>
      <c r="I14" s="15" t="str">
        <f>_xlfn.XLOOKUP(OrderDetails[[#This Row],[ProductID]],Product!A:A,Product!G:G,"Not Found")</f>
        <v>Dairy Products</v>
      </c>
      <c r="J14" s="15" t="str">
        <f>LOOKUP(MONTH(G14),{1,4,7,10},{"Winter","Spring","Summer","Autumn"})</f>
        <v>Summer</v>
      </c>
      <c r="K14" s="15" t="str">
        <f>_xlfn.XLOOKUP(OrderDetails[[#This Row],[ProductID]],Product!A:A,Product!B:B,"Not Found")</f>
        <v>Geitost</v>
      </c>
      <c r="M14" s="24"/>
      <c r="N14" s="27"/>
      <c r="O14" s="27"/>
      <c r="P14" s="24"/>
      <c r="Q14" s="28"/>
      <c r="R14" s="28"/>
      <c r="S14" s="28"/>
      <c r="T14" s="28"/>
      <c r="U14" s="28"/>
      <c r="V14" s="28"/>
    </row>
    <row r="15" spans="1:22" ht="13.8" customHeight="1">
      <c r="A15" s="2">
        <v>10252</v>
      </c>
      <c r="B15" s="2">
        <v>60</v>
      </c>
      <c r="C15" s="2">
        <v>27.2</v>
      </c>
      <c r="D15" s="2">
        <v>40</v>
      </c>
      <c r="E15" s="4">
        <v>0</v>
      </c>
      <c r="F15" s="1" t="str">
        <f>_xlfn.XLOOKUP(A15,Orders!A:A,Orders!B:B,"not found")</f>
        <v>SUPRD</v>
      </c>
      <c r="G15" s="13">
        <f>_xlfn.XLOOKUP(OrderDetails[[#This Row],[OrderID]],Orders!A:A,Orders!C:C,"Not Found")</f>
        <v>35255</v>
      </c>
      <c r="H15" s="16">
        <f>(OrderDetails[[#This Row],[UnitPrice]]*OrderDetails[[#This Row],[Quantity]])*(1-OrderDetails[[#This Row],[Discount]])</f>
        <v>1088</v>
      </c>
      <c r="I15" s="15" t="str">
        <f>_xlfn.XLOOKUP(OrderDetails[[#This Row],[ProductID]],Product!A:A,Product!G:G,"Not Found")</f>
        <v>Dairy Products</v>
      </c>
      <c r="J15" s="15" t="str">
        <f>LOOKUP(MONTH(G15),{1,4,7,10},{"Winter","Spring","Summer","Autumn"})</f>
        <v>Summer</v>
      </c>
      <c r="K15" s="15" t="str">
        <f>_xlfn.XLOOKUP(OrderDetails[[#This Row],[ProductID]],Product!A:A,Product!B:B,"Not Found")</f>
        <v>Camembert Pierrot</v>
      </c>
      <c r="M15" s="24"/>
      <c r="N15" s="27"/>
      <c r="O15" s="27"/>
      <c r="P15" s="24"/>
      <c r="Q15" s="28"/>
      <c r="R15" s="28"/>
      <c r="S15" s="28"/>
      <c r="T15" s="28"/>
      <c r="U15" s="28"/>
      <c r="V15" s="28"/>
    </row>
    <row r="16" spans="1:22" ht="13.8" customHeight="1">
      <c r="A16" s="1">
        <v>10253</v>
      </c>
      <c r="B16" s="1">
        <v>31</v>
      </c>
      <c r="C16" s="1">
        <v>10</v>
      </c>
      <c r="D16" s="1">
        <v>20</v>
      </c>
      <c r="E16" s="3">
        <v>0</v>
      </c>
      <c r="F16" s="1" t="str">
        <f>_xlfn.XLOOKUP(A16,Orders!A:A,Orders!B:B,"not found")</f>
        <v>HANAR</v>
      </c>
      <c r="G16" s="13">
        <f>_xlfn.XLOOKUP(OrderDetails[[#This Row],[OrderID]],Orders!A:A,Orders!C:C,"Not Found")</f>
        <v>35256</v>
      </c>
      <c r="H16" s="16">
        <f>(OrderDetails[[#This Row],[UnitPrice]]*OrderDetails[[#This Row],[Quantity]])*(1-OrderDetails[[#This Row],[Discount]])</f>
        <v>200</v>
      </c>
      <c r="I16" s="15" t="str">
        <f>_xlfn.XLOOKUP(OrderDetails[[#This Row],[ProductID]],Product!A:A,Product!G:G,"Not Found")</f>
        <v>Dairy Products</v>
      </c>
      <c r="J16" s="15" t="str">
        <f>LOOKUP(MONTH(G16),{1,4,7,10},{"Winter","Spring","Summer","Autumn"})</f>
        <v>Summer</v>
      </c>
      <c r="K16" s="15" t="str">
        <f>_xlfn.XLOOKUP(OrderDetails[[#This Row],[ProductID]],Product!A:A,Product!B:B,"Not Found")</f>
        <v>Gorgonzola Telino</v>
      </c>
      <c r="M16" s="24"/>
      <c r="N16" s="27"/>
      <c r="O16" s="27"/>
      <c r="P16" s="24"/>
      <c r="Q16" s="28"/>
      <c r="R16" s="28"/>
      <c r="S16" s="28"/>
      <c r="T16" s="28"/>
      <c r="U16" s="28"/>
      <c r="V16" s="28"/>
    </row>
    <row r="17" spans="1:22" ht="13.8" customHeight="1">
      <c r="A17" s="2">
        <v>10253</v>
      </c>
      <c r="B17" s="2">
        <v>39</v>
      </c>
      <c r="C17" s="2">
        <v>14.4</v>
      </c>
      <c r="D17" s="2">
        <v>42</v>
      </c>
      <c r="E17" s="4">
        <v>0</v>
      </c>
      <c r="F17" s="1" t="str">
        <f>_xlfn.XLOOKUP(A17,Orders!A:A,Orders!B:B,"not found")</f>
        <v>HANAR</v>
      </c>
      <c r="G17" s="13">
        <f>_xlfn.XLOOKUP(OrderDetails[[#This Row],[OrderID]],Orders!A:A,Orders!C:C,"Not Found")</f>
        <v>35256</v>
      </c>
      <c r="H17" s="16">
        <f>(OrderDetails[[#This Row],[UnitPrice]]*OrderDetails[[#This Row],[Quantity]])*(1-OrderDetails[[#This Row],[Discount]])</f>
        <v>604.80000000000007</v>
      </c>
      <c r="I17" s="15" t="str">
        <f>_xlfn.XLOOKUP(OrderDetails[[#This Row],[ProductID]],Product!A:A,Product!G:G,"Not Found")</f>
        <v>Beverages</v>
      </c>
      <c r="J17" s="15" t="str">
        <f>LOOKUP(MONTH(G17),{1,4,7,10},{"Winter","Spring","Summer","Autumn"})</f>
        <v>Summer</v>
      </c>
      <c r="K17" s="15" t="str">
        <f>_xlfn.XLOOKUP(OrderDetails[[#This Row],[ProductID]],Product!A:A,Product!B:B,"Not Found")</f>
        <v>Chartreuse verte</v>
      </c>
      <c r="M17" s="24"/>
      <c r="N17" s="27"/>
      <c r="O17" s="27"/>
      <c r="P17" s="24"/>
      <c r="Q17" s="28"/>
      <c r="R17" s="28"/>
      <c r="S17" s="28"/>
      <c r="T17" s="28"/>
      <c r="U17" s="28"/>
      <c r="V17" s="28"/>
    </row>
    <row r="18" spans="1:22" ht="13.8" customHeight="1">
      <c r="A18" s="1">
        <v>10253</v>
      </c>
      <c r="B18" s="1">
        <v>49</v>
      </c>
      <c r="C18" s="1">
        <v>16</v>
      </c>
      <c r="D18" s="1">
        <v>40</v>
      </c>
      <c r="E18" s="3">
        <v>0</v>
      </c>
      <c r="F18" s="1" t="str">
        <f>_xlfn.XLOOKUP(A18,Orders!A:A,Orders!B:B,"not found")</f>
        <v>HANAR</v>
      </c>
      <c r="G18" s="13">
        <f>_xlfn.XLOOKUP(OrderDetails[[#This Row],[OrderID]],Orders!A:A,Orders!C:C,"Not Found")</f>
        <v>35256</v>
      </c>
      <c r="H18" s="16">
        <f>(OrderDetails[[#This Row],[UnitPrice]]*OrderDetails[[#This Row],[Quantity]])*(1-OrderDetails[[#This Row],[Discount]])</f>
        <v>640</v>
      </c>
      <c r="I18" s="15" t="str">
        <f>_xlfn.XLOOKUP(OrderDetails[[#This Row],[ProductID]],Product!A:A,Product!G:G,"Not Found")</f>
        <v>Confections</v>
      </c>
      <c r="J18" s="15" t="str">
        <f>LOOKUP(MONTH(G18),{1,4,7,10},{"Winter","Spring","Summer","Autumn"})</f>
        <v>Summer</v>
      </c>
      <c r="K18" s="15" t="str">
        <f>_xlfn.XLOOKUP(OrderDetails[[#This Row],[ProductID]],Product!A:A,Product!B:B,"Not Found")</f>
        <v>Maxilaku</v>
      </c>
      <c r="M18" s="24"/>
      <c r="N18" s="27"/>
      <c r="O18" s="27"/>
      <c r="P18" s="24"/>
      <c r="Q18" s="28"/>
      <c r="R18" s="28"/>
      <c r="S18" s="28"/>
      <c r="T18" s="28"/>
      <c r="U18" s="28"/>
      <c r="V18" s="28"/>
    </row>
    <row r="19" spans="1:22" ht="13.8" customHeight="1">
      <c r="A19" s="2">
        <v>10254</v>
      </c>
      <c r="B19" s="2">
        <v>24</v>
      </c>
      <c r="C19" s="2">
        <v>3.6</v>
      </c>
      <c r="D19" s="2">
        <v>15</v>
      </c>
      <c r="E19" s="4">
        <v>0.15000000596046448</v>
      </c>
      <c r="F19" s="1" t="str">
        <f>_xlfn.XLOOKUP(A19,Orders!A:A,Orders!B:B,"not found")</f>
        <v>CHOPS</v>
      </c>
      <c r="G19" s="13">
        <f>_xlfn.XLOOKUP(OrderDetails[[#This Row],[OrderID]],Orders!A:A,Orders!C:C,"Not Found")</f>
        <v>35257</v>
      </c>
      <c r="H19" s="16">
        <f>(OrderDetails[[#This Row],[UnitPrice]]*OrderDetails[[#This Row],[Quantity]])*(1-OrderDetails[[#This Row],[Discount]])</f>
        <v>45.899999678134918</v>
      </c>
      <c r="I19" s="15" t="str">
        <f>_xlfn.XLOOKUP(OrderDetails[[#This Row],[ProductID]],Product!A:A,Product!G:G,"Not Found")</f>
        <v>Beverages</v>
      </c>
      <c r="J19" s="15" t="str">
        <f>LOOKUP(MONTH(G19),{1,4,7,10},{"Winter","Spring","Summer","Autumn"})</f>
        <v>Summer</v>
      </c>
      <c r="K19" s="15" t="str">
        <f>_xlfn.XLOOKUP(OrderDetails[[#This Row],[ProductID]],Product!A:A,Product!B:B,"Not Found")</f>
        <v>Guaraná Fantástica</v>
      </c>
      <c r="M19" s="24"/>
      <c r="N19" s="27"/>
      <c r="O19" s="27"/>
      <c r="P19" s="24"/>
      <c r="Q19" s="28"/>
      <c r="R19" s="28"/>
      <c r="S19" s="28"/>
      <c r="T19" s="28"/>
      <c r="U19" s="28"/>
      <c r="V19" s="28"/>
    </row>
    <row r="20" spans="1:22" ht="13.8" customHeight="1">
      <c r="A20" s="1">
        <v>10254</v>
      </c>
      <c r="B20" s="1">
        <v>55</v>
      </c>
      <c r="C20" s="1">
        <v>19.2</v>
      </c>
      <c r="D20" s="1">
        <v>21</v>
      </c>
      <c r="E20" s="3">
        <v>0.15000000596046448</v>
      </c>
      <c r="F20" s="1" t="str">
        <f>_xlfn.XLOOKUP(A20,Orders!A:A,Orders!B:B,"not found")</f>
        <v>CHOPS</v>
      </c>
      <c r="G20" s="13">
        <f>_xlfn.XLOOKUP(OrderDetails[[#This Row],[OrderID]],Orders!A:A,Orders!C:C,"Not Found")</f>
        <v>35257</v>
      </c>
      <c r="H20" s="16">
        <f>(OrderDetails[[#This Row],[UnitPrice]]*OrderDetails[[#This Row],[Quantity]])*(1-OrderDetails[[#This Row],[Discount]])</f>
        <v>342.71999759674071</v>
      </c>
      <c r="I20" s="15" t="str">
        <f>_xlfn.XLOOKUP(OrderDetails[[#This Row],[ProductID]],Product!A:A,Product!G:G,"Not Found")</f>
        <v>Meat/Poultry</v>
      </c>
      <c r="J20" s="15" t="str">
        <f>LOOKUP(MONTH(G20),{1,4,7,10},{"Winter","Spring","Summer","Autumn"})</f>
        <v>Summer</v>
      </c>
      <c r="K20" s="15" t="str">
        <f>_xlfn.XLOOKUP(OrderDetails[[#This Row],[ProductID]],Product!A:A,Product!B:B,"Not Found")</f>
        <v>Pâté chinois</v>
      </c>
      <c r="M20" s="24"/>
      <c r="N20" s="27"/>
      <c r="O20" s="27"/>
      <c r="P20" s="24"/>
      <c r="Q20" s="28"/>
      <c r="R20" s="28"/>
      <c r="S20" s="28"/>
      <c r="T20" s="28"/>
      <c r="U20" s="28"/>
      <c r="V20" s="28"/>
    </row>
    <row r="21" spans="1:22" ht="13.8" customHeight="1">
      <c r="A21" s="2">
        <v>10254</v>
      </c>
      <c r="B21" s="2">
        <v>74</v>
      </c>
      <c r="C21" s="2">
        <v>8</v>
      </c>
      <c r="D21" s="2">
        <v>21</v>
      </c>
      <c r="E21" s="4">
        <v>0</v>
      </c>
      <c r="F21" s="1" t="str">
        <f>_xlfn.XLOOKUP(A21,Orders!A:A,Orders!B:B,"not found")</f>
        <v>CHOPS</v>
      </c>
      <c r="G21" s="13">
        <f>_xlfn.XLOOKUP(OrderDetails[[#This Row],[OrderID]],Orders!A:A,Orders!C:C,"Not Found")</f>
        <v>35257</v>
      </c>
      <c r="H21" s="16">
        <f>(OrderDetails[[#This Row],[UnitPrice]]*OrderDetails[[#This Row],[Quantity]])*(1-OrderDetails[[#This Row],[Discount]])</f>
        <v>168</v>
      </c>
      <c r="I21" s="15" t="str">
        <f>_xlfn.XLOOKUP(OrderDetails[[#This Row],[ProductID]],Product!A:A,Product!G:G,"Not Found")</f>
        <v>Produce</v>
      </c>
      <c r="J21" s="15" t="str">
        <f>LOOKUP(MONTH(G21),{1,4,7,10},{"Winter","Spring","Summer","Autumn"})</f>
        <v>Summer</v>
      </c>
      <c r="K21" s="15" t="str">
        <f>_xlfn.XLOOKUP(OrderDetails[[#This Row],[ProductID]],Product!A:A,Product!B:B,"Not Found")</f>
        <v>Longlife Tofu</v>
      </c>
      <c r="N21" s="27"/>
      <c r="O21" s="27"/>
      <c r="Q21" s="28"/>
      <c r="R21" s="28"/>
      <c r="S21" s="28"/>
      <c r="T21" s="28"/>
      <c r="U21" s="28"/>
      <c r="V21" s="28"/>
    </row>
    <row r="22" spans="1:22" ht="13.8" customHeight="1">
      <c r="A22" s="1">
        <v>10255</v>
      </c>
      <c r="B22" s="1">
        <v>2</v>
      </c>
      <c r="C22" s="1">
        <v>15.2</v>
      </c>
      <c r="D22" s="1">
        <v>20</v>
      </c>
      <c r="E22" s="3">
        <v>0</v>
      </c>
      <c r="F22" s="1" t="str">
        <f>_xlfn.XLOOKUP(A22,Orders!A:A,Orders!B:B,"not found")</f>
        <v>RICSU</v>
      </c>
      <c r="G22" s="13">
        <f>_xlfn.XLOOKUP(OrderDetails[[#This Row],[OrderID]],Orders!A:A,Orders!C:C,"Not Found")</f>
        <v>35258</v>
      </c>
      <c r="H22" s="16">
        <f>(OrderDetails[[#This Row],[UnitPrice]]*OrderDetails[[#This Row],[Quantity]])*(1-OrderDetails[[#This Row],[Discount]])</f>
        <v>304</v>
      </c>
      <c r="I22" s="15" t="str">
        <f>_xlfn.XLOOKUP(OrderDetails[[#This Row],[ProductID]],Product!A:A,Product!G:G,"Not Found")</f>
        <v>Beverages</v>
      </c>
      <c r="J22" s="15" t="str">
        <f>LOOKUP(MONTH(G22),{1,4,7,10},{"Winter","Spring","Summer","Autumn"})</f>
        <v>Summer</v>
      </c>
      <c r="K22" s="15" t="str">
        <f>_xlfn.XLOOKUP(OrderDetails[[#This Row],[ProductID]],Product!A:A,Product!B:B,"Not Found")</f>
        <v>Chang</v>
      </c>
      <c r="N22" s="27"/>
      <c r="O22" s="27"/>
      <c r="Q22" s="28"/>
      <c r="R22" s="28"/>
      <c r="S22" s="28"/>
      <c r="T22" s="28"/>
      <c r="U22" s="28"/>
      <c r="V22" s="28"/>
    </row>
    <row r="23" spans="1:22" ht="13.8" customHeight="1">
      <c r="A23" s="2">
        <v>10255</v>
      </c>
      <c r="B23" s="2">
        <v>16</v>
      </c>
      <c r="C23" s="2">
        <v>13.9</v>
      </c>
      <c r="D23" s="2">
        <v>35</v>
      </c>
      <c r="E23" s="4">
        <v>0</v>
      </c>
      <c r="F23" s="1" t="str">
        <f>_xlfn.XLOOKUP(A23,Orders!A:A,Orders!B:B,"not found")</f>
        <v>RICSU</v>
      </c>
      <c r="G23" s="13">
        <f>_xlfn.XLOOKUP(OrderDetails[[#This Row],[OrderID]],Orders!A:A,Orders!C:C,"Not Found")</f>
        <v>35258</v>
      </c>
      <c r="H23" s="16">
        <f>(OrderDetails[[#This Row],[UnitPrice]]*OrderDetails[[#This Row],[Quantity]])*(1-OrderDetails[[#This Row],[Discount]])</f>
        <v>486.5</v>
      </c>
      <c r="I23" s="15" t="str">
        <f>_xlfn.XLOOKUP(OrderDetails[[#This Row],[ProductID]],Product!A:A,Product!G:G,"Not Found")</f>
        <v>Confections</v>
      </c>
      <c r="J23" s="15" t="str">
        <f>LOOKUP(MONTH(G23),{1,4,7,10},{"Winter","Spring","Summer","Autumn"})</f>
        <v>Summer</v>
      </c>
      <c r="K23" s="15" t="str">
        <f>_xlfn.XLOOKUP(OrderDetails[[#This Row],[ProductID]],Product!A:A,Product!B:B,"Not Found")</f>
        <v>Pavlova</v>
      </c>
      <c r="N23" s="27"/>
      <c r="O23" s="27"/>
      <c r="Q23" s="28"/>
      <c r="R23" s="28"/>
      <c r="S23" s="28"/>
      <c r="T23" s="28"/>
      <c r="U23" s="28"/>
      <c r="V23" s="28"/>
    </row>
    <row r="24" spans="1:22" ht="13.8" customHeight="1">
      <c r="A24" s="1">
        <v>10255</v>
      </c>
      <c r="B24" s="1">
        <v>36</v>
      </c>
      <c r="C24" s="1">
        <v>15.2</v>
      </c>
      <c r="D24" s="1">
        <v>25</v>
      </c>
      <c r="E24" s="3">
        <v>0</v>
      </c>
      <c r="F24" s="1" t="str">
        <f>_xlfn.XLOOKUP(A24,Orders!A:A,Orders!B:B,"not found")</f>
        <v>RICSU</v>
      </c>
      <c r="G24" s="13">
        <f>_xlfn.XLOOKUP(OrderDetails[[#This Row],[OrderID]],Orders!A:A,Orders!C:C,"Not Found")</f>
        <v>35258</v>
      </c>
      <c r="H24" s="16">
        <f>(OrderDetails[[#This Row],[UnitPrice]]*OrderDetails[[#This Row],[Quantity]])*(1-OrderDetails[[#This Row],[Discount]])</f>
        <v>380</v>
      </c>
      <c r="I24" s="15" t="str">
        <f>_xlfn.XLOOKUP(OrderDetails[[#This Row],[ProductID]],Product!A:A,Product!G:G,"Not Found")</f>
        <v>Seafood</v>
      </c>
      <c r="J24" s="15" t="str">
        <f>LOOKUP(MONTH(G24),{1,4,7,10},{"Winter","Spring","Summer","Autumn"})</f>
        <v>Summer</v>
      </c>
      <c r="K24" s="15" t="str">
        <f>_xlfn.XLOOKUP(OrderDetails[[#This Row],[ProductID]],Product!A:A,Product!B:B,"Not Found")</f>
        <v>Inlagd Sill</v>
      </c>
      <c r="N24" s="27"/>
      <c r="O24" s="27"/>
      <c r="Q24" s="28"/>
      <c r="R24" s="28"/>
      <c r="S24" s="28"/>
      <c r="T24" s="28"/>
      <c r="U24" s="28"/>
      <c r="V24" s="28"/>
    </row>
    <row r="25" spans="1:22" ht="13.8" customHeight="1">
      <c r="A25" s="2">
        <v>10255</v>
      </c>
      <c r="B25" s="2">
        <v>59</v>
      </c>
      <c r="C25" s="2">
        <v>44</v>
      </c>
      <c r="D25" s="2">
        <v>30</v>
      </c>
      <c r="E25" s="4">
        <v>0</v>
      </c>
      <c r="F25" s="1" t="str">
        <f>_xlfn.XLOOKUP(A25,Orders!A:A,Orders!B:B,"not found")</f>
        <v>RICSU</v>
      </c>
      <c r="G25" s="13">
        <f>_xlfn.XLOOKUP(OrderDetails[[#This Row],[OrderID]],Orders!A:A,Orders!C:C,"Not Found")</f>
        <v>35258</v>
      </c>
      <c r="H25" s="16">
        <f>(OrderDetails[[#This Row],[UnitPrice]]*OrderDetails[[#This Row],[Quantity]])*(1-OrderDetails[[#This Row],[Discount]])</f>
        <v>1320</v>
      </c>
      <c r="I25" s="15" t="str">
        <f>_xlfn.XLOOKUP(OrderDetails[[#This Row],[ProductID]],Product!A:A,Product!G:G,"Not Found")</f>
        <v>Dairy Products</v>
      </c>
      <c r="J25" s="15" t="str">
        <f>LOOKUP(MONTH(G25),{1,4,7,10},{"Winter","Spring","Summer","Autumn"})</f>
        <v>Summer</v>
      </c>
      <c r="K25" s="15" t="str">
        <f>_xlfn.XLOOKUP(OrderDetails[[#This Row],[ProductID]],Product!A:A,Product!B:B,"Not Found")</f>
        <v>Raclette Courdavault</v>
      </c>
      <c r="N25" s="27"/>
      <c r="O25" s="27"/>
      <c r="Q25" s="28"/>
      <c r="R25" s="28"/>
      <c r="S25" s="28"/>
      <c r="T25" s="28"/>
      <c r="U25" s="28"/>
      <c r="V25" s="28"/>
    </row>
    <row r="26" spans="1:22" ht="13.8" customHeight="1">
      <c r="A26" s="1">
        <v>10256</v>
      </c>
      <c r="B26" s="1">
        <v>53</v>
      </c>
      <c r="C26" s="1">
        <v>26.2</v>
      </c>
      <c r="D26" s="1">
        <v>15</v>
      </c>
      <c r="E26" s="3">
        <v>0</v>
      </c>
      <c r="F26" s="1" t="str">
        <f>_xlfn.XLOOKUP(A26,Orders!A:A,Orders!B:B,"not found")</f>
        <v>WELLI</v>
      </c>
      <c r="G26" s="13">
        <f>_xlfn.XLOOKUP(OrderDetails[[#This Row],[OrderID]],Orders!A:A,Orders!C:C,"Not Found")</f>
        <v>35261</v>
      </c>
      <c r="H26" s="16">
        <f>(OrderDetails[[#This Row],[UnitPrice]]*OrderDetails[[#This Row],[Quantity]])*(1-OrderDetails[[#This Row],[Discount]])</f>
        <v>393</v>
      </c>
      <c r="I26" s="15" t="str">
        <f>_xlfn.XLOOKUP(OrderDetails[[#This Row],[ProductID]],Product!A:A,Product!G:G,"Not Found")</f>
        <v>Meat/Poultry</v>
      </c>
      <c r="J26" s="15" t="str">
        <f>LOOKUP(MONTH(G26),{1,4,7,10},{"Winter","Spring","Summer","Autumn"})</f>
        <v>Summer</v>
      </c>
      <c r="K26" s="15" t="str">
        <f>_xlfn.XLOOKUP(OrderDetails[[#This Row],[ProductID]],Product!A:A,Product!B:B,"Not Found")</f>
        <v>Perth Pasties</v>
      </c>
      <c r="N26" s="27"/>
      <c r="O26" s="27"/>
      <c r="Q26" s="28"/>
      <c r="R26" s="28"/>
      <c r="S26" s="28"/>
      <c r="T26" s="28"/>
      <c r="U26" s="28"/>
      <c r="V26" s="28"/>
    </row>
    <row r="27" spans="1:22" ht="13.8" customHeight="1">
      <c r="A27" s="2">
        <v>10256</v>
      </c>
      <c r="B27" s="2">
        <v>77</v>
      </c>
      <c r="C27" s="2">
        <v>10.4</v>
      </c>
      <c r="D27" s="2">
        <v>12</v>
      </c>
      <c r="E27" s="4">
        <v>0</v>
      </c>
      <c r="F27" s="1" t="str">
        <f>_xlfn.XLOOKUP(A27,Orders!A:A,Orders!B:B,"not found")</f>
        <v>WELLI</v>
      </c>
      <c r="G27" s="13">
        <f>_xlfn.XLOOKUP(OrderDetails[[#This Row],[OrderID]],Orders!A:A,Orders!C:C,"Not Found")</f>
        <v>35261</v>
      </c>
      <c r="H27" s="16">
        <f>(OrderDetails[[#This Row],[UnitPrice]]*OrderDetails[[#This Row],[Quantity]])*(1-OrderDetails[[#This Row],[Discount]])</f>
        <v>124.80000000000001</v>
      </c>
      <c r="I27" s="15" t="str">
        <f>_xlfn.XLOOKUP(OrderDetails[[#This Row],[ProductID]],Product!A:A,Product!G:G,"Not Found")</f>
        <v>Condiments</v>
      </c>
      <c r="J27" s="15" t="str">
        <f>LOOKUP(MONTH(G27),{1,4,7,10},{"Winter","Spring","Summer","Autumn"})</f>
        <v>Summer</v>
      </c>
      <c r="K27" s="15" t="str">
        <f>_xlfn.XLOOKUP(OrderDetails[[#This Row],[ProductID]],Product!A:A,Product!B:B,"Not Found")</f>
        <v>Original Frankfurter grüne Soße</v>
      </c>
      <c r="N27" s="27"/>
      <c r="O27" s="27"/>
      <c r="Q27" s="28"/>
      <c r="R27" s="28"/>
      <c r="S27" s="28"/>
      <c r="T27" s="28"/>
      <c r="U27" s="28"/>
      <c r="V27" s="28"/>
    </row>
    <row r="28" spans="1:22" ht="13.8" customHeight="1">
      <c r="A28" s="1">
        <v>10257</v>
      </c>
      <c r="B28" s="1">
        <v>27</v>
      </c>
      <c r="C28" s="1">
        <v>35.1</v>
      </c>
      <c r="D28" s="1">
        <v>25</v>
      </c>
      <c r="E28" s="3">
        <v>0</v>
      </c>
      <c r="F28" s="1" t="str">
        <f>_xlfn.XLOOKUP(A28,Orders!A:A,Orders!B:B,"not found")</f>
        <v>HILAA</v>
      </c>
      <c r="G28" s="13">
        <f>_xlfn.XLOOKUP(OrderDetails[[#This Row],[OrderID]],Orders!A:A,Orders!C:C,"Not Found")</f>
        <v>35262</v>
      </c>
      <c r="H28" s="16">
        <f>(OrderDetails[[#This Row],[UnitPrice]]*OrderDetails[[#This Row],[Quantity]])*(1-OrderDetails[[#This Row],[Discount]])</f>
        <v>877.5</v>
      </c>
      <c r="I28" s="15" t="str">
        <f>_xlfn.XLOOKUP(OrderDetails[[#This Row],[ProductID]],Product!A:A,Product!G:G,"Not Found")</f>
        <v>Confections</v>
      </c>
      <c r="J28" s="15" t="str">
        <f>LOOKUP(MONTH(G28),{1,4,7,10},{"Winter","Spring","Summer","Autumn"})</f>
        <v>Summer</v>
      </c>
      <c r="K28" s="15" t="str">
        <f>_xlfn.XLOOKUP(OrderDetails[[#This Row],[ProductID]],Product!A:A,Product!B:B,"Not Found")</f>
        <v>Schoggi Schokolade</v>
      </c>
      <c r="N28" s="27"/>
      <c r="O28" s="27"/>
      <c r="Q28" s="28"/>
      <c r="R28" s="28"/>
      <c r="S28" s="28"/>
      <c r="T28" s="28"/>
      <c r="U28" s="28"/>
      <c r="V28" s="28"/>
    </row>
    <row r="29" spans="1:22" ht="13.8" customHeight="1">
      <c r="A29" s="2">
        <v>10257</v>
      </c>
      <c r="B29" s="2">
        <v>39</v>
      </c>
      <c r="C29" s="2">
        <v>14.4</v>
      </c>
      <c r="D29" s="2">
        <v>6</v>
      </c>
      <c r="E29" s="4">
        <v>0</v>
      </c>
      <c r="F29" s="1" t="str">
        <f>_xlfn.XLOOKUP(A29,Orders!A:A,Orders!B:B,"not found")</f>
        <v>HILAA</v>
      </c>
      <c r="G29" s="13">
        <f>_xlfn.XLOOKUP(OrderDetails[[#This Row],[OrderID]],Orders!A:A,Orders!C:C,"Not Found")</f>
        <v>35262</v>
      </c>
      <c r="H29" s="16">
        <f>(OrderDetails[[#This Row],[UnitPrice]]*OrderDetails[[#This Row],[Quantity]])*(1-OrderDetails[[#This Row],[Discount]])</f>
        <v>86.4</v>
      </c>
      <c r="I29" s="15" t="str">
        <f>_xlfn.XLOOKUP(OrderDetails[[#This Row],[ProductID]],Product!A:A,Product!G:G,"Not Found")</f>
        <v>Beverages</v>
      </c>
      <c r="J29" s="15" t="str">
        <f>LOOKUP(MONTH(G29),{1,4,7,10},{"Winter","Spring","Summer","Autumn"})</f>
        <v>Summer</v>
      </c>
      <c r="K29" s="15" t="str">
        <f>_xlfn.XLOOKUP(OrderDetails[[#This Row],[ProductID]],Product!A:A,Product!B:B,"Not Found")</f>
        <v>Chartreuse verte</v>
      </c>
      <c r="N29" s="27"/>
      <c r="O29" s="27"/>
      <c r="Q29" s="28"/>
      <c r="R29" s="28"/>
      <c r="S29" s="28"/>
      <c r="T29" s="28"/>
      <c r="U29" s="28"/>
      <c r="V29" s="28"/>
    </row>
    <row r="30" spans="1:22" ht="13.8" customHeight="1">
      <c r="A30" s="1">
        <v>10257</v>
      </c>
      <c r="B30" s="1">
        <v>77</v>
      </c>
      <c r="C30" s="1">
        <v>10.4</v>
      </c>
      <c r="D30" s="1">
        <v>15</v>
      </c>
      <c r="E30" s="3">
        <v>0</v>
      </c>
      <c r="F30" s="1" t="str">
        <f>_xlfn.XLOOKUP(A30,Orders!A:A,Orders!B:B,"not found")</f>
        <v>HILAA</v>
      </c>
      <c r="G30" s="13">
        <f>_xlfn.XLOOKUP(OrderDetails[[#This Row],[OrderID]],Orders!A:A,Orders!C:C,"Not Found")</f>
        <v>35262</v>
      </c>
      <c r="H30" s="16">
        <f>(OrderDetails[[#This Row],[UnitPrice]]*OrderDetails[[#This Row],[Quantity]])*(1-OrderDetails[[#This Row],[Discount]])</f>
        <v>156</v>
      </c>
      <c r="I30" s="15" t="str">
        <f>_xlfn.XLOOKUP(OrderDetails[[#This Row],[ProductID]],Product!A:A,Product!G:G,"Not Found")</f>
        <v>Condiments</v>
      </c>
      <c r="J30" s="15" t="str">
        <f>LOOKUP(MONTH(G30),{1,4,7,10},{"Winter","Spring","Summer","Autumn"})</f>
        <v>Summer</v>
      </c>
      <c r="K30" s="15" t="str">
        <f>_xlfn.XLOOKUP(OrderDetails[[#This Row],[ProductID]],Product!A:A,Product!B:B,"Not Found")</f>
        <v>Original Frankfurter grüne Soße</v>
      </c>
      <c r="N30" s="25"/>
    </row>
    <row r="31" spans="1:22" ht="13.8" customHeight="1">
      <c r="A31" s="2">
        <v>10258</v>
      </c>
      <c r="B31" s="2">
        <v>2</v>
      </c>
      <c r="C31" s="2">
        <v>15.2</v>
      </c>
      <c r="D31" s="2">
        <v>50</v>
      </c>
      <c r="E31" s="4">
        <v>0.20000000298023224</v>
      </c>
      <c r="F31" s="1" t="str">
        <f>_xlfn.XLOOKUP(A31,Orders!A:A,Orders!B:B,"not found")</f>
        <v>ERNSH</v>
      </c>
      <c r="G31" s="13">
        <f>_xlfn.XLOOKUP(OrderDetails[[#This Row],[OrderID]],Orders!A:A,Orders!C:C,"Not Found")</f>
        <v>35263</v>
      </c>
      <c r="H31" s="16">
        <f>(OrderDetails[[#This Row],[UnitPrice]]*OrderDetails[[#This Row],[Quantity]])*(1-OrderDetails[[#This Row],[Discount]])</f>
        <v>607.9999977350235</v>
      </c>
      <c r="I31" s="15" t="str">
        <f>_xlfn.XLOOKUP(OrderDetails[[#This Row],[ProductID]],Product!A:A,Product!G:G,"Not Found")</f>
        <v>Beverages</v>
      </c>
      <c r="J31" s="15" t="str">
        <f>LOOKUP(MONTH(G31),{1,4,7,10},{"Winter","Spring","Summer","Autumn"})</f>
        <v>Summer</v>
      </c>
      <c r="K31" s="15" t="str">
        <f>_xlfn.XLOOKUP(OrderDetails[[#This Row],[ProductID]],Product!A:A,Product!B:B,"Not Found")</f>
        <v>Chang</v>
      </c>
      <c r="N31" s="25"/>
    </row>
    <row r="32" spans="1:22" ht="13.8" customHeight="1">
      <c r="A32" s="1">
        <v>10258</v>
      </c>
      <c r="B32" s="1">
        <v>5</v>
      </c>
      <c r="C32" s="1">
        <v>17</v>
      </c>
      <c r="D32" s="1">
        <v>65</v>
      </c>
      <c r="E32" s="3">
        <v>0.20000000298023224</v>
      </c>
      <c r="F32" s="1" t="str">
        <f>_xlfn.XLOOKUP(A32,Orders!A:A,Orders!B:B,"not found")</f>
        <v>ERNSH</v>
      </c>
      <c r="G32" s="13">
        <f>_xlfn.XLOOKUP(OrderDetails[[#This Row],[OrderID]],Orders!A:A,Orders!C:C,"Not Found")</f>
        <v>35263</v>
      </c>
      <c r="H32" s="16">
        <f>(OrderDetails[[#This Row],[UnitPrice]]*OrderDetails[[#This Row],[Quantity]])*(1-OrderDetails[[#This Row],[Discount]])</f>
        <v>883.99999670684338</v>
      </c>
      <c r="I32" s="15" t="str">
        <f>_xlfn.XLOOKUP(OrderDetails[[#This Row],[ProductID]],Product!A:A,Product!G:G,"Not Found")</f>
        <v>Condiments</v>
      </c>
      <c r="J32" s="15" t="str">
        <f>LOOKUP(MONTH(G32),{1,4,7,10},{"Winter","Spring","Summer","Autumn"})</f>
        <v>Summer</v>
      </c>
      <c r="K32" s="15" t="str">
        <f>_xlfn.XLOOKUP(OrderDetails[[#This Row],[ProductID]],Product!A:A,Product!B:B,"Not Found")</f>
        <v>Chef Anton's Gumbo Mix</v>
      </c>
      <c r="N32" s="25"/>
    </row>
    <row r="33" spans="1:14" ht="13.8" customHeight="1">
      <c r="A33" s="2">
        <v>10258</v>
      </c>
      <c r="B33" s="2">
        <v>32</v>
      </c>
      <c r="C33" s="2">
        <v>25.6</v>
      </c>
      <c r="D33" s="2">
        <v>6</v>
      </c>
      <c r="E33" s="4">
        <v>0.20000000298023224</v>
      </c>
      <c r="F33" s="1" t="str">
        <f>_xlfn.XLOOKUP(A33,Orders!A:A,Orders!B:B,"not found")</f>
        <v>ERNSH</v>
      </c>
      <c r="G33" s="13">
        <f>_xlfn.XLOOKUP(OrderDetails[[#This Row],[OrderID]],Orders!A:A,Orders!C:C,"Not Found")</f>
        <v>35263</v>
      </c>
      <c r="H33" s="16">
        <f>(OrderDetails[[#This Row],[UnitPrice]]*OrderDetails[[#This Row],[Quantity]])*(1-OrderDetails[[#This Row],[Discount]])</f>
        <v>122.87999954223635</v>
      </c>
      <c r="I33" s="15" t="str">
        <f>_xlfn.XLOOKUP(OrderDetails[[#This Row],[ProductID]],Product!A:A,Product!G:G,"Not Found")</f>
        <v>Dairy Products</v>
      </c>
      <c r="J33" s="15" t="str">
        <f>LOOKUP(MONTH(G33),{1,4,7,10},{"Winter","Spring","Summer","Autumn"})</f>
        <v>Summer</v>
      </c>
      <c r="K33" s="15" t="str">
        <f>_xlfn.XLOOKUP(OrderDetails[[#This Row],[ProductID]],Product!A:A,Product!B:B,"Not Found")</f>
        <v>Mascarpone Fabioli</v>
      </c>
      <c r="N33" s="25"/>
    </row>
    <row r="34" spans="1:14" ht="13.8" customHeight="1">
      <c r="A34" s="1">
        <v>10259</v>
      </c>
      <c r="B34" s="1">
        <v>21</v>
      </c>
      <c r="C34" s="1">
        <v>8</v>
      </c>
      <c r="D34" s="1">
        <v>10</v>
      </c>
      <c r="E34" s="3">
        <v>0</v>
      </c>
      <c r="F34" s="1" t="str">
        <f>_xlfn.XLOOKUP(A34,Orders!A:A,Orders!B:B,"not found")</f>
        <v>CENTC</v>
      </c>
      <c r="G34" s="13">
        <f>_xlfn.XLOOKUP(OrderDetails[[#This Row],[OrderID]],Orders!A:A,Orders!C:C,"Not Found")</f>
        <v>35264</v>
      </c>
      <c r="H34" s="16">
        <f>(OrderDetails[[#This Row],[UnitPrice]]*OrderDetails[[#This Row],[Quantity]])*(1-OrderDetails[[#This Row],[Discount]])</f>
        <v>80</v>
      </c>
      <c r="I34" s="15" t="str">
        <f>_xlfn.XLOOKUP(OrderDetails[[#This Row],[ProductID]],Product!A:A,Product!G:G,"Not Found")</f>
        <v>Confections</v>
      </c>
      <c r="J34" s="15" t="str">
        <f>LOOKUP(MONTH(G34),{1,4,7,10},{"Winter","Spring","Summer","Autumn"})</f>
        <v>Summer</v>
      </c>
      <c r="K34" s="15" t="str">
        <f>_xlfn.XLOOKUP(OrderDetails[[#This Row],[ProductID]],Product!A:A,Product!B:B,"Not Found")</f>
        <v>Sir Rodney's Scones</v>
      </c>
      <c r="N34" s="25"/>
    </row>
    <row r="35" spans="1:14" ht="13.8" customHeight="1">
      <c r="A35" s="2">
        <v>10259</v>
      </c>
      <c r="B35" s="2">
        <v>37</v>
      </c>
      <c r="C35" s="2">
        <v>20.8</v>
      </c>
      <c r="D35" s="2">
        <v>1</v>
      </c>
      <c r="E35" s="4">
        <v>0</v>
      </c>
      <c r="F35" s="1" t="str">
        <f>_xlfn.XLOOKUP(A35,Orders!A:A,Orders!B:B,"not found")</f>
        <v>CENTC</v>
      </c>
      <c r="G35" s="13">
        <f>_xlfn.XLOOKUP(OrderDetails[[#This Row],[OrderID]],Orders!A:A,Orders!C:C,"Not Found")</f>
        <v>35264</v>
      </c>
      <c r="H35" s="16">
        <f>(OrderDetails[[#This Row],[UnitPrice]]*OrderDetails[[#This Row],[Quantity]])*(1-OrderDetails[[#This Row],[Discount]])</f>
        <v>20.8</v>
      </c>
      <c r="I35" s="15" t="str">
        <f>_xlfn.XLOOKUP(OrderDetails[[#This Row],[ProductID]],Product!A:A,Product!G:G,"Not Found")</f>
        <v>Seafood</v>
      </c>
      <c r="J35" s="15" t="str">
        <f>LOOKUP(MONTH(G35),{1,4,7,10},{"Winter","Spring","Summer","Autumn"})</f>
        <v>Summer</v>
      </c>
      <c r="K35" s="15" t="str">
        <f>_xlfn.XLOOKUP(OrderDetails[[#This Row],[ProductID]],Product!A:A,Product!B:B,"Not Found")</f>
        <v>Gravad lax</v>
      </c>
      <c r="N35" s="25"/>
    </row>
    <row r="36" spans="1:14" ht="13.8" customHeight="1">
      <c r="A36" s="1">
        <v>10260</v>
      </c>
      <c r="B36" s="1">
        <v>41</v>
      </c>
      <c r="C36" s="1">
        <v>7.7</v>
      </c>
      <c r="D36" s="1">
        <v>16</v>
      </c>
      <c r="E36" s="3">
        <v>0.25</v>
      </c>
      <c r="F36" s="1" t="str">
        <f>_xlfn.XLOOKUP(A36,Orders!A:A,Orders!B:B,"not found")</f>
        <v>OTTIK</v>
      </c>
      <c r="G36" s="13">
        <f>_xlfn.XLOOKUP(OrderDetails[[#This Row],[OrderID]],Orders!A:A,Orders!C:C,"Not Found")</f>
        <v>35265</v>
      </c>
      <c r="H36" s="16">
        <f>(OrderDetails[[#This Row],[UnitPrice]]*OrderDetails[[#This Row],[Quantity]])*(1-OrderDetails[[#This Row],[Discount]])</f>
        <v>92.4</v>
      </c>
      <c r="I36" s="15" t="str">
        <f>_xlfn.XLOOKUP(OrderDetails[[#This Row],[ProductID]],Product!A:A,Product!G:G,"Not Found")</f>
        <v>Seafood</v>
      </c>
      <c r="J36" s="15" t="str">
        <f>LOOKUP(MONTH(G36),{1,4,7,10},{"Winter","Spring","Summer","Autumn"})</f>
        <v>Summer</v>
      </c>
      <c r="K36" s="15" t="str">
        <f>_xlfn.XLOOKUP(OrderDetails[[#This Row],[ProductID]],Product!A:A,Product!B:B,"Not Found")</f>
        <v>Jack's New England Clam Chowder</v>
      </c>
      <c r="N36" s="25"/>
    </row>
    <row r="37" spans="1:14">
      <c r="A37" s="2">
        <v>10260</v>
      </c>
      <c r="B37" s="2">
        <v>57</v>
      </c>
      <c r="C37" s="2">
        <v>15.6</v>
      </c>
      <c r="D37" s="2">
        <v>50</v>
      </c>
      <c r="E37" s="4">
        <v>0</v>
      </c>
      <c r="F37" s="1" t="str">
        <f>_xlfn.XLOOKUP(A37,Orders!A:A,Orders!B:B,"not found")</f>
        <v>OTTIK</v>
      </c>
      <c r="G37" s="13">
        <f>_xlfn.XLOOKUP(OrderDetails[[#This Row],[OrderID]],Orders!A:A,Orders!C:C,"Not Found")</f>
        <v>35265</v>
      </c>
      <c r="H37" s="16">
        <f>(OrderDetails[[#This Row],[UnitPrice]]*OrderDetails[[#This Row],[Quantity]])*(1-OrderDetails[[#This Row],[Discount]])</f>
        <v>780</v>
      </c>
      <c r="I37" s="15" t="str">
        <f>_xlfn.XLOOKUP(OrderDetails[[#This Row],[ProductID]],Product!A:A,Product!G:G,"Not Found")</f>
        <v>Grains/Cereals</v>
      </c>
      <c r="J37" s="15" t="str">
        <f>LOOKUP(MONTH(G37),{1,4,7,10},{"Winter","Spring","Summer","Autumn"})</f>
        <v>Summer</v>
      </c>
      <c r="K37" s="15" t="str">
        <f>_xlfn.XLOOKUP(OrderDetails[[#This Row],[ProductID]],Product!A:A,Product!B:B,"Not Found")</f>
        <v>Ravioli Angelo</v>
      </c>
    </row>
    <row r="38" spans="1:14">
      <c r="A38" s="1">
        <v>10260</v>
      </c>
      <c r="B38" s="1">
        <v>62</v>
      </c>
      <c r="C38" s="1">
        <v>39.4</v>
      </c>
      <c r="D38" s="1">
        <v>15</v>
      </c>
      <c r="E38" s="3">
        <v>0.25</v>
      </c>
      <c r="F38" s="1" t="str">
        <f>_xlfn.XLOOKUP(A38,Orders!A:A,Orders!B:B,"not found")</f>
        <v>OTTIK</v>
      </c>
      <c r="G38" s="13">
        <f>_xlfn.XLOOKUP(OrderDetails[[#This Row],[OrderID]],Orders!A:A,Orders!C:C,"Not Found")</f>
        <v>35265</v>
      </c>
      <c r="H38" s="16">
        <f>(OrderDetails[[#This Row],[UnitPrice]]*OrderDetails[[#This Row],[Quantity]])*(1-OrderDetails[[#This Row],[Discount]])</f>
        <v>443.25</v>
      </c>
      <c r="I38" s="15" t="str">
        <f>_xlfn.XLOOKUP(OrderDetails[[#This Row],[ProductID]],Product!A:A,Product!G:G,"Not Found")</f>
        <v>Confections</v>
      </c>
      <c r="J38" s="15" t="str">
        <f>LOOKUP(MONTH(G38),{1,4,7,10},{"Winter","Spring","Summer","Autumn"})</f>
        <v>Summer</v>
      </c>
      <c r="K38" s="15" t="str">
        <f>_xlfn.XLOOKUP(OrderDetails[[#This Row],[ProductID]],Product!A:A,Product!B:B,"Not Found")</f>
        <v>Tarte au sucre</v>
      </c>
    </row>
    <row r="39" spans="1:14">
      <c r="A39" s="2">
        <v>10260</v>
      </c>
      <c r="B39" s="2">
        <v>70</v>
      </c>
      <c r="C39" s="2">
        <v>12</v>
      </c>
      <c r="D39" s="2">
        <v>21</v>
      </c>
      <c r="E39" s="4">
        <v>0.25</v>
      </c>
      <c r="F39" s="1" t="str">
        <f>_xlfn.XLOOKUP(A39,Orders!A:A,Orders!B:B,"not found")</f>
        <v>OTTIK</v>
      </c>
      <c r="G39" s="13">
        <f>_xlfn.XLOOKUP(OrderDetails[[#This Row],[OrderID]],Orders!A:A,Orders!C:C,"Not Found")</f>
        <v>35265</v>
      </c>
      <c r="H39" s="16">
        <f>(OrderDetails[[#This Row],[UnitPrice]]*OrderDetails[[#This Row],[Quantity]])*(1-OrderDetails[[#This Row],[Discount]])</f>
        <v>189</v>
      </c>
      <c r="I39" s="15" t="str">
        <f>_xlfn.XLOOKUP(OrderDetails[[#This Row],[ProductID]],Product!A:A,Product!G:G,"Not Found")</f>
        <v>Beverages</v>
      </c>
      <c r="J39" s="15" t="str">
        <f>LOOKUP(MONTH(G39),{1,4,7,10},{"Winter","Spring","Summer","Autumn"})</f>
        <v>Summer</v>
      </c>
      <c r="K39" s="15" t="str">
        <f>_xlfn.XLOOKUP(OrderDetails[[#This Row],[ProductID]],Product!A:A,Product!B:B,"Not Found")</f>
        <v>Outback Lager</v>
      </c>
    </row>
    <row r="40" spans="1:14">
      <c r="A40" s="1">
        <v>10261</v>
      </c>
      <c r="B40" s="1">
        <v>21</v>
      </c>
      <c r="C40" s="1">
        <v>8</v>
      </c>
      <c r="D40" s="1">
        <v>20</v>
      </c>
      <c r="E40" s="3">
        <v>0</v>
      </c>
      <c r="F40" s="1" t="str">
        <f>_xlfn.XLOOKUP(A40,Orders!A:A,Orders!B:B,"not found")</f>
        <v>QUEDE</v>
      </c>
      <c r="G40" s="13">
        <f>_xlfn.XLOOKUP(OrderDetails[[#This Row],[OrderID]],Orders!A:A,Orders!C:C,"Not Found")</f>
        <v>35265</v>
      </c>
      <c r="H40" s="16">
        <f>(OrderDetails[[#This Row],[UnitPrice]]*OrderDetails[[#This Row],[Quantity]])*(1-OrderDetails[[#This Row],[Discount]])</f>
        <v>160</v>
      </c>
      <c r="I40" s="15" t="str">
        <f>_xlfn.XLOOKUP(OrderDetails[[#This Row],[ProductID]],Product!A:A,Product!G:G,"Not Found")</f>
        <v>Confections</v>
      </c>
      <c r="J40" s="15" t="str">
        <f>LOOKUP(MONTH(G40),{1,4,7,10},{"Winter","Spring","Summer","Autumn"})</f>
        <v>Summer</v>
      </c>
      <c r="K40" s="15" t="str">
        <f>_xlfn.XLOOKUP(OrderDetails[[#This Row],[ProductID]],Product!A:A,Product!B:B,"Not Found")</f>
        <v>Sir Rodney's Scones</v>
      </c>
    </row>
    <row r="41" spans="1:14">
      <c r="A41" s="2">
        <v>10261</v>
      </c>
      <c r="B41" s="2">
        <v>35</v>
      </c>
      <c r="C41" s="2">
        <v>14.4</v>
      </c>
      <c r="D41" s="2">
        <v>20</v>
      </c>
      <c r="E41" s="4">
        <v>0</v>
      </c>
      <c r="F41" s="1" t="str">
        <f>_xlfn.XLOOKUP(A41,Orders!A:A,Orders!B:B,"not found")</f>
        <v>QUEDE</v>
      </c>
      <c r="G41" s="13">
        <f>_xlfn.XLOOKUP(OrderDetails[[#This Row],[OrderID]],Orders!A:A,Orders!C:C,"Not Found")</f>
        <v>35265</v>
      </c>
      <c r="H41" s="16">
        <f>(OrderDetails[[#This Row],[UnitPrice]]*OrderDetails[[#This Row],[Quantity]])*(1-OrderDetails[[#This Row],[Discount]])</f>
        <v>288</v>
      </c>
      <c r="I41" s="15" t="str">
        <f>_xlfn.XLOOKUP(OrderDetails[[#This Row],[ProductID]],Product!A:A,Product!G:G,"Not Found")</f>
        <v>Beverages</v>
      </c>
      <c r="J41" s="15" t="str">
        <f>LOOKUP(MONTH(G41),{1,4,7,10},{"Winter","Spring","Summer","Autumn"})</f>
        <v>Summer</v>
      </c>
      <c r="K41" s="15" t="str">
        <f>_xlfn.XLOOKUP(OrderDetails[[#This Row],[ProductID]],Product!A:A,Product!B:B,"Not Found")</f>
        <v>Steeleye Stout</v>
      </c>
    </row>
    <row r="42" spans="1:14">
      <c r="A42" s="1">
        <v>10262</v>
      </c>
      <c r="B42" s="1">
        <v>5</v>
      </c>
      <c r="C42" s="1">
        <v>17</v>
      </c>
      <c r="D42" s="1">
        <v>12</v>
      </c>
      <c r="E42" s="3">
        <v>0.20000000298023224</v>
      </c>
      <c r="F42" s="1" t="str">
        <f>_xlfn.XLOOKUP(A42,Orders!A:A,Orders!B:B,"not found")</f>
        <v>RATTC</v>
      </c>
      <c r="G42" s="13">
        <f>_xlfn.XLOOKUP(OrderDetails[[#This Row],[OrderID]],Orders!A:A,Orders!C:C,"Not Found")</f>
        <v>35268</v>
      </c>
      <c r="H42" s="16">
        <f>(OrderDetails[[#This Row],[UnitPrice]]*OrderDetails[[#This Row],[Quantity]])*(1-OrderDetails[[#This Row],[Discount]])</f>
        <v>163.19999939203262</v>
      </c>
      <c r="I42" s="15" t="str">
        <f>_xlfn.XLOOKUP(OrderDetails[[#This Row],[ProductID]],Product!A:A,Product!G:G,"Not Found")</f>
        <v>Condiments</v>
      </c>
      <c r="J42" s="15" t="str">
        <f>LOOKUP(MONTH(G42),{1,4,7,10},{"Winter","Spring","Summer","Autumn"})</f>
        <v>Summer</v>
      </c>
      <c r="K42" s="15" t="str">
        <f>_xlfn.XLOOKUP(OrderDetails[[#This Row],[ProductID]],Product!A:A,Product!B:B,"Not Found")</f>
        <v>Chef Anton's Gumbo Mix</v>
      </c>
    </row>
    <row r="43" spans="1:14">
      <c r="A43" s="2">
        <v>10262</v>
      </c>
      <c r="B43" s="2">
        <v>7</v>
      </c>
      <c r="C43" s="2">
        <v>24</v>
      </c>
      <c r="D43" s="2">
        <v>15</v>
      </c>
      <c r="E43" s="4">
        <v>0</v>
      </c>
      <c r="F43" s="1" t="str">
        <f>_xlfn.XLOOKUP(A43,Orders!A:A,Orders!B:B,"not found")</f>
        <v>RATTC</v>
      </c>
      <c r="G43" s="13">
        <f>_xlfn.XLOOKUP(OrderDetails[[#This Row],[OrderID]],Orders!A:A,Orders!C:C,"Not Found")</f>
        <v>35268</v>
      </c>
      <c r="H43" s="16">
        <f>(OrderDetails[[#This Row],[UnitPrice]]*OrderDetails[[#This Row],[Quantity]])*(1-OrderDetails[[#This Row],[Discount]])</f>
        <v>360</v>
      </c>
      <c r="I43" s="15" t="str">
        <f>_xlfn.XLOOKUP(OrderDetails[[#This Row],[ProductID]],Product!A:A,Product!G:G,"Not Found")</f>
        <v>Produce</v>
      </c>
      <c r="J43" s="15" t="str">
        <f>LOOKUP(MONTH(G43),{1,4,7,10},{"Winter","Spring","Summer","Autumn"})</f>
        <v>Summer</v>
      </c>
      <c r="K43" s="15" t="str">
        <f>_xlfn.XLOOKUP(OrderDetails[[#This Row],[ProductID]],Product!A:A,Product!B:B,"Not Found")</f>
        <v>Uncle Bob's Organic Dried Pears</v>
      </c>
    </row>
    <row r="44" spans="1:14">
      <c r="A44" s="1">
        <v>10262</v>
      </c>
      <c r="B44" s="1">
        <v>56</v>
      </c>
      <c r="C44" s="1">
        <v>30.4</v>
      </c>
      <c r="D44" s="1">
        <v>2</v>
      </c>
      <c r="E44" s="3">
        <v>0</v>
      </c>
      <c r="F44" s="1" t="str">
        <f>_xlfn.XLOOKUP(A44,Orders!A:A,Orders!B:B,"not found")</f>
        <v>RATTC</v>
      </c>
      <c r="G44" s="13">
        <f>_xlfn.XLOOKUP(OrderDetails[[#This Row],[OrderID]],Orders!A:A,Orders!C:C,"Not Found")</f>
        <v>35268</v>
      </c>
      <c r="H44" s="16">
        <f>(OrderDetails[[#This Row],[UnitPrice]]*OrderDetails[[#This Row],[Quantity]])*(1-OrderDetails[[#This Row],[Discount]])</f>
        <v>60.8</v>
      </c>
      <c r="I44" s="15" t="str">
        <f>_xlfn.XLOOKUP(OrderDetails[[#This Row],[ProductID]],Product!A:A,Product!G:G,"Not Found")</f>
        <v>Grains/Cereals</v>
      </c>
      <c r="J44" s="15" t="str">
        <f>LOOKUP(MONTH(G44),{1,4,7,10},{"Winter","Spring","Summer","Autumn"})</f>
        <v>Summer</v>
      </c>
      <c r="K44" s="15" t="str">
        <f>_xlfn.XLOOKUP(OrderDetails[[#This Row],[ProductID]],Product!A:A,Product!B:B,"Not Found")</f>
        <v>Gnocchi di nonna Alice</v>
      </c>
    </row>
    <row r="45" spans="1:14">
      <c r="A45" s="2">
        <v>10263</v>
      </c>
      <c r="B45" s="2">
        <v>16</v>
      </c>
      <c r="C45" s="2">
        <v>13.9</v>
      </c>
      <c r="D45" s="2">
        <v>60</v>
      </c>
      <c r="E45" s="4">
        <v>0.25</v>
      </c>
      <c r="F45" s="1" t="str">
        <f>_xlfn.XLOOKUP(A45,Orders!A:A,Orders!B:B,"not found")</f>
        <v>ERNSH</v>
      </c>
      <c r="G45" s="13">
        <f>_xlfn.XLOOKUP(OrderDetails[[#This Row],[OrderID]],Orders!A:A,Orders!C:C,"Not Found")</f>
        <v>35269</v>
      </c>
      <c r="H45" s="16">
        <f>(OrderDetails[[#This Row],[UnitPrice]]*OrderDetails[[#This Row],[Quantity]])*(1-OrderDetails[[#This Row],[Discount]])</f>
        <v>625.5</v>
      </c>
      <c r="I45" s="15" t="str">
        <f>_xlfn.XLOOKUP(OrderDetails[[#This Row],[ProductID]],Product!A:A,Product!G:G,"Not Found")</f>
        <v>Confections</v>
      </c>
      <c r="J45" s="15" t="str">
        <f>LOOKUP(MONTH(G45),{1,4,7,10},{"Winter","Spring","Summer","Autumn"})</f>
        <v>Summer</v>
      </c>
      <c r="K45" s="15" t="str">
        <f>_xlfn.XLOOKUP(OrderDetails[[#This Row],[ProductID]],Product!A:A,Product!B:B,"Not Found")</f>
        <v>Pavlova</v>
      </c>
    </row>
    <row r="46" spans="1:14">
      <c r="A46" s="1">
        <v>10263</v>
      </c>
      <c r="B46" s="1">
        <v>24</v>
      </c>
      <c r="C46" s="1">
        <v>3.6</v>
      </c>
      <c r="D46" s="1">
        <v>28</v>
      </c>
      <c r="E46" s="3">
        <v>0</v>
      </c>
      <c r="F46" s="1" t="str">
        <f>_xlfn.XLOOKUP(A46,Orders!A:A,Orders!B:B,"not found")</f>
        <v>ERNSH</v>
      </c>
      <c r="G46" s="13">
        <f>_xlfn.XLOOKUP(OrderDetails[[#This Row],[OrderID]],Orders!A:A,Orders!C:C,"Not Found")</f>
        <v>35269</v>
      </c>
      <c r="H46" s="16">
        <f>(OrderDetails[[#This Row],[UnitPrice]]*OrderDetails[[#This Row],[Quantity]])*(1-OrderDetails[[#This Row],[Discount]])</f>
        <v>100.8</v>
      </c>
      <c r="I46" s="15" t="str">
        <f>_xlfn.XLOOKUP(OrderDetails[[#This Row],[ProductID]],Product!A:A,Product!G:G,"Not Found")</f>
        <v>Beverages</v>
      </c>
      <c r="J46" s="15" t="str">
        <f>LOOKUP(MONTH(G46),{1,4,7,10},{"Winter","Spring","Summer","Autumn"})</f>
        <v>Summer</v>
      </c>
      <c r="K46" s="15" t="str">
        <f>_xlfn.XLOOKUP(OrderDetails[[#This Row],[ProductID]],Product!A:A,Product!B:B,"Not Found")</f>
        <v>Guaraná Fantástica</v>
      </c>
    </row>
    <row r="47" spans="1:14">
      <c r="A47" s="2">
        <v>10263</v>
      </c>
      <c r="B47" s="2">
        <v>30</v>
      </c>
      <c r="C47" s="2">
        <v>20.7</v>
      </c>
      <c r="D47" s="2">
        <v>60</v>
      </c>
      <c r="E47" s="4">
        <v>0.25</v>
      </c>
      <c r="F47" s="1" t="str">
        <f>_xlfn.XLOOKUP(A47,Orders!A:A,Orders!B:B,"not found")</f>
        <v>ERNSH</v>
      </c>
      <c r="G47" s="13">
        <f>_xlfn.XLOOKUP(OrderDetails[[#This Row],[OrderID]],Orders!A:A,Orders!C:C,"Not Found")</f>
        <v>35269</v>
      </c>
      <c r="H47" s="16">
        <f>(OrderDetails[[#This Row],[UnitPrice]]*OrderDetails[[#This Row],[Quantity]])*(1-OrderDetails[[#This Row],[Discount]])</f>
        <v>931.5</v>
      </c>
      <c r="I47" s="15" t="str">
        <f>_xlfn.XLOOKUP(OrderDetails[[#This Row],[ProductID]],Product!A:A,Product!G:G,"Not Found")</f>
        <v>Seafood</v>
      </c>
      <c r="J47" s="15" t="str">
        <f>LOOKUP(MONTH(G47),{1,4,7,10},{"Winter","Spring","Summer","Autumn"})</f>
        <v>Summer</v>
      </c>
      <c r="K47" s="15" t="str">
        <f>_xlfn.XLOOKUP(OrderDetails[[#This Row],[ProductID]],Product!A:A,Product!B:B,"Not Found")</f>
        <v>Nord-Ost Matjeshering</v>
      </c>
    </row>
    <row r="48" spans="1:14">
      <c r="A48" s="1">
        <v>10263</v>
      </c>
      <c r="B48" s="1">
        <v>74</v>
      </c>
      <c r="C48" s="1">
        <v>8</v>
      </c>
      <c r="D48" s="1">
        <v>36</v>
      </c>
      <c r="E48" s="3">
        <v>0.25</v>
      </c>
      <c r="F48" s="1" t="str">
        <f>_xlfn.XLOOKUP(A48,Orders!A:A,Orders!B:B,"not found")</f>
        <v>ERNSH</v>
      </c>
      <c r="G48" s="13">
        <f>_xlfn.XLOOKUP(OrderDetails[[#This Row],[OrderID]],Orders!A:A,Orders!C:C,"Not Found")</f>
        <v>35269</v>
      </c>
      <c r="H48" s="16">
        <f>(OrderDetails[[#This Row],[UnitPrice]]*OrderDetails[[#This Row],[Quantity]])*(1-OrderDetails[[#This Row],[Discount]])</f>
        <v>216</v>
      </c>
      <c r="I48" s="15" t="str">
        <f>_xlfn.XLOOKUP(OrderDetails[[#This Row],[ProductID]],Product!A:A,Product!G:G,"Not Found")</f>
        <v>Produce</v>
      </c>
      <c r="J48" s="15" t="str">
        <f>LOOKUP(MONTH(G48),{1,4,7,10},{"Winter","Spring","Summer","Autumn"})</f>
        <v>Summer</v>
      </c>
      <c r="K48" s="15" t="str">
        <f>_xlfn.XLOOKUP(OrderDetails[[#This Row],[ProductID]],Product!A:A,Product!B:B,"Not Found")</f>
        <v>Longlife Tofu</v>
      </c>
    </row>
    <row r="49" spans="1:11">
      <c r="A49" s="2">
        <v>10264</v>
      </c>
      <c r="B49" s="2">
        <v>2</v>
      </c>
      <c r="C49" s="2">
        <v>15.2</v>
      </c>
      <c r="D49" s="2">
        <v>35</v>
      </c>
      <c r="E49" s="4">
        <v>0</v>
      </c>
      <c r="F49" s="1" t="str">
        <f>_xlfn.XLOOKUP(A49,Orders!A:A,Orders!B:B,"not found")</f>
        <v>FOLKO</v>
      </c>
      <c r="G49" s="13">
        <f>_xlfn.XLOOKUP(OrderDetails[[#This Row],[OrderID]],Orders!A:A,Orders!C:C,"Not Found")</f>
        <v>35270</v>
      </c>
      <c r="H49" s="16">
        <f>(OrderDetails[[#This Row],[UnitPrice]]*OrderDetails[[#This Row],[Quantity]])*(1-OrderDetails[[#This Row],[Discount]])</f>
        <v>532</v>
      </c>
      <c r="I49" s="15" t="str">
        <f>_xlfn.XLOOKUP(OrderDetails[[#This Row],[ProductID]],Product!A:A,Product!G:G,"Not Found")</f>
        <v>Beverages</v>
      </c>
      <c r="J49" s="15" t="str">
        <f>LOOKUP(MONTH(G49),{1,4,7,10},{"Winter","Spring","Summer","Autumn"})</f>
        <v>Summer</v>
      </c>
      <c r="K49" s="15" t="str">
        <f>_xlfn.XLOOKUP(OrderDetails[[#This Row],[ProductID]],Product!A:A,Product!B:B,"Not Found")</f>
        <v>Chang</v>
      </c>
    </row>
    <row r="50" spans="1:11">
      <c r="A50" s="1">
        <v>10264</v>
      </c>
      <c r="B50" s="1">
        <v>41</v>
      </c>
      <c r="C50" s="1">
        <v>7.7</v>
      </c>
      <c r="D50" s="1">
        <v>25</v>
      </c>
      <c r="E50" s="3">
        <v>0.15000000596046448</v>
      </c>
      <c r="F50" s="1" t="str">
        <f>_xlfn.XLOOKUP(A50,Orders!A:A,Orders!B:B,"not found")</f>
        <v>FOLKO</v>
      </c>
      <c r="G50" s="13">
        <f>_xlfn.XLOOKUP(OrderDetails[[#This Row],[OrderID]],Orders!A:A,Orders!C:C,"Not Found")</f>
        <v>35270</v>
      </c>
      <c r="H50" s="16">
        <f>(OrderDetails[[#This Row],[UnitPrice]]*OrderDetails[[#This Row],[Quantity]])*(1-OrderDetails[[#This Row],[Discount]])</f>
        <v>163.62499885261059</v>
      </c>
      <c r="I50" s="15" t="str">
        <f>_xlfn.XLOOKUP(OrderDetails[[#This Row],[ProductID]],Product!A:A,Product!G:G,"Not Found")</f>
        <v>Seafood</v>
      </c>
      <c r="J50" s="15" t="str">
        <f>LOOKUP(MONTH(G50),{1,4,7,10},{"Winter","Spring","Summer","Autumn"})</f>
        <v>Summer</v>
      </c>
      <c r="K50" s="15" t="str">
        <f>_xlfn.XLOOKUP(OrderDetails[[#This Row],[ProductID]],Product!A:A,Product!B:B,"Not Found")</f>
        <v>Jack's New England Clam Chowder</v>
      </c>
    </row>
    <row r="51" spans="1:11">
      <c r="A51" s="2">
        <v>10265</v>
      </c>
      <c r="B51" s="2">
        <v>17</v>
      </c>
      <c r="C51" s="2">
        <v>31.2</v>
      </c>
      <c r="D51" s="2">
        <v>30</v>
      </c>
      <c r="E51" s="4">
        <v>0</v>
      </c>
      <c r="F51" s="1" t="str">
        <f>_xlfn.XLOOKUP(A51,Orders!A:A,Orders!B:B,"not found")</f>
        <v>BLONP</v>
      </c>
      <c r="G51" s="13">
        <f>_xlfn.XLOOKUP(OrderDetails[[#This Row],[OrderID]],Orders!A:A,Orders!C:C,"Not Found")</f>
        <v>35271</v>
      </c>
      <c r="H51" s="16">
        <f>(OrderDetails[[#This Row],[UnitPrice]]*OrderDetails[[#This Row],[Quantity]])*(1-OrderDetails[[#This Row],[Discount]])</f>
        <v>936</v>
      </c>
      <c r="I51" s="15" t="str">
        <f>_xlfn.XLOOKUP(OrderDetails[[#This Row],[ProductID]],Product!A:A,Product!G:G,"Not Found")</f>
        <v>Meat/Poultry</v>
      </c>
      <c r="J51" s="15" t="str">
        <f>LOOKUP(MONTH(G51),{1,4,7,10},{"Winter","Spring","Summer","Autumn"})</f>
        <v>Summer</v>
      </c>
      <c r="K51" s="15" t="str">
        <f>_xlfn.XLOOKUP(OrderDetails[[#This Row],[ProductID]],Product!A:A,Product!B:B,"Not Found")</f>
        <v>Alice Mutton</v>
      </c>
    </row>
    <row r="52" spans="1:11">
      <c r="A52" s="1">
        <v>10265</v>
      </c>
      <c r="B52" s="1">
        <v>70</v>
      </c>
      <c r="C52" s="1">
        <v>12</v>
      </c>
      <c r="D52" s="1">
        <v>20</v>
      </c>
      <c r="E52" s="3">
        <v>0</v>
      </c>
      <c r="F52" s="1" t="str">
        <f>_xlfn.XLOOKUP(A52,Orders!A:A,Orders!B:B,"not found")</f>
        <v>BLONP</v>
      </c>
      <c r="G52" s="13">
        <f>_xlfn.XLOOKUP(OrderDetails[[#This Row],[OrderID]],Orders!A:A,Orders!C:C,"Not Found")</f>
        <v>35271</v>
      </c>
      <c r="H52" s="16">
        <f>(OrderDetails[[#This Row],[UnitPrice]]*OrderDetails[[#This Row],[Quantity]])*(1-OrderDetails[[#This Row],[Discount]])</f>
        <v>240</v>
      </c>
      <c r="I52" s="15" t="str">
        <f>_xlfn.XLOOKUP(OrderDetails[[#This Row],[ProductID]],Product!A:A,Product!G:G,"Not Found")</f>
        <v>Beverages</v>
      </c>
      <c r="J52" s="15" t="str">
        <f>LOOKUP(MONTH(G52),{1,4,7,10},{"Winter","Spring","Summer","Autumn"})</f>
        <v>Summer</v>
      </c>
      <c r="K52" s="15" t="str">
        <f>_xlfn.XLOOKUP(OrderDetails[[#This Row],[ProductID]],Product!A:A,Product!B:B,"Not Found")</f>
        <v>Outback Lager</v>
      </c>
    </row>
    <row r="53" spans="1:11">
      <c r="A53" s="2">
        <v>10266</v>
      </c>
      <c r="B53" s="2">
        <v>12</v>
      </c>
      <c r="C53" s="2">
        <v>30.4</v>
      </c>
      <c r="D53" s="2">
        <v>12</v>
      </c>
      <c r="E53" s="4">
        <v>5.000000074505806E-2</v>
      </c>
      <c r="F53" s="1" t="str">
        <f>_xlfn.XLOOKUP(A53,Orders!A:A,Orders!B:B,"not found")</f>
        <v>WARTH</v>
      </c>
      <c r="G53" s="13">
        <f>_xlfn.XLOOKUP(OrderDetails[[#This Row],[OrderID]],Orders!A:A,Orders!C:C,"Not Found")</f>
        <v>35272</v>
      </c>
      <c r="H53" s="16">
        <f>(OrderDetails[[#This Row],[UnitPrice]]*OrderDetails[[#This Row],[Quantity]])*(1-OrderDetails[[#This Row],[Discount]])</f>
        <v>346.5599997282028</v>
      </c>
      <c r="I53" s="15" t="str">
        <f>_xlfn.XLOOKUP(OrderDetails[[#This Row],[ProductID]],Product!A:A,Product!G:G,"Not Found")</f>
        <v>Dairy Products</v>
      </c>
      <c r="J53" s="15" t="str">
        <f>LOOKUP(MONTH(G53),{1,4,7,10},{"Winter","Spring","Summer","Autumn"})</f>
        <v>Summer</v>
      </c>
      <c r="K53" s="15" t="str">
        <f>_xlfn.XLOOKUP(OrderDetails[[#This Row],[ProductID]],Product!A:A,Product!B:B,"Not Found")</f>
        <v>Queso Manchego La Pastora</v>
      </c>
    </row>
    <row r="54" spans="1:11">
      <c r="A54" s="1">
        <v>10267</v>
      </c>
      <c r="B54" s="1">
        <v>40</v>
      </c>
      <c r="C54" s="1">
        <v>14.7</v>
      </c>
      <c r="D54" s="1">
        <v>50</v>
      </c>
      <c r="E54" s="3">
        <v>0</v>
      </c>
      <c r="F54" s="1" t="str">
        <f>_xlfn.XLOOKUP(A54,Orders!A:A,Orders!B:B,"not found")</f>
        <v>FRANK</v>
      </c>
      <c r="G54" s="13">
        <f>_xlfn.XLOOKUP(OrderDetails[[#This Row],[OrderID]],Orders!A:A,Orders!C:C,"Not Found")</f>
        <v>35275</v>
      </c>
      <c r="H54" s="16">
        <f>(OrderDetails[[#This Row],[UnitPrice]]*OrderDetails[[#This Row],[Quantity]])*(1-OrderDetails[[#This Row],[Discount]])</f>
        <v>735</v>
      </c>
      <c r="I54" s="15" t="str">
        <f>_xlfn.XLOOKUP(OrderDetails[[#This Row],[ProductID]],Product!A:A,Product!G:G,"Not Found")</f>
        <v>Seafood</v>
      </c>
      <c r="J54" s="15" t="str">
        <f>LOOKUP(MONTH(G54),{1,4,7,10},{"Winter","Spring","Summer","Autumn"})</f>
        <v>Summer</v>
      </c>
      <c r="K54" s="15" t="str">
        <f>_xlfn.XLOOKUP(OrderDetails[[#This Row],[ProductID]],Product!A:A,Product!B:B,"Not Found")</f>
        <v>Boston Crab Meat</v>
      </c>
    </row>
    <row r="55" spans="1:11">
      <c r="A55" s="2">
        <v>10267</v>
      </c>
      <c r="B55" s="2">
        <v>59</v>
      </c>
      <c r="C55" s="2">
        <v>44</v>
      </c>
      <c r="D55" s="2">
        <v>70</v>
      </c>
      <c r="E55" s="4">
        <v>0.15000000596046448</v>
      </c>
      <c r="F55" s="1" t="str">
        <f>_xlfn.XLOOKUP(A55,Orders!A:A,Orders!B:B,"not found")</f>
        <v>FRANK</v>
      </c>
      <c r="G55" s="13">
        <f>_xlfn.XLOOKUP(OrderDetails[[#This Row],[OrderID]],Orders!A:A,Orders!C:C,"Not Found")</f>
        <v>35275</v>
      </c>
      <c r="H55" s="16">
        <f>(OrderDetails[[#This Row],[UnitPrice]]*OrderDetails[[#This Row],[Quantity]])*(1-OrderDetails[[#This Row],[Discount]])</f>
        <v>2617.9999816417694</v>
      </c>
      <c r="I55" s="15" t="str">
        <f>_xlfn.XLOOKUP(OrderDetails[[#This Row],[ProductID]],Product!A:A,Product!G:G,"Not Found")</f>
        <v>Dairy Products</v>
      </c>
      <c r="J55" s="15" t="str">
        <f>LOOKUP(MONTH(G55),{1,4,7,10},{"Winter","Spring","Summer","Autumn"})</f>
        <v>Summer</v>
      </c>
      <c r="K55" s="15" t="str">
        <f>_xlfn.XLOOKUP(OrderDetails[[#This Row],[ProductID]],Product!A:A,Product!B:B,"Not Found")</f>
        <v>Raclette Courdavault</v>
      </c>
    </row>
    <row r="56" spans="1:11">
      <c r="A56" s="1">
        <v>10267</v>
      </c>
      <c r="B56" s="1">
        <v>76</v>
      </c>
      <c r="C56" s="1">
        <v>14.4</v>
      </c>
      <c r="D56" s="1">
        <v>15</v>
      </c>
      <c r="E56" s="3">
        <v>0.15000000596046448</v>
      </c>
      <c r="F56" s="1" t="str">
        <f>_xlfn.XLOOKUP(A56,Orders!A:A,Orders!B:B,"not found")</f>
        <v>FRANK</v>
      </c>
      <c r="G56" s="13">
        <f>_xlfn.XLOOKUP(OrderDetails[[#This Row],[OrderID]],Orders!A:A,Orders!C:C,"Not Found")</f>
        <v>35275</v>
      </c>
      <c r="H56" s="16">
        <f>(OrderDetails[[#This Row],[UnitPrice]]*OrderDetails[[#This Row],[Quantity]])*(1-OrderDetails[[#This Row],[Discount]])</f>
        <v>183.59999871253967</v>
      </c>
      <c r="I56" s="15" t="str">
        <f>_xlfn.XLOOKUP(OrderDetails[[#This Row],[ProductID]],Product!A:A,Product!G:G,"Not Found")</f>
        <v>Beverages</v>
      </c>
      <c r="J56" s="15" t="str">
        <f>LOOKUP(MONTH(G56),{1,4,7,10},{"Winter","Spring","Summer","Autumn"})</f>
        <v>Summer</v>
      </c>
      <c r="K56" s="15" t="str">
        <f>_xlfn.XLOOKUP(OrderDetails[[#This Row],[ProductID]],Product!A:A,Product!B:B,"Not Found")</f>
        <v>Lakkalikööri</v>
      </c>
    </row>
    <row r="57" spans="1:11">
      <c r="A57" s="2">
        <v>10268</v>
      </c>
      <c r="B57" s="2">
        <v>29</v>
      </c>
      <c r="C57" s="2">
        <v>99</v>
      </c>
      <c r="D57" s="2">
        <v>10</v>
      </c>
      <c r="E57" s="4">
        <v>0</v>
      </c>
      <c r="F57" s="1" t="str">
        <f>_xlfn.XLOOKUP(A57,Orders!A:A,Orders!B:B,"not found")</f>
        <v>GROSR</v>
      </c>
      <c r="G57" s="13">
        <f>_xlfn.XLOOKUP(OrderDetails[[#This Row],[OrderID]],Orders!A:A,Orders!C:C,"Not Found")</f>
        <v>35276</v>
      </c>
      <c r="H57" s="16">
        <f>(OrderDetails[[#This Row],[UnitPrice]]*OrderDetails[[#This Row],[Quantity]])*(1-OrderDetails[[#This Row],[Discount]])</f>
        <v>990</v>
      </c>
      <c r="I57" s="15" t="str">
        <f>_xlfn.XLOOKUP(OrderDetails[[#This Row],[ProductID]],Product!A:A,Product!G:G,"Not Found")</f>
        <v>Meat/Poultry</v>
      </c>
      <c r="J57" s="15" t="str">
        <f>LOOKUP(MONTH(G57),{1,4,7,10},{"Winter","Spring","Summer","Autumn"})</f>
        <v>Summer</v>
      </c>
      <c r="K57" s="15" t="str">
        <f>_xlfn.XLOOKUP(OrderDetails[[#This Row],[ProductID]],Product!A:A,Product!B:B,"Not Found")</f>
        <v>Thüringer Rostbratwurst</v>
      </c>
    </row>
    <row r="58" spans="1:11">
      <c r="A58" s="1">
        <v>10268</v>
      </c>
      <c r="B58" s="1">
        <v>72</v>
      </c>
      <c r="C58" s="1">
        <v>27.8</v>
      </c>
      <c r="D58" s="1">
        <v>4</v>
      </c>
      <c r="E58" s="3">
        <v>0</v>
      </c>
      <c r="F58" s="1" t="str">
        <f>_xlfn.XLOOKUP(A58,Orders!A:A,Orders!B:B,"not found")</f>
        <v>GROSR</v>
      </c>
      <c r="G58" s="13">
        <f>_xlfn.XLOOKUP(OrderDetails[[#This Row],[OrderID]],Orders!A:A,Orders!C:C,"Not Found")</f>
        <v>35276</v>
      </c>
      <c r="H58" s="16">
        <f>(OrderDetails[[#This Row],[UnitPrice]]*OrderDetails[[#This Row],[Quantity]])*(1-OrderDetails[[#This Row],[Discount]])</f>
        <v>111.2</v>
      </c>
      <c r="I58" s="15" t="str">
        <f>_xlfn.XLOOKUP(OrderDetails[[#This Row],[ProductID]],Product!A:A,Product!G:G,"Not Found")</f>
        <v>Dairy Products</v>
      </c>
      <c r="J58" s="15" t="str">
        <f>LOOKUP(MONTH(G58),{1,4,7,10},{"Winter","Spring","Summer","Autumn"})</f>
        <v>Summer</v>
      </c>
      <c r="K58" s="15" t="str">
        <f>_xlfn.XLOOKUP(OrderDetails[[#This Row],[ProductID]],Product!A:A,Product!B:B,"Not Found")</f>
        <v>Mozzarella di Giovanni</v>
      </c>
    </row>
    <row r="59" spans="1:11">
      <c r="A59" s="2">
        <v>10269</v>
      </c>
      <c r="B59" s="2">
        <v>33</v>
      </c>
      <c r="C59" s="2">
        <v>2</v>
      </c>
      <c r="D59" s="2">
        <v>60</v>
      </c>
      <c r="E59" s="4">
        <v>5.000000074505806E-2</v>
      </c>
      <c r="F59" s="1" t="str">
        <f>_xlfn.XLOOKUP(A59,Orders!A:A,Orders!B:B,"not found")</f>
        <v>WHITC</v>
      </c>
      <c r="G59" s="13">
        <f>_xlfn.XLOOKUP(OrderDetails[[#This Row],[OrderID]],Orders!A:A,Orders!C:C,"Not Found")</f>
        <v>35277</v>
      </c>
      <c r="H59" s="16">
        <f>(OrderDetails[[#This Row],[UnitPrice]]*OrderDetails[[#This Row],[Quantity]])*(1-OrderDetails[[#This Row],[Discount]])</f>
        <v>113.99999991059303</v>
      </c>
      <c r="I59" s="15" t="str">
        <f>_xlfn.XLOOKUP(OrderDetails[[#This Row],[ProductID]],Product!A:A,Product!G:G,"Not Found")</f>
        <v>Dairy Products</v>
      </c>
      <c r="J59" s="15" t="str">
        <f>LOOKUP(MONTH(G59),{1,4,7,10},{"Winter","Spring","Summer","Autumn"})</f>
        <v>Summer</v>
      </c>
      <c r="K59" s="15" t="str">
        <f>_xlfn.XLOOKUP(OrderDetails[[#This Row],[ProductID]],Product!A:A,Product!B:B,"Not Found")</f>
        <v>Geitost</v>
      </c>
    </row>
    <row r="60" spans="1:11">
      <c r="A60" s="1">
        <v>10269</v>
      </c>
      <c r="B60" s="1">
        <v>72</v>
      </c>
      <c r="C60" s="1">
        <v>27.8</v>
      </c>
      <c r="D60" s="1">
        <v>20</v>
      </c>
      <c r="E60" s="3">
        <v>5.000000074505806E-2</v>
      </c>
      <c r="F60" s="1" t="str">
        <f>_xlfn.XLOOKUP(A60,Orders!A:A,Orders!B:B,"not found")</f>
        <v>WHITC</v>
      </c>
      <c r="G60" s="13">
        <f>_xlfn.XLOOKUP(OrderDetails[[#This Row],[OrderID]],Orders!A:A,Orders!C:C,"Not Found")</f>
        <v>35277</v>
      </c>
      <c r="H60" s="16">
        <f>(OrderDetails[[#This Row],[UnitPrice]]*OrderDetails[[#This Row],[Quantity]])*(1-OrderDetails[[#This Row],[Discount]])</f>
        <v>528.19999958574772</v>
      </c>
      <c r="I60" s="15" t="str">
        <f>_xlfn.XLOOKUP(OrderDetails[[#This Row],[ProductID]],Product!A:A,Product!G:G,"Not Found")</f>
        <v>Dairy Products</v>
      </c>
      <c r="J60" s="15" t="str">
        <f>LOOKUP(MONTH(G60),{1,4,7,10},{"Winter","Spring","Summer","Autumn"})</f>
        <v>Summer</v>
      </c>
      <c r="K60" s="15" t="str">
        <f>_xlfn.XLOOKUP(OrderDetails[[#This Row],[ProductID]],Product!A:A,Product!B:B,"Not Found")</f>
        <v>Mozzarella di Giovanni</v>
      </c>
    </row>
    <row r="61" spans="1:11">
      <c r="A61" s="2">
        <v>10270</v>
      </c>
      <c r="B61" s="2">
        <v>36</v>
      </c>
      <c r="C61" s="2">
        <v>15.2</v>
      </c>
      <c r="D61" s="2">
        <v>30</v>
      </c>
      <c r="E61" s="4">
        <v>0</v>
      </c>
      <c r="F61" s="1" t="str">
        <f>_xlfn.XLOOKUP(A61,Orders!A:A,Orders!B:B,"not found")</f>
        <v>WARTH</v>
      </c>
      <c r="G61" s="13">
        <f>_xlfn.XLOOKUP(OrderDetails[[#This Row],[OrderID]],Orders!A:A,Orders!C:C,"Not Found")</f>
        <v>35278</v>
      </c>
      <c r="H61" s="16">
        <f>(OrderDetails[[#This Row],[UnitPrice]]*OrderDetails[[#This Row],[Quantity]])*(1-OrderDetails[[#This Row],[Discount]])</f>
        <v>456</v>
      </c>
      <c r="I61" s="15" t="str">
        <f>_xlfn.XLOOKUP(OrderDetails[[#This Row],[ProductID]],Product!A:A,Product!G:G,"Not Found")</f>
        <v>Seafood</v>
      </c>
      <c r="J61" s="15" t="str">
        <f>LOOKUP(MONTH(G61),{1,4,7,10},{"Winter","Spring","Summer","Autumn"})</f>
        <v>Summer</v>
      </c>
      <c r="K61" s="15" t="str">
        <f>_xlfn.XLOOKUP(OrderDetails[[#This Row],[ProductID]],Product!A:A,Product!B:B,"Not Found")</f>
        <v>Inlagd Sill</v>
      </c>
    </row>
    <row r="62" spans="1:11">
      <c r="A62" s="1">
        <v>10270</v>
      </c>
      <c r="B62" s="1">
        <v>43</v>
      </c>
      <c r="C62" s="1">
        <v>36.799999999999997</v>
      </c>
      <c r="D62" s="1">
        <v>25</v>
      </c>
      <c r="E62" s="3">
        <v>0</v>
      </c>
      <c r="F62" s="1" t="str">
        <f>_xlfn.XLOOKUP(A62,Orders!A:A,Orders!B:B,"not found")</f>
        <v>WARTH</v>
      </c>
      <c r="G62" s="13">
        <f>_xlfn.XLOOKUP(OrderDetails[[#This Row],[OrderID]],Orders!A:A,Orders!C:C,"Not Found")</f>
        <v>35278</v>
      </c>
      <c r="H62" s="16">
        <f>(OrderDetails[[#This Row],[UnitPrice]]*OrderDetails[[#This Row],[Quantity]])*(1-OrderDetails[[#This Row],[Discount]])</f>
        <v>919.99999999999989</v>
      </c>
      <c r="I62" s="15" t="str">
        <f>_xlfn.XLOOKUP(OrderDetails[[#This Row],[ProductID]],Product!A:A,Product!G:G,"Not Found")</f>
        <v>Beverages</v>
      </c>
      <c r="J62" s="15" t="str">
        <f>LOOKUP(MONTH(G62),{1,4,7,10},{"Winter","Spring","Summer","Autumn"})</f>
        <v>Summer</v>
      </c>
      <c r="K62" s="15" t="str">
        <f>_xlfn.XLOOKUP(OrderDetails[[#This Row],[ProductID]],Product!A:A,Product!B:B,"Not Found")</f>
        <v>Ipoh Coffee</v>
      </c>
    </row>
    <row r="63" spans="1:11">
      <c r="A63" s="2">
        <v>10271</v>
      </c>
      <c r="B63" s="2">
        <v>33</v>
      </c>
      <c r="C63" s="2">
        <v>2</v>
      </c>
      <c r="D63" s="2">
        <v>24</v>
      </c>
      <c r="E63" s="4">
        <v>0</v>
      </c>
      <c r="F63" s="1" t="str">
        <f>_xlfn.XLOOKUP(A63,Orders!A:A,Orders!B:B,"not found")</f>
        <v>SPLIR</v>
      </c>
      <c r="G63" s="13">
        <f>_xlfn.XLOOKUP(OrderDetails[[#This Row],[OrderID]],Orders!A:A,Orders!C:C,"Not Found")</f>
        <v>35278</v>
      </c>
      <c r="H63" s="16">
        <f>(OrderDetails[[#This Row],[UnitPrice]]*OrderDetails[[#This Row],[Quantity]])*(1-OrderDetails[[#This Row],[Discount]])</f>
        <v>48</v>
      </c>
      <c r="I63" s="15" t="str">
        <f>_xlfn.XLOOKUP(OrderDetails[[#This Row],[ProductID]],Product!A:A,Product!G:G,"Not Found")</f>
        <v>Dairy Products</v>
      </c>
      <c r="J63" s="15" t="str">
        <f>LOOKUP(MONTH(G63),{1,4,7,10},{"Winter","Spring","Summer","Autumn"})</f>
        <v>Summer</v>
      </c>
      <c r="K63" s="15" t="str">
        <f>_xlfn.XLOOKUP(OrderDetails[[#This Row],[ProductID]],Product!A:A,Product!B:B,"Not Found")</f>
        <v>Geitost</v>
      </c>
    </row>
    <row r="64" spans="1:11">
      <c r="A64" s="1">
        <v>10272</v>
      </c>
      <c r="B64" s="1">
        <v>20</v>
      </c>
      <c r="C64" s="1">
        <v>64.8</v>
      </c>
      <c r="D64" s="1">
        <v>6</v>
      </c>
      <c r="E64" s="3">
        <v>0</v>
      </c>
      <c r="F64" s="1" t="str">
        <f>_xlfn.XLOOKUP(A64,Orders!A:A,Orders!B:B,"not found")</f>
        <v>RATTC</v>
      </c>
      <c r="G64" s="13">
        <f>_xlfn.XLOOKUP(OrderDetails[[#This Row],[OrderID]],Orders!A:A,Orders!C:C,"Not Found")</f>
        <v>35279</v>
      </c>
      <c r="H64" s="16">
        <f>(OrderDetails[[#This Row],[UnitPrice]]*OrderDetails[[#This Row],[Quantity]])*(1-OrderDetails[[#This Row],[Discount]])</f>
        <v>388.79999999999995</v>
      </c>
      <c r="I64" s="15" t="str">
        <f>_xlfn.XLOOKUP(OrderDetails[[#This Row],[ProductID]],Product!A:A,Product!G:G,"Not Found")</f>
        <v>Confections</v>
      </c>
      <c r="J64" s="15" t="str">
        <f>LOOKUP(MONTH(G64),{1,4,7,10},{"Winter","Spring","Summer","Autumn"})</f>
        <v>Summer</v>
      </c>
      <c r="K64" s="15" t="str">
        <f>_xlfn.XLOOKUP(OrderDetails[[#This Row],[ProductID]],Product!A:A,Product!B:B,"Not Found")</f>
        <v>Sir Rodney's Marmalade</v>
      </c>
    </row>
    <row r="65" spans="1:11">
      <c r="A65" s="2">
        <v>10272</v>
      </c>
      <c r="B65" s="2">
        <v>31</v>
      </c>
      <c r="C65" s="2">
        <v>10</v>
      </c>
      <c r="D65" s="2">
        <v>40</v>
      </c>
      <c r="E65" s="4">
        <v>0</v>
      </c>
      <c r="F65" s="1" t="str">
        <f>_xlfn.XLOOKUP(A65,Orders!A:A,Orders!B:B,"not found")</f>
        <v>RATTC</v>
      </c>
      <c r="G65" s="13">
        <f>_xlfn.XLOOKUP(OrderDetails[[#This Row],[OrderID]],Orders!A:A,Orders!C:C,"Not Found")</f>
        <v>35279</v>
      </c>
      <c r="H65" s="16">
        <f>(OrderDetails[[#This Row],[UnitPrice]]*OrderDetails[[#This Row],[Quantity]])*(1-OrderDetails[[#This Row],[Discount]])</f>
        <v>400</v>
      </c>
      <c r="I65" s="15" t="str">
        <f>_xlfn.XLOOKUP(OrderDetails[[#This Row],[ProductID]],Product!A:A,Product!G:G,"Not Found")</f>
        <v>Dairy Products</v>
      </c>
      <c r="J65" s="15" t="str">
        <f>LOOKUP(MONTH(G65),{1,4,7,10},{"Winter","Spring","Summer","Autumn"})</f>
        <v>Summer</v>
      </c>
      <c r="K65" s="15" t="str">
        <f>_xlfn.XLOOKUP(OrderDetails[[#This Row],[ProductID]],Product!A:A,Product!B:B,"Not Found")</f>
        <v>Gorgonzola Telino</v>
      </c>
    </row>
    <row r="66" spans="1:11">
      <c r="A66" s="1">
        <v>10272</v>
      </c>
      <c r="B66" s="1">
        <v>72</v>
      </c>
      <c r="C66" s="1">
        <v>27.8</v>
      </c>
      <c r="D66" s="1">
        <v>24</v>
      </c>
      <c r="E66" s="3">
        <v>0</v>
      </c>
      <c r="F66" s="1" t="str">
        <f>_xlfn.XLOOKUP(A66,Orders!A:A,Orders!B:B,"not found")</f>
        <v>RATTC</v>
      </c>
      <c r="G66" s="13">
        <f>_xlfn.XLOOKUP(OrderDetails[[#This Row],[OrderID]],Orders!A:A,Orders!C:C,"Not Found")</f>
        <v>35279</v>
      </c>
      <c r="H66" s="16">
        <f>(OrderDetails[[#This Row],[UnitPrice]]*OrderDetails[[#This Row],[Quantity]])*(1-OrderDetails[[#This Row],[Discount]])</f>
        <v>667.2</v>
      </c>
      <c r="I66" s="15" t="str">
        <f>_xlfn.XLOOKUP(OrderDetails[[#This Row],[ProductID]],Product!A:A,Product!G:G,"Not Found")</f>
        <v>Dairy Products</v>
      </c>
      <c r="J66" s="15" t="str">
        <f>LOOKUP(MONTH(G66),{1,4,7,10},{"Winter","Spring","Summer","Autumn"})</f>
        <v>Summer</v>
      </c>
      <c r="K66" s="15" t="str">
        <f>_xlfn.XLOOKUP(OrderDetails[[#This Row],[ProductID]],Product!A:A,Product!B:B,"Not Found")</f>
        <v>Mozzarella di Giovanni</v>
      </c>
    </row>
    <row r="67" spans="1:11">
      <c r="A67" s="2">
        <v>10273</v>
      </c>
      <c r="B67" s="2">
        <v>10</v>
      </c>
      <c r="C67" s="2">
        <v>24.8</v>
      </c>
      <c r="D67" s="2">
        <v>24</v>
      </c>
      <c r="E67" s="4">
        <v>5.000000074505806E-2</v>
      </c>
      <c r="F67" s="1" t="str">
        <f>_xlfn.XLOOKUP(A67,Orders!A:A,Orders!B:B,"not found")</f>
        <v>QUICK</v>
      </c>
      <c r="G67" s="13">
        <f>_xlfn.XLOOKUP(OrderDetails[[#This Row],[OrderID]],Orders!A:A,Orders!C:C,"Not Found")</f>
        <v>35282</v>
      </c>
      <c r="H67" s="16">
        <f>(OrderDetails[[#This Row],[UnitPrice]]*OrderDetails[[#This Row],[Quantity]])*(1-OrderDetails[[#This Row],[Discount]])</f>
        <v>565.43999955654147</v>
      </c>
      <c r="I67" s="15" t="str">
        <f>_xlfn.XLOOKUP(OrderDetails[[#This Row],[ProductID]],Product!A:A,Product!G:G,"Not Found")</f>
        <v>Seafood</v>
      </c>
      <c r="J67" s="15" t="str">
        <f>LOOKUP(MONTH(G67),{1,4,7,10},{"Winter","Spring","Summer","Autumn"})</f>
        <v>Summer</v>
      </c>
      <c r="K67" s="15" t="str">
        <f>_xlfn.XLOOKUP(OrderDetails[[#This Row],[ProductID]],Product!A:A,Product!B:B,"Not Found")</f>
        <v>Ikura</v>
      </c>
    </row>
    <row r="68" spans="1:11">
      <c r="A68" s="1">
        <v>10273</v>
      </c>
      <c r="B68" s="1">
        <v>31</v>
      </c>
      <c r="C68" s="1">
        <v>10</v>
      </c>
      <c r="D68" s="1">
        <v>15</v>
      </c>
      <c r="E68" s="3">
        <v>5.000000074505806E-2</v>
      </c>
      <c r="F68" s="1" t="str">
        <f>_xlfn.XLOOKUP(A68,Orders!A:A,Orders!B:B,"not found")</f>
        <v>QUICK</v>
      </c>
      <c r="G68" s="13">
        <f>_xlfn.XLOOKUP(OrderDetails[[#This Row],[OrderID]],Orders!A:A,Orders!C:C,"Not Found")</f>
        <v>35282</v>
      </c>
      <c r="H68" s="16">
        <f>(OrderDetails[[#This Row],[UnitPrice]]*OrderDetails[[#This Row],[Quantity]])*(1-OrderDetails[[#This Row],[Discount]])</f>
        <v>142.49999988824129</v>
      </c>
      <c r="I68" s="15" t="str">
        <f>_xlfn.XLOOKUP(OrderDetails[[#This Row],[ProductID]],Product!A:A,Product!G:G,"Not Found")</f>
        <v>Dairy Products</v>
      </c>
      <c r="J68" s="15" t="str">
        <f>LOOKUP(MONTH(G68),{1,4,7,10},{"Winter","Spring","Summer","Autumn"})</f>
        <v>Summer</v>
      </c>
      <c r="K68" s="15" t="str">
        <f>_xlfn.XLOOKUP(OrderDetails[[#This Row],[ProductID]],Product!A:A,Product!B:B,"Not Found")</f>
        <v>Gorgonzola Telino</v>
      </c>
    </row>
    <row r="69" spans="1:11">
      <c r="A69" s="2">
        <v>10273</v>
      </c>
      <c r="B69" s="2">
        <v>33</v>
      </c>
      <c r="C69" s="2">
        <v>2</v>
      </c>
      <c r="D69" s="2">
        <v>20</v>
      </c>
      <c r="E69" s="4">
        <v>0</v>
      </c>
      <c r="F69" s="1" t="str">
        <f>_xlfn.XLOOKUP(A69,Orders!A:A,Orders!B:B,"not found")</f>
        <v>QUICK</v>
      </c>
      <c r="G69" s="13">
        <f>_xlfn.XLOOKUP(OrderDetails[[#This Row],[OrderID]],Orders!A:A,Orders!C:C,"Not Found")</f>
        <v>35282</v>
      </c>
      <c r="H69" s="16">
        <f>(OrderDetails[[#This Row],[UnitPrice]]*OrderDetails[[#This Row],[Quantity]])*(1-OrderDetails[[#This Row],[Discount]])</f>
        <v>40</v>
      </c>
      <c r="I69" s="15" t="str">
        <f>_xlfn.XLOOKUP(OrderDetails[[#This Row],[ProductID]],Product!A:A,Product!G:G,"Not Found")</f>
        <v>Dairy Products</v>
      </c>
      <c r="J69" s="15" t="str">
        <f>LOOKUP(MONTH(G69),{1,4,7,10},{"Winter","Spring","Summer","Autumn"})</f>
        <v>Summer</v>
      </c>
      <c r="K69" s="15" t="str">
        <f>_xlfn.XLOOKUP(OrderDetails[[#This Row],[ProductID]],Product!A:A,Product!B:B,"Not Found")</f>
        <v>Geitost</v>
      </c>
    </row>
    <row r="70" spans="1:11">
      <c r="A70" s="1">
        <v>10273</v>
      </c>
      <c r="B70" s="1">
        <v>40</v>
      </c>
      <c r="C70" s="1">
        <v>14.7</v>
      </c>
      <c r="D70" s="1">
        <v>60</v>
      </c>
      <c r="E70" s="3">
        <v>5.000000074505806E-2</v>
      </c>
      <c r="F70" s="1" t="str">
        <f>_xlfn.XLOOKUP(A70,Orders!A:A,Orders!B:B,"not found")</f>
        <v>QUICK</v>
      </c>
      <c r="G70" s="13">
        <f>_xlfn.XLOOKUP(OrderDetails[[#This Row],[OrderID]],Orders!A:A,Orders!C:C,"Not Found")</f>
        <v>35282</v>
      </c>
      <c r="H70" s="16">
        <f>(OrderDetails[[#This Row],[UnitPrice]]*OrderDetails[[#This Row],[Quantity]])*(1-OrderDetails[[#This Row],[Discount]])</f>
        <v>837.89999934285879</v>
      </c>
      <c r="I70" s="15" t="str">
        <f>_xlfn.XLOOKUP(OrderDetails[[#This Row],[ProductID]],Product!A:A,Product!G:G,"Not Found")</f>
        <v>Seafood</v>
      </c>
      <c r="J70" s="15" t="str">
        <f>LOOKUP(MONTH(G70),{1,4,7,10},{"Winter","Spring","Summer","Autumn"})</f>
        <v>Summer</v>
      </c>
      <c r="K70" s="15" t="str">
        <f>_xlfn.XLOOKUP(OrderDetails[[#This Row],[ProductID]],Product!A:A,Product!B:B,"Not Found")</f>
        <v>Boston Crab Meat</v>
      </c>
    </row>
    <row r="71" spans="1:11">
      <c r="A71" s="2">
        <v>10273</v>
      </c>
      <c r="B71" s="2">
        <v>76</v>
      </c>
      <c r="C71" s="2">
        <v>14.4</v>
      </c>
      <c r="D71" s="2">
        <v>33</v>
      </c>
      <c r="E71" s="4">
        <v>5.000000074505806E-2</v>
      </c>
      <c r="F71" s="1" t="str">
        <f>_xlfn.XLOOKUP(A71,Orders!A:A,Orders!B:B,"not found")</f>
        <v>QUICK</v>
      </c>
      <c r="G71" s="13">
        <f>_xlfn.XLOOKUP(OrderDetails[[#This Row],[OrderID]],Orders!A:A,Orders!C:C,"Not Found")</f>
        <v>35282</v>
      </c>
      <c r="H71" s="16">
        <f>(OrderDetails[[#This Row],[UnitPrice]]*OrderDetails[[#This Row],[Quantity]])*(1-OrderDetails[[#This Row],[Discount]])</f>
        <v>451.43999964594838</v>
      </c>
      <c r="I71" s="15" t="str">
        <f>_xlfn.XLOOKUP(OrderDetails[[#This Row],[ProductID]],Product!A:A,Product!G:G,"Not Found")</f>
        <v>Beverages</v>
      </c>
      <c r="J71" s="15" t="str">
        <f>LOOKUP(MONTH(G71),{1,4,7,10},{"Winter","Spring","Summer","Autumn"})</f>
        <v>Summer</v>
      </c>
      <c r="K71" s="15" t="str">
        <f>_xlfn.XLOOKUP(OrderDetails[[#This Row],[ProductID]],Product!A:A,Product!B:B,"Not Found")</f>
        <v>Lakkalikööri</v>
      </c>
    </row>
    <row r="72" spans="1:11">
      <c r="A72" s="1">
        <v>10274</v>
      </c>
      <c r="B72" s="1">
        <v>71</v>
      </c>
      <c r="C72" s="1">
        <v>17.2</v>
      </c>
      <c r="D72" s="1">
        <v>20</v>
      </c>
      <c r="E72" s="3">
        <v>0</v>
      </c>
      <c r="F72" s="1" t="str">
        <f>_xlfn.XLOOKUP(A72,Orders!A:A,Orders!B:B,"not found")</f>
        <v>VINET</v>
      </c>
      <c r="G72" s="13">
        <f>_xlfn.XLOOKUP(OrderDetails[[#This Row],[OrderID]],Orders!A:A,Orders!C:C,"Not Found")</f>
        <v>35283</v>
      </c>
      <c r="H72" s="16">
        <f>(OrderDetails[[#This Row],[UnitPrice]]*OrderDetails[[#This Row],[Quantity]])*(1-OrderDetails[[#This Row],[Discount]])</f>
        <v>344</v>
      </c>
      <c r="I72" s="15" t="str">
        <f>_xlfn.XLOOKUP(OrderDetails[[#This Row],[ProductID]],Product!A:A,Product!G:G,"Not Found")</f>
        <v>Dairy Products</v>
      </c>
      <c r="J72" s="15" t="str">
        <f>LOOKUP(MONTH(G72),{1,4,7,10},{"Winter","Spring","Summer","Autumn"})</f>
        <v>Summer</v>
      </c>
      <c r="K72" s="15" t="str">
        <f>_xlfn.XLOOKUP(OrderDetails[[#This Row],[ProductID]],Product!A:A,Product!B:B,"Not Found")</f>
        <v>Flotemysost</v>
      </c>
    </row>
    <row r="73" spans="1:11">
      <c r="A73" s="2">
        <v>10274</v>
      </c>
      <c r="B73" s="2">
        <v>72</v>
      </c>
      <c r="C73" s="2">
        <v>27.8</v>
      </c>
      <c r="D73" s="2">
        <v>7</v>
      </c>
      <c r="E73" s="4">
        <v>0</v>
      </c>
      <c r="F73" s="1" t="str">
        <f>_xlfn.XLOOKUP(A73,Orders!A:A,Orders!B:B,"not found")</f>
        <v>VINET</v>
      </c>
      <c r="G73" s="13">
        <f>_xlfn.XLOOKUP(OrderDetails[[#This Row],[OrderID]],Orders!A:A,Orders!C:C,"Not Found")</f>
        <v>35283</v>
      </c>
      <c r="H73" s="16">
        <f>(OrderDetails[[#This Row],[UnitPrice]]*OrderDetails[[#This Row],[Quantity]])*(1-OrderDetails[[#This Row],[Discount]])</f>
        <v>194.6</v>
      </c>
      <c r="I73" s="15" t="str">
        <f>_xlfn.XLOOKUP(OrderDetails[[#This Row],[ProductID]],Product!A:A,Product!G:G,"Not Found")</f>
        <v>Dairy Products</v>
      </c>
      <c r="J73" s="15" t="str">
        <f>LOOKUP(MONTH(G73),{1,4,7,10},{"Winter","Spring","Summer","Autumn"})</f>
        <v>Summer</v>
      </c>
      <c r="K73" s="15" t="str">
        <f>_xlfn.XLOOKUP(OrderDetails[[#This Row],[ProductID]],Product!A:A,Product!B:B,"Not Found")</f>
        <v>Mozzarella di Giovanni</v>
      </c>
    </row>
    <row r="74" spans="1:11">
      <c r="A74" s="1">
        <v>10275</v>
      </c>
      <c r="B74" s="1">
        <v>24</v>
      </c>
      <c r="C74" s="1">
        <v>3.6</v>
      </c>
      <c r="D74" s="1">
        <v>12</v>
      </c>
      <c r="E74" s="3">
        <v>5.000000074505806E-2</v>
      </c>
      <c r="F74" s="1" t="str">
        <f>_xlfn.XLOOKUP(A74,Orders!A:A,Orders!B:B,"not found")</f>
        <v>MAGAA</v>
      </c>
      <c r="G74" s="13">
        <f>_xlfn.XLOOKUP(OrderDetails[[#This Row],[OrderID]],Orders!A:A,Orders!C:C,"Not Found")</f>
        <v>35284</v>
      </c>
      <c r="H74" s="16">
        <f>(OrderDetails[[#This Row],[UnitPrice]]*OrderDetails[[#This Row],[Quantity]])*(1-OrderDetails[[#This Row],[Discount]])</f>
        <v>41.039999967813493</v>
      </c>
      <c r="I74" s="15" t="str">
        <f>_xlfn.XLOOKUP(OrderDetails[[#This Row],[ProductID]],Product!A:A,Product!G:G,"Not Found")</f>
        <v>Beverages</v>
      </c>
      <c r="J74" s="15" t="str">
        <f>LOOKUP(MONTH(G74),{1,4,7,10},{"Winter","Spring","Summer","Autumn"})</f>
        <v>Summer</v>
      </c>
      <c r="K74" s="15" t="str">
        <f>_xlfn.XLOOKUP(OrderDetails[[#This Row],[ProductID]],Product!A:A,Product!B:B,"Not Found")</f>
        <v>Guaraná Fantástica</v>
      </c>
    </row>
    <row r="75" spans="1:11">
      <c r="A75" s="2">
        <v>10275</v>
      </c>
      <c r="B75" s="2">
        <v>59</v>
      </c>
      <c r="C75" s="2">
        <v>44</v>
      </c>
      <c r="D75" s="2">
        <v>6</v>
      </c>
      <c r="E75" s="4">
        <v>5.000000074505806E-2</v>
      </c>
      <c r="F75" s="1" t="str">
        <f>_xlfn.XLOOKUP(A75,Orders!A:A,Orders!B:B,"not found")</f>
        <v>MAGAA</v>
      </c>
      <c r="G75" s="13">
        <f>_xlfn.XLOOKUP(OrderDetails[[#This Row],[OrderID]],Orders!A:A,Orders!C:C,"Not Found")</f>
        <v>35284</v>
      </c>
      <c r="H75" s="16">
        <f>(OrderDetails[[#This Row],[UnitPrice]]*OrderDetails[[#This Row],[Quantity]])*(1-OrderDetails[[#This Row],[Discount]])</f>
        <v>250.79999980330467</v>
      </c>
      <c r="I75" s="15" t="str">
        <f>_xlfn.XLOOKUP(OrderDetails[[#This Row],[ProductID]],Product!A:A,Product!G:G,"Not Found")</f>
        <v>Dairy Products</v>
      </c>
      <c r="J75" s="15" t="str">
        <f>LOOKUP(MONTH(G75),{1,4,7,10},{"Winter","Spring","Summer","Autumn"})</f>
        <v>Summer</v>
      </c>
      <c r="K75" s="15" t="str">
        <f>_xlfn.XLOOKUP(OrderDetails[[#This Row],[ProductID]],Product!A:A,Product!B:B,"Not Found")</f>
        <v>Raclette Courdavault</v>
      </c>
    </row>
    <row r="76" spans="1:11">
      <c r="A76" s="1">
        <v>10276</v>
      </c>
      <c r="B76" s="1">
        <v>10</v>
      </c>
      <c r="C76" s="1">
        <v>24.8</v>
      </c>
      <c r="D76" s="1">
        <v>15</v>
      </c>
      <c r="E76" s="3">
        <v>0</v>
      </c>
      <c r="F76" s="1" t="str">
        <f>_xlfn.XLOOKUP(A76,Orders!A:A,Orders!B:B,"not found")</f>
        <v>TORTU</v>
      </c>
      <c r="G76" s="13">
        <f>_xlfn.XLOOKUP(OrderDetails[[#This Row],[OrderID]],Orders!A:A,Orders!C:C,"Not Found")</f>
        <v>35285</v>
      </c>
      <c r="H76" s="16">
        <f>(OrderDetails[[#This Row],[UnitPrice]]*OrderDetails[[#This Row],[Quantity]])*(1-OrderDetails[[#This Row],[Discount]])</f>
        <v>372</v>
      </c>
      <c r="I76" s="15" t="str">
        <f>_xlfn.XLOOKUP(OrderDetails[[#This Row],[ProductID]],Product!A:A,Product!G:G,"Not Found")</f>
        <v>Seafood</v>
      </c>
      <c r="J76" s="15" t="str">
        <f>LOOKUP(MONTH(G76),{1,4,7,10},{"Winter","Spring","Summer","Autumn"})</f>
        <v>Summer</v>
      </c>
      <c r="K76" s="15" t="str">
        <f>_xlfn.XLOOKUP(OrderDetails[[#This Row],[ProductID]],Product!A:A,Product!B:B,"Not Found")</f>
        <v>Ikura</v>
      </c>
    </row>
    <row r="77" spans="1:11">
      <c r="A77" s="2">
        <v>10276</v>
      </c>
      <c r="B77" s="2">
        <v>13</v>
      </c>
      <c r="C77" s="2">
        <v>4.8</v>
      </c>
      <c r="D77" s="2">
        <v>10</v>
      </c>
      <c r="E77" s="4">
        <v>0</v>
      </c>
      <c r="F77" s="1" t="str">
        <f>_xlfn.XLOOKUP(A77,Orders!A:A,Orders!B:B,"not found")</f>
        <v>TORTU</v>
      </c>
      <c r="G77" s="13">
        <f>_xlfn.XLOOKUP(OrderDetails[[#This Row],[OrderID]],Orders!A:A,Orders!C:C,"Not Found")</f>
        <v>35285</v>
      </c>
      <c r="H77" s="16">
        <f>(OrderDetails[[#This Row],[UnitPrice]]*OrderDetails[[#This Row],[Quantity]])*(1-OrderDetails[[#This Row],[Discount]])</f>
        <v>48</v>
      </c>
      <c r="I77" s="15" t="str">
        <f>_xlfn.XLOOKUP(OrderDetails[[#This Row],[ProductID]],Product!A:A,Product!G:G,"Not Found")</f>
        <v>Seafood</v>
      </c>
      <c r="J77" s="15" t="str">
        <f>LOOKUP(MONTH(G77),{1,4,7,10},{"Winter","Spring","Summer","Autumn"})</f>
        <v>Summer</v>
      </c>
      <c r="K77" s="15" t="str">
        <f>_xlfn.XLOOKUP(OrderDetails[[#This Row],[ProductID]],Product!A:A,Product!B:B,"Not Found")</f>
        <v>Konbu</v>
      </c>
    </row>
    <row r="78" spans="1:11">
      <c r="A78" s="1">
        <v>10277</v>
      </c>
      <c r="B78" s="1">
        <v>28</v>
      </c>
      <c r="C78" s="1">
        <v>36.4</v>
      </c>
      <c r="D78" s="1">
        <v>20</v>
      </c>
      <c r="E78" s="3">
        <v>0</v>
      </c>
      <c r="F78" s="1" t="str">
        <f>_xlfn.XLOOKUP(A78,Orders!A:A,Orders!B:B,"not found")</f>
        <v>MORGK</v>
      </c>
      <c r="G78" s="13">
        <f>_xlfn.XLOOKUP(OrderDetails[[#This Row],[OrderID]],Orders!A:A,Orders!C:C,"Not Found")</f>
        <v>35286</v>
      </c>
      <c r="H78" s="16">
        <f>(OrderDetails[[#This Row],[UnitPrice]]*OrderDetails[[#This Row],[Quantity]])*(1-OrderDetails[[#This Row],[Discount]])</f>
        <v>728</v>
      </c>
      <c r="I78" s="15" t="str">
        <f>_xlfn.XLOOKUP(OrderDetails[[#This Row],[ProductID]],Product!A:A,Product!G:G,"Not Found")</f>
        <v>Produce</v>
      </c>
      <c r="J78" s="15" t="str">
        <f>LOOKUP(MONTH(G78),{1,4,7,10},{"Winter","Spring","Summer","Autumn"})</f>
        <v>Summer</v>
      </c>
      <c r="K78" s="15" t="str">
        <f>_xlfn.XLOOKUP(OrderDetails[[#This Row],[ProductID]],Product!A:A,Product!B:B,"Not Found")</f>
        <v>Rössle Sauerkraut</v>
      </c>
    </row>
    <row r="79" spans="1:11">
      <c r="A79" s="2">
        <v>10277</v>
      </c>
      <c r="B79" s="2">
        <v>62</v>
      </c>
      <c r="C79" s="2">
        <v>39.4</v>
      </c>
      <c r="D79" s="2">
        <v>12</v>
      </c>
      <c r="E79" s="4">
        <v>0</v>
      </c>
      <c r="F79" s="1" t="str">
        <f>_xlfn.XLOOKUP(A79,Orders!A:A,Orders!B:B,"not found")</f>
        <v>MORGK</v>
      </c>
      <c r="G79" s="13">
        <f>_xlfn.XLOOKUP(OrderDetails[[#This Row],[OrderID]],Orders!A:A,Orders!C:C,"Not Found")</f>
        <v>35286</v>
      </c>
      <c r="H79" s="16">
        <f>(OrderDetails[[#This Row],[UnitPrice]]*OrderDetails[[#This Row],[Quantity]])*(1-OrderDetails[[#This Row],[Discount]])</f>
        <v>472.79999999999995</v>
      </c>
      <c r="I79" s="15" t="str">
        <f>_xlfn.XLOOKUP(OrderDetails[[#This Row],[ProductID]],Product!A:A,Product!G:G,"Not Found")</f>
        <v>Confections</v>
      </c>
      <c r="J79" s="15" t="str">
        <f>LOOKUP(MONTH(G79),{1,4,7,10},{"Winter","Spring","Summer","Autumn"})</f>
        <v>Summer</v>
      </c>
      <c r="K79" s="15" t="str">
        <f>_xlfn.XLOOKUP(OrderDetails[[#This Row],[ProductID]],Product!A:A,Product!B:B,"Not Found")</f>
        <v>Tarte au sucre</v>
      </c>
    </row>
    <row r="80" spans="1:11">
      <c r="A80" s="1">
        <v>10278</v>
      </c>
      <c r="B80" s="1">
        <v>44</v>
      </c>
      <c r="C80" s="1">
        <v>15.5</v>
      </c>
      <c r="D80" s="1">
        <v>16</v>
      </c>
      <c r="E80" s="3">
        <v>0</v>
      </c>
      <c r="F80" s="1" t="str">
        <f>_xlfn.XLOOKUP(A80,Orders!A:A,Orders!B:B,"not found")</f>
        <v>BERGS</v>
      </c>
      <c r="G80" s="13">
        <f>_xlfn.XLOOKUP(OrderDetails[[#This Row],[OrderID]],Orders!A:A,Orders!C:C,"Not Found")</f>
        <v>35289</v>
      </c>
      <c r="H80" s="16">
        <f>(OrderDetails[[#This Row],[UnitPrice]]*OrderDetails[[#This Row],[Quantity]])*(1-OrderDetails[[#This Row],[Discount]])</f>
        <v>248</v>
      </c>
      <c r="I80" s="15" t="str">
        <f>_xlfn.XLOOKUP(OrderDetails[[#This Row],[ProductID]],Product!A:A,Product!G:G,"Not Found")</f>
        <v>Condiments</v>
      </c>
      <c r="J80" s="15" t="str">
        <f>LOOKUP(MONTH(G80),{1,4,7,10},{"Winter","Spring","Summer","Autumn"})</f>
        <v>Summer</v>
      </c>
      <c r="K80" s="15" t="str">
        <f>_xlfn.XLOOKUP(OrderDetails[[#This Row],[ProductID]],Product!A:A,Product!B:B,"Not Found")</f>
        <v>Gula Malacca</v>
      </c>
    </row>
    <row r="81" spans="1:11">
      <c r="A81" s="2">
        <v>10278</v>
      </c>
      <c r="B81" s="2">
        <v>59</v>
      </c>
      <c r="C81" s="2">
        <v>44</v>
      </c>
      <c r="D81" s="2">
        <v>15</v>
      </c>
      <c r="E81" s="4">
        <v>0</v>
      </c>
      <c r="F81" s="1" t="str">
        <f>_xlfn.XLOOKUP(A81,Orders!A:A,Orders!B:B,"not found")</f>
        <v>BERGS</v>
      </c>
      <c r="G81" s="13">
        <f>_xlfn.XLOOKUP(OrderDetails[[#This Row],[OrderID]],Orders!A:A,Orders!C:C,"Not Found")</f>
        <v>35289</v>
      </c>
      <c r="H81" s="16">
        <f>(OrderDetails[[#This Row],[UnitPrice]]*OrderDetails[[#This Row],[Quantity]])*(1-OrderDetails[[#This Row],[Discount]])</f>
        <v>660</v>
      </c>
      <c r="I81" s="15" t="str">
        <f>_xlfn.XLOOKUP(OrderDetails[[#This Row],[ProductID]],Product!A:A,Product!G:G,"Not Found")</f>
        <v>Dairy Products</v>
      </c>
      <c r="J81" s="15" t="str">
        <f>LOOKUP(MONTH(G81),{1,4,7,10},{"Winter","Spring","Summer","Autumn"})</f>
        <v>Summer</v>
      </c>
      <c r="K81" s="15" t="str">
        <f>_xlfn.XLOOKUP(OrderDetails[[#This Row],[ProductID]],Product!A:A,Product!B:B,"Not Found")</f>
        <v>Raclette Courdavault</v>
      </c>
    </row>
    <row r="82" spans="1:11">
      <c r="A82" s="1">
        <v>10278</v>
      </c>
      <c r="B82" s="1">
        <v>63</v>
      </c>
      <c r="C82" s="1">
        <v>35.1</v>
      </c>
      <c r="D82" s="1">
        <v>8</v>
      </c>
      <c r="E82" s="3">
        <v>0</v>
      </c>
      <c r="F82" s="1" t="str">
        <f>_xlfn.XLOOKUP(A82,Orders!A:A,Orders!B:B,"not found")</f>
        <v>BERGS</v>
      </c>
      <c r="G82" s="13">
        <f>_xlfn.XLOOKUP(OrderDetails[[#This Row],[OrderID]],Orders!A:A,Orders!C:C,"Not Found")</f>
        <v>35289</v>
      </c>
      <c r="H82" s="16">
        <f>(OrderDetails[[#This Row],[UnitPrice]]*OrderDetails[[#This Row],[Quantity]])*(1-OrderDetails[[#This Row],[Discount]])</f>
        <v>280.8</v>
      </c>
      <c r="I82" s="15" t="str">
        <f>_xlfn.XLOOKUP(OrderDetails[[#This Row],[ProductID]],Product!A:A,Product!G:G,"Not Found")</f>
        <v>Condiments</v>
      </c>
      <c r="J82" s="15" t="str">
        <f>LOOKUP(MONTH(G82),{1,4,7,10},{"Winter","Spring","Summer","Autumn"})</f>
        <v>Summer</v>
      </c>
      <c r="K82" s="15" t="str">
        <f>_xlfn.XLOOKUP(OrderDetails[[#This Row],[ProductID]],Product!A:A,Product!B:B,"Not Found")</f>
        <v>Vegie-spread</v>
      </c>
    </row>
    <row r="83" spans="1:11">
      <c r="A83" s="2">
        <v>10278</v>
      </c>
      <c r="B83" s="2">
        <v>73</v>
      </c>
      <c r="C83" s="2">
        <v>12</v>
      </c>
      <c r="D83" s="2">
        <v>25</v>
      </c>
      <c r="E83" s="4">
        <v>0</v>
      </c>
      <c r="F83" s="1" t="str">
        <f>_xlfn.XLOOKUP(A83,Orders!A:A,Orders!B:B,"not found")</f>
        <v>BERGS</v>
      </c>
      <c r="G83" s="13">
        <f>_xlfn.XLOOKUP(OrderDetails[[#This Row],[OrderID]],Orders!A:A,Orders!C:C,"Not Found")</f>
        <v>35289</v>
      </c>
      <c r="H83" s="16">
        <f>(OrderDetails[[#This Row],[UnitPrice]]*OrderDetails[[#This Row],[Quantity]])*(1-OrderDetails[[#This Row],[Discount]])</f>
        <v>300</v>
      </c>
      <c r="I83" s="15" t="str">
        <f>_xlfn.XLOOKUP(OrderDetails[[#This Row],[ProductID]],Product!A:A,Product!G:G,"Not Found")</f>
        <v>Seafood</v>
      </c>
      <c r="J83" s="15" t="str">
        <f>LOOKUP(MONTH(G83),{1,4,7,10},{"Winter","Spring","Summer","Autumn"})</f>
        <v>Summer</v>
      </c>
      <c r="K83" s="15" t="str">
        <f>_xlfn.XLOOKUP(OrderDetails[[#This Row],[ProductID]],Product!A:A,Product!B:B,"Not Found")</f>
        <v>Röd Kaviar</v>
      </c>
    </row>
    <row r="84" spans="1:11">
      <c r="A84" s="1">
        <v>10279</v>
      </c>
      <c r="B84" s="1">
        <v>17</v>
      </c>
      <c r="C84" s="1">
        <v>31.2</v>
      </c>
      <c r="D84" s="1">
        <v>15</v>
      </c>
      <c r="E84" s="3">
        <v>0.25</v>
      </c>
      <c r="F84" s="1" t="str">
        <f>_xlfn.XLOOKUP(A84,Orders!A:A,Orders!B:B,"not found")</f>
        <v>LEHMS</v>
      </c>
      <c r="G84" s="13">
        <f>_xlfn.XLOOKUP(OrderDetails[[#This Row],[OrderID]],Orders!A:A,Orders!C:C,"Not Found")</f>
        <v>35290</v>
      </c>
      <c r="H84" s="16">
        <f>(OrderDetails[[#This Row],[UnitPrice]]*OrderDetails[[#This Row],[Quantity]])*(1-OrderDetails[[#This Row],[Discount]])</f>
        <v>351</v>
      </c>
      <c r="I84" s="15" t="str">
        <f>_xlfn.XLOOKUP(OrderDetails[[#This Row],[ProductID]],Product!A:A,Product!G:G,"Not Found")</f>
        <v>Meat/Poultry</v>
      </c>
      <c r="J84" s="15" t="str">
        <f>LOOKUP(MONTH(G84),{1,4,7,10},{"Winter","Spring","Summer","Autumn"})</f>
        <v>Summer</v>
      </c>
      <c r="K84" s="15" t="str">
        <f>_xlfn.XLOOKUP(OrderDetails[[#This Row],[ProductID]],Product!A:A,Product!B:B,"Not Found")</f>
        <v>Alice Mutton</v>
      </c>
    </row>
    <row r="85" spans="1:11">
      <c r="A85" s="2">
        <v>10280</v>
      </c>
      <c r="B85" s="2">
        <v>24</v>
      </c>
      <c r="C85" s="2">
        <v>3.6</v>
      </c>
      <c r="D85" s="2">
        <v>12</v>
      </c>
      <c r="E85" s="4">
        <v>0</v>
      </c>
      <c r="F85" s="1" t="str">
        <f>_xlfn.XLOOKUP(A85,Orders!A:A,Orders!B:B,"not found")</f>
        <v>BERGS</v>
      </c>
      <c r="G85" s="13">
        <f>_xlfn.XLOOKUP(OrderDetails[[#This Row],[OrderID]],Orders!A:A,Orders!C:C,"Not Found")</f>
        <v>35291</v>
      </c>
      <c r="H85" s="16">
        <f>(OrderDetails[[#This Row],[UnitPrice]]*OrderDetails[[#This Row],[Quantity]])*(1-OrderDetails[[#This Row],[Discount]])</f>
        <v>43.2</v>
      </c>
      <c r="I85" s="15" t="str">
        <f>_xlfn.XLOOKUP(OrderDetails[[#This Row],[ProductID]],Product!A:A,Product!G:G,"Not Found")</f>
        <v>Beverages</v>
      </c>
      <c r="J85" s="15" t="str">
        <f>LOOKUP(MONTH(G85),{1,4,7,10},{"Winter","Spring","Summer","Autumn"})</f>
        <v>Summer</v>
      </c>
      <c r="K85" s="15" t="str">
        <f>_xlfn.XLOOKUP(OrderDetails[[#This Row],[ProductID]],Product!A:A,Product!B:B,"Not Found")</f>
        <v>Guaraná Fantástica</v>
      </c>
    </row>
    <row r="86" spans="1:11">
      <c r="A86" s="1">
        <v>10280</v>
      </c>
      <c r="B86" s="1">
        <v>55</v>
      </c>
      <c r="C86" s="1">
        <v>19.2</v>
      </c>
      <c r="D86" s="1">
        <v>20</v>
      </c>
      <c r="E86" s="3">
        <v>0</v>
      </c>
      <c r="F86" s="1" t="str">
        <f>_xlfn.XLOOKUP(A86,Orders!A:A,Orders!B:B,"not found")</f>
        <v>BERGS</v>
      </c>
      <c r="G86" s="13">
        <f>_xlfn.XLOOKUP(OrderDetails[[#This Row],[OrderID]],Orders!A:A,Orders!C:C,"Not Found")</f>
        <v>35291</v>
      </c>
      <c r="H86" s="16">
        <f>(OrderDetails[[#This Row],[UnitPrice]]*OrderDetails[[#This Row],[Quantity]])*(1-OrderDetails[[#This Row],[Discount]])</f>
        <v>384</v>
      </c>
      <c r="I86" s="15" t="str">
        <f>_xlfn.XLOOKUP(OrderDetails[[#This Row],[ProductID]],Product!A:A,Product!G:G,"Not Found")</f>
        <v>Meat/Poultry</v>
      </c>
      <c r="J86" s="15" t="str">
        <f>LOOKUP(MONTH(G86),{1,4,7,10},{"Winter","Spring","Summer","Autumn"})</f>
        <v>Summer</v>
      </c>
      <c r="K86" s="15" t="str">
        <f>_xlfn.XLOOKUP(OrderDetails[[#This Row],[ProductID]],Product!A:A,Product!B:B,"Not Found")</f>
        <v>Pâté chinois</v>
      </c>
    </row>
    <row r="87" spans="1:11">
      <c r="A87" s="2">
        <v>10280</v>
      </c>
      <c r="B87" s="2">
        <v>75</v>
      </c>
      <c r="C87" s="2">
        <v>6.2</v>
      </c>
      <c r="D87" s="2">
        <v>30</v>
      </c>
      <c r="E87" s="4">
        <v>0</v>
      </c>
      <c r="F87" s="1" t="str">
        <f>_xlfn.XLOOKUP(A87,Orders!A:A,Orders!B:B,"not found")</f>
        <v>BERGS</v>
      </c>
      <c r="G87" s="13">
        <f>_xlfn.XLOOKUP(OrderDetails[[#This Row],[OrderID]],Orders!A:A,Orders!C:C,"Not Found")</f>
        <v>35291</v>
      </c>
      <c r="H87" s="16">
        <f>(OrderDetails[[#This Row],[UnitPrice]]*OrderDetails[[#This Row],[Quantity]])*(1-OrderDetails[[#This Row],[Discount]])</f>
        <v>186</v>
      </c>
      <c r="I87" s="15" t="str">
        <f>_xlfn.XLOOKUP(OrderDetails[[#This Row],[ProductID]],Product!A:A,Product!G:G,"Not Found")</f>
        <v>Beverages</v>
      </c>
      <c r="J87" s="15" t="str">
        <f>LOOKUP(MONTH(G87),{1,4,7,10},{"Winter","Spring","Summer","Autumn"})</f>
        <v>Summer</v>
      </c>
      <c r="K87" s="15" t="str">
        <f>_xlfn.XLOOKUP(OrderDetails[[#This Row],[ProductID]],Product!A:A,Product!B:B,"Not Found")</f>
        <v>Rhönbräu Klosterbier</v>
      </c>
    </row>
    <row r="88" spans="1:11">
      <c r="A88" s="1">
        <v>10281</v>
      </c>
      <c r="B88" s="1">
        <v>19</v>
      </c>
      <c r="C88" s="1">
        <v>7.3</v>
      </c>
      <c r="D88" s="1">
        <v>1</v>
      </c>
      <c r="E88" s="3">
        <v>0</v>
      </c>
      <c r="F88" s="1" t="str">
        <f>_xlfn.XLOOKUP(A88,Orders!A:A,Orders!B:B,"not found")</f>
        <v>ROMEY</v>
      </c>
      <c r="G88" s="13">
        <f>_xlfn.XLOOKUP(OrderDetails[[#This Row],[OrderID]],Orders!A:A,Orders!C:C,"Not Found")</f>
        <v>35291</v>
      </c>
      <c r="H88" s="16">
        <f>(OrderDetails[[#This Row],[UnitPrice]]*OrderDetails[[#This Row],[Quantity]])*(1-OrderDetails[[#This Row],[Discount]])</f>
        <v>7.3</v>
      </c>
      <c r="I88" s="15" t="str">
        <f>_xlfn.XLOOKUP(OrderDetails[[#This Row],[ProductID]],Product!A:A,Product!G:G,"Not Found")</f>
        <v>Confections</v>
      </c>
      <c r="J88" s="15" t="str">
        <f>LOOKUP(MONTH(G88),{1,4,7,10},{"Winter","Spring","Summer","Autumn"})</f>
        <v>Summer</v>
      </c>
      <c r="K88" s="15" t="str">
        <f>_xlfn.XLOOKUP(OrderDetails[[#This Row],[ProductID]],Product!A:A,Product!B:B,"Not Found")</f>
        <v>Teatime Chocolate Biscuits</v>
      </c>
    </row>
    <row r="89" spans="1:11">
      <c r="A89" s="2">
        <v>10281</v>
      </c>
      <c r="B89" s="2">
        <v>24</v>
      </c>
      <c r="C89" s="2">
        <v>3.6</v>
      </c>
      <c r="D89" s="2">
        <v>6</v>
      </c>
      <c r="E89" s="4">
        <v>0</v>
      </c>
      <c r="F89" s="1" t="str">
        <f>_xlfn.XLOOKUP(A89,Orders!A:A,Orders!B:B,"not found")</f>
        <v>ROMEY</v>
      </c>
      <c r="G89" s="13">
        <f>_xlfn.XLOOKUP(OrderDetails[[#This Row],[OrderID]],Orders!A:A,Orders!C:C,"Not Found")</f>
        <v>35291</v>
      </c>
      <c r="H89" s="16">
        <f>(OrderDetails[[#This Row],[UnitPrice]]*OrderDetails[[#This Row],[Quantity]])*(1-OrderDetails[[#This Row],[Discount]])</f>
        <v>21.6</v>
      </c>
      <c r="I89" s="15" t="str">
        <f>_xlfn.XLOOKUP(OrderDetails[[#This Row],[ProductID]],Product!A:A,Product!G:G,"Not Found")</f>
        <v>Beverages</v>
      </c>
      <c r="J89" s="15" t="str">
        <f>LOOKUP(MONTH(G89),{1,4,7,10},{"Winter","Spring","Summer","Autumn"})</f>
        <v>Summer</v>
      </c>
      <c r="K89" s="15" t="str">
        <f>_xlfn.XLOOKUP(OrderDetails[[#This Row],[ProductID]],Product!A:A,Product!B:B,"Not Found")</f>
        <v>Guaraná Fantástica</v>
      </c>
    </row>
    <row r="90" spans="1:11">
      <c r="A90" s="1">
        <v>10281</v>
      </c>
      <c r="B90" s="1">
        <v>35</v>
      </c>
      <c r="C90" s="1">
        <v>14.4</v>
      </c>
      <c r="D90" s="1">
        <v>4</v>
      </c>
      <c r="E90" s="3">
        <v>0</v>
      </c>
      <c r="F90" s="1" t="str">
        <f>_xlfn.XLOOKUP(A90,Orders!A:A,Orders!B:B,"not found")</f>
        <v>ROMEY</v>
      </c>
      <c r="G90" s="13">
        <f>_xlfn.XLOOKUP(OrderDetails[[#This Row],[OrderID]],Orders!A:A,Orders!C:C,"Not Found")</f>
        <v>35291</v>
      </c>
      <c r="H90" s="16">
        <f>(OrderDetails[[#This Row],[UnitPrice]]*OrderDetails[[#This Row],[Quantity]])*(1-OrderDetails[[#This Row],[Discount]])</f>
        <v>57.6</v>
      </c>
      <c r="I90" s="15" t="str">
        <f>_xlfn.XLOOKUP(OrderDetails[[#This Row],[ProductID]],Product!A:A,Product!G:G,"Not Found")</f>
        <v>Beverages</v>
      </c>
      <c r="J90" s="15" t="str">
        <f>LOOKUP(MONTH(G90),{1,4,7,10},{"Winter","Spring","Summer","Autumn"})</f>
        <v>Summer</v>
      </c>
      <c r="K90" s="15" t="str">
        <f>_xlfn.XLOOKUP(OrderDetails[[#This Row],[ProductID]],Product!A:A,Product!B:B,"Not Found")</f>
        <v>Steeleye Stout</v>
      </c>
    </row>
    <row r="91" spans="1:11">
      <c r="A91" s="2">
        <v>10282</v>
      </c>
      <c r="B91" s="2">
        <v>30</v>
      </c>
      <c r="C91" s="2">
        <v>20.7</v>
      </c>
      <c r="D91" s="2">
        <v>6</v>
      </c>
      <c r="E91" s="4">
        <v>0</v>
      </c>
      <c r="F91" s="1" t="str">
        <f>_xlfn.XLOOKUP(A91,Orders!A:A,Orders!B:B,"not found")</f>
        <v>ROMEY</v>
      </c>
      <c r="G91" s="13">
        <f>_xlfn.XLOOKUP(OrderDetails[[#This Row],[OrderID]],Orders!A:A,Orders!C:C,"Not Found")</f>
        <v>35292</v>
      </c>
      <c r="H91" s="16">
        <f>(OrderDetails[[#This Row],[UnitPrice]]*OrderDetails[[#This Row],[Quantity]])*(1-OrderDetails[[#This Row],[Discount]])</f>
        <v>124.19999999999999</v>
      </c>
      <c r="I91" s="15" t="str">
        <f>_xlfn.XLOOKUP(OrderDetails[[#This Row],[ProductID]],Product!A:A,Product!G:G,"Not Found")</f>
        <v>Seafood</v>
      </c>
      <c r="J91" s="15" t="str">
        <f>LOOKUP(MONTH(G91),{1,4,7,10},{"Winter","Spring","Summer","Autumn"})</f>
        <v>Summer</v>
      </c>
      <c r="K91" s="15" t="str">
        <f>_xlfn.XLOOKUP(OrderDetails[[#This Row],[ProductID]],Product!A:A,Product!B:B,"Not Found")</f>
        <v>Nord-Ost Matjeshering</v>
      </c>
    </row>
    <row r="92" spans="1:11">
      <c r="A92" s="1">
        <v>10282</v>
      </c>
      <c r="B92" s="1">
        <v>57</v>
      </c>
      <c r="C92" s="1">
        <v>15.6</v>
      </c>
      <c r="D92" s="1">
        <v>2</v>
      </c>
      <c r="E92" s="3">
        <v>0</v>
      </c>
      <c r="F92" s="1" t="str">
        <f>_xlfn.XLOOKUP(A92,Orders!A:A,Orders!B:B,"not found")</f>
        <v>ROMEY</v>
      </c>
      <c r="G92" s="13">
        <f>_xlfn.XLOOKUP(OrderDetails[[#This Row],[OrderID]],Orders!A:A,Orders!C:C,"Not Found")</f>
        <v>35292</v>
      </c>
      <c r="H92" s="16">
        <f>(OrderDetails[[#This Row],[UnitPrice]]*OrderDetails[[#This Row],[Quantity]])*(1-OrderDetails[[#This Row],[Discount]])</f>
        <v>31.2</v>
      </c>
      <c r="I92" s="15" t="str">
        <f>_xlfn.XLOOKUP(OrderDetails[[#This Row],[ProductID]],Product!A:A,Product!G:G,"Not Found")</f>
        <v>Grains/Cereals</v>
      </c>
      <c r="J92" s="15" t="str">
        <f>LOOKUP(MONTH(G92),{1,4,7,10},{"Winter","Spring","Summer","Autumn"})</f>
        <v>Summer</v>
      </c>
      <c r="K92" s="15" t="str">
        <f>_xlfn.XLOOKUP(OrderDetails[[#This Row],[ProductID]],Product!A:A,Product!B:B,"Not Found")</f>
        <v>Ravioli Angelo</v>
      </c>
    </row>
    <row r="93" spans="1:11">
      <c r="A93" s="2">
        <v>10283</v>
      </c>
      <c r="B93" s="2">
        <v>15</v>
      </c>
      <c r="C93" s="2">
        <v>12.4</v>
      </c>
      <c r="D93" s="2">
        <v>20</v>
      </c>
      <c r="E93" s="4">
        <v>0</v>
      </c>
      <c r="F93" s="1" t="str">
        <f>_xlfn.XLOOKUP(A93,Orders!A:A,Orders!B:B,"not found")</f>
        <v>LILAS</v>
      </c>
      <c r="G93" s="13">
        <f>_xlfn.XLOOKUP(OrderDetails[[#This Row],[OrderID]],Orders!A:A,Orders!C:C,"Not Found")</f>
        <v>35293</v>
      </c>
      <c r="H93" s="16">
        <f>(OrderDetails[[#This Row],[UnitPrice]]*OrderDetails[[#This Row],[Quantity]])*(1-OrderDetails[[#This Row],[Discount]])</f>
        <v>248</v>
      </c>
      <c r="I93" s="15" t="str">
        <f>_xlfn.XLOOKUP(OrderDetails[[#This Row],[ProductID]],Product!A:A,Product!G:G,"Not Found")</f>
        <v>Condiments</v>
      </c>
      <c r="J93" s="15" t="str">
        <f>LOOKUP(MONTH(G93),{1,4,7,10},{"Winter","Spring","Summer","Autumn"})</f>
        <v>Summer</v>
      </c>
      <c r="K93" s="15" t="str">
        <f>_xlfn.XLOOKUP(OrderDetails[[#This Row],[ProductID]],Product!A:A,Product!B:B,"Not Found")</f>
        <v>Genen Shouyu</v>
      </c>
    </row>
    <row r="94" spans="1:11">
      <c r="A94" s="1">
        <v>10283</v>
      </c>
      <c r="B94" s="1">
        <v>19</v>
      </c>
      <c r="C94" s="1">
        <v>7.3</v>
      </c>
      <c r="D94" s="1">
        <v>18</v>
      </c>
      <c r="E94" s="3">
        <v>0</v>
      </c>
      <c r="F94" s="1" t="str">
        <f>_xlfn.XLOOKUP(A94,Orders!A:A,Orders!B:B,"not found")</f>
        <v>LILAS</v>
      </c>
      <c r="G94" s="13">
        <f>_xlfn.XLOOKUP(OrderDetails[[#This Row],[OrderID]],Orders!A:A,Orders!C:C,"Not Found")</f>
        <v>35293</v>
      </c>
      <c r="H94" s="16">
        <f>(OrderDetails[[#This Row],[UnitPrice]]*OrderDetails[[#This Row],[Quantity]])*(1-OrderDetails[[#This Row],[Discount]])</f>
        <v>131.4</v>
      </c>
      <c r="I94" s="15" t="str">
        <f>_xlfn.XLOOKUP(OrderDetails[[#This Row],[ProductID]],Product!A:A,Product!G:G,"Not Found")</f>
        <v>Confections</v>
      </c>
      <c r="J94" s="15" t="str">
        <f>LOOKUP(MONTH(G94),{1,4,7,10},{"Winter","Spring","Summer","Autumn"})</f>
        <v>Summer</v>
      </c>
      <c r="K94" s="15" t="str">
        <f>_xlfn.XLOOKUP(OrderDetails[[#This Row],[ProductID]],Product!A:A,Product!B:B,"Not Found")</f>
        <v>Teatime Chocolate Biscuits</v>
      </c>
    </row>
    <row r="95" spans="1:11">
      <c r="A95" s="2">
        <v>10283</v>
      </c>
      <c r="B95" s="2">
        <v>60</v>
      </c>
      <c r="C95" s="2">
        <v>27.2</v>
      </c>
      <c r="D95" s="2">
        <v>35</v>
      </c>
      <c r="E95" s="4">
        <v>0</v>
      </c>
      <c r="F95" s="1" t="str">
        <f>_xlfn.XLOOKUP(A95,Orders!A:A,Orders!B:B,"not found")</f>
        <v>LILAS</v>
      </c>
      <c r="G95" s="13">
        <f>_xlfn.XLOOKUP(OrderDetails[[#This Row],[OrderID]],Orders!A:A,Orders!C:C,"Not Found")</f>
        <v>35293</v>
      </c>
      <c r="H95" s="16">
        <f>(OrderDetails[[#This Row],[UnitPrice]]*OrderDetails[[#This Row],[Quantity]])*(1-OrderDetails[[#This Row],[Discount]])</f>
        <v>952</v>
      </c>
      <c r="I95" s="15" t="str">
        <f>_xlfn.XLOOKUP(OrderDetails[[#This Row],[ProductID]],Product!A:A,Product!G:G,"Not Found")</f>
        <v>Dairy Products</v>
      </c>
      <c r="J95" s="15" t="str">
        <f>LOOKUP(MONTH(G95),{1,4,7,10},{"Winter","Spring","Summer","Autumn"})</f>
        <v>Summer</v>
      </c>
      <c r="K95" s="15" t="str">
        <f>_xlfn.XLOOKUP(OrderDetails[[#This Row],[ProductID]],Product!A:A,Product!B:B,"Not Found")</f>
        <v>Camembert Pierrot</v>
      </c>
    </row>
    <row r="96" spans="1:11">
      <c r="A96" s="1">
        <v>10283</v>
      </c>
      <c r="B96" s="1">
        <v>72</v>
      </c>
      <c r="C96" s="1">
        <v>27.8</v>
      </c>
      <c r="D96" s="1">
        <v>3</v>
      </c>
      <c r="E96" s="3">
        <v>0</v>
      </c>
      <c r="F96" s="1" t="str">
        <f>_xlfn.XLOOKUP(A96,Orders!A:A,Orders!B:B,"not found")</f>
        <v>LILAS</v>
      </c>
      <c r="G96" s="13">
        <f>_xlfn.XLOOKUP(OrderDetails[[#This Row],[OrderID]],Orders!A:A,Orders!C:C,"Not Found")</f>
        <v>35293</v>
      </c>
      <c r="H96" s="16">
        <f>(OrderDetails[[#This Row],[UnitPrice]]*OrderDetails[[#This Row],[Quantity]])*(1-OrderDetails[[#This Row],[Discount]])</f>
        <v>83.4</v>
      </c>
      <c r="I96" s="15" t="str">
        <f>_xlfn.XLOOKUP(OrderDetails[[#This Row],[ProductID]],Product!A:A,Product!G:G,"Not Found")</f>
        <v>Dairy Products</v>
      </c>
      <c r="J96" s="15" t="str">
        <f>LOOKUP(MONTH(G96),{1,4,7,10},{"Winter","Spring","Summer","Autumn"})</f>
        <v>Summer</v>
      </c>
      <c r="K96" s="15" t="str">
        <f>_xlfn.XLOOKUP(OrderDetails[[#This Row],[ProductID]],Product!A:A,Product!B:B,"Not Found")</f>
        <v>Mozzarella di Giovanni</v>
      </c>
    </row>
    <row r="97" spans="1:11">
      <c r="A97" s="2">
        <v>10284</v>
      </c>
      <c r="B97" s="2">
        <v>27</v>
      </c>
      <c r="C97" s="2">
        <v>35.1</v>
      </c>
      <c r="D97" s="2">
        <v>15</v>
      </c>
      <c r="E97" s="4">
        <v>0.25</v>
      </c>
      <c r="F97" s="1" t="str">
        <f>_xlfn.XLOOKUP(A97,Orders!A:A,Orders!B:B,"not found")</f>
        <v>LEHMS</v>
      </c>
      <c r="G97" s="13">
        <f>_xlfn.XLOOKUP(OrderDetails[[#This Row],[OrderID]],Orders!A:A,Orders!C:C,"Not Found")</f>
        <v>35296</v>
      </c>
      <c r="H97" s="16">
        <f>(OrderDetails[[#This Row],[UnitPrice]]*OrderDetails[[#This Row],[Quantity]])*(1-OrderDetails[[#This Row],[Discount]])</f>
        <v>394.875</v>
      </c>
      <c r="I97" s="15" t="str">
        <f>_xlfn.XLOOKUP(OrderDetails[[#This Row],[ProductID]],Product!A:A,Product!G:G,"Not Found")</f>
        <v>Confections</v>
      </c>
      <c r="J97" s="15" t="str">
        <f>LOOKUP(MONTH(G97),{1,4,7,10},{"Winter","Spring","Summer","Autumn"})</f>
        <v>Summer</v>
      </c>
      <c r="K97" s="15" t="str">
        <f>_xlfn.XLOOKUP(OrderDetails[[#This Row],[ProductID]],Product!A:A,Product!B:B,"Not Found")</f>
        <v>Schoggi Schokolade</v>
      </c>
    </row>
    <row r="98" spans="1:11">
      <c r="A98" s="1">
        <v>10284</v>
      </c>
      <c r="B98" s="1">
        <v>44</v>
      </c>
      <c r="C98" s="1">
        <v>15.5</v>
      </c>
      <c r="D98" s="1">
        <v>21</v>
      </c>
      <c r="E98" s="3">
        <v>0</v>
      </c>
      <c r="F98" s="1" t="str">
        <f>_xlfn.XLOOKUP(A98,Orders!A:A,Orders!B:B,"not found")</f>
        <v>LEHMS</v>
      </c>
      <c r="G98" s="13">
        <f>_xlfn.XLOOKUP(OrderDetails[[#This Row],[OrderID]],Orders!A:A,Orders!C:C,"Not Found")</f>
        <v>35296</v>
      </c>
      <c r="H98" s="16">
        <f>(OrderDetails[[#This Row],[UnitPrice]]*OrderDetails[[#This Row],[Quantity]])*(1-OrderDetails[[#This Row],[Discount]])</f>
        <v>325.5</v>
      </c>
      <c r="I98" s="15" t="str">
        <f>_xlfn.XLOOKUP(OrderDetails[[#This Row],[ProductID]],Product!A:A,Product!G:G,"Not Found")</f>
        <v>Condiments</v>
      </c>
      <c r="J98" s="15" t="str">
        <f>LOOKUP(MONTH(G98),{1,4,7,10},{"Winter","Spring","Summer","Autumn"})</f>
        <v>Summer</v>
      </c>
      <c r="K98" s="15" t="str">
        <f>_xlfn.XLOOKUP(OrderDetails[[#This Row],[ProductID]],Product!A:A,Product!B:B,"Not Found")</f>
        <v>Gula Malacca</v>
      </c>
    </row>
    <row r="99" spans="1:11">
      <c r="A99" s="2">
        <v>10284</v>
      </c>
      <c r="B99" s="2">
        <v>60</v>
      </c>
      <c r="C99" s="2">
        <v>27.2</v>
      </c>
      <c r="D99" s="2">
        <v>20</v>
      </c>
      <c r="E99" s="4">
        <v>0.25</v>
      </c>
      <c r="F99" s="1" t="str">
        <f>_xlfn.XLOOKUP(A99,Orders!A:A,Orders!B:B,"not found")</f>
        <v>LEHMS</v>
      </c>
      <c r="G99" s="13">
        <f>_xlfn.XLOOKUP(OrderDetails[[#This Row],[OrderID]],Orders!A:A,Orders!C:C,"Not Found")</f>
        <v>35296</v>
      </c>
      <c r="H99" s="16">
        <f>(OrderDetails[[#This Row],[UnitPrice]]*OrderDetails[[#This Row],[Quantity]])*(1-OrderDetails[[#This Row],[Discount]])</f>
        <v>408</v>
      </c>
      <c r="I99" s="15" t="str">
        <f>_xlfn.XLOOKUP(OrderDetails[[#This Row],[ProductID]],Product!A:A,Product!G:G,"Not Found")</f>
        <v>Dairy Products</v>
      </c>
      <c r="J99" s="15" t="str">
        <f>LOOKUP(MONTH(G99),{1,4,7,10},{"Winter","Spring","Summer","Autumn"})</f>
        <v>Summer</v>
      </c>
      <c r="K99" s="15" t="str">
        <f>_xlfn.XLOOKUP(OrderDetails[[#This Row],[ProductID]],Product!A:A,Product!B:B,"Not Found")</f>
        <v>Camembert Pierrot</v>
      </c>
    </row>
    <row r="100" spans="1:11">
      <c r="A100" s="1">
        <v>10284</v>
      </c>
      <c r="B100" s="1">
        <v>67</v>
      </c>
      <c r="C100" s="1">
        <v>11.2</v>
      </c>
      <c r="D100" s="1">
        <v>5</v>
      </c>
      <c r="E100" s="3">
        <v>0.25</v>
      </c>
      <c r="F100" s="1" t="str">
        <f>_xlfn.XLOOKUP(A100,Orders!A:A,Orders!B:B,"not found")</f>
        <v>LEHMS</v>
      </c>
      <c r="G100" s="13">
        <f>_xlfn.XLOOKUP(OrderDetails[[#This Row],[OrderID]],Orders!A:A,Orders!C:C,"Not Found")</f>
        <v>35296</v>
      </c>
      <c r="H100" s="16">
        <f>(OrderDetails[[#This Row],[UnitPrice]]*OrderDetails[[#This Row],[Quantity]])*(1-OrderDetails[[#This Row],[Discount]])</f>
        <v>42</v>
      </c>
      <c r="I100" s="15" t="str">
        <f>_xlfn.XLOOKUP(OrderDetails[[#This Row],[ProductID]],Product!A:A,Product!G:G,"Not Found")</f>
        <v>Beverages</v>
      </c>
      <c r="J100" s="15" t="str">
        <f>LOOKUP(MONTH(G100),{1,4,7,10},{"Winter","Spring","Summer","Autumn"})</f>
        <v>Summer</v>
      </c>
      <c r="K100" s="15" t="str">
        <f>_xlfn.XLOOKUP(OrderDetails[[#This Row],[ProductID]],Product!A:A,Product!B:B,"Not Found")</f>
        <v>Laughing Lumberjack Lager</v>
      </c>
    </row>
    <row r="101" spans="1:11">
      <c r="A101" s="2">
        <v>10285</v>
      </c>
      <c r="B101" s="2">
        <v>1</v>
      </c>
      <c r="C101" s="2">
        <v>14.4</v>
      </c>
      <c r="D101" s="2">
        <v>45</v>
      </c>
      <c r="E101" s="4">
        <v>0.20000000298023224</v>
      </c>
      <c r="F101" s="1" t="str">
        <f>_xlfn.XLOOKUP(A101,Orders!A:A,Orders!B:B,"not found")</f>
        <v>QUICK</v>
      </c>
      <c r="G101" s="13">
        <f>_xlfn.XLOOKUP(OrderDetails[[#This Row],[OrderID]],Orders!A:A,Orders!C:C,"Not Found")</f>
        <v>35297</v>
      </c>
      <c r="H101" s="16">
        <f>(OrderDetails[[#This Row],[UnitPrice]]*OrderDetails[[#This Row],[Quantity]])*(1-OrderDetails[[#This Row],[Discount]])</f>
        <v>518.39999806880951</v>
      </c>
      <c r="I101" s="15" t="str">
        <f>_xlfn.XLOOKUP(OrderDetails[[#This Row],[ProductID]],Product!A:A,Product!G:G,"Not Found")</f>
        <v>Beverages</v>
      </c>
      <c r="J101" s="15" t="str">
        <f>LOOKUP(MONTH(G101),{1,4,7,10},{"Winter","Spring","Summer","Autumn"})</f>
        <v>Summer</v>
      </c>
      <c r="K101" s="15" t="str">
        <f>_xlfn.XLOOKUP(OrderDetails[[#This Row],[ProductID]],Product!A:A,Product!B:B,"Not Found")</f>
        <v>Chai</v>
      </c>
    </row>
    <row r="102" spans="1:11">
      <c r="A102" s="1">
        <v>10285</v>
      </c>
      <c r="B102" s="1">
        <v>40</v>
      </c>
      <c r="C102" s="1">
        <v>14.7</v>
      </c>
      <c r="D102" s="1">
        <v>40</v>
      </c>
      <c r="E102" s="3">
        <v>0.20000000298023224</v>
      </c>
      <c r="F102" s="1" t="str">
        <f>_xlfn.XLOOKUP(A102,Orders!A:A,Orders!B:B,"not found")</f>
        <v>QUICK</v>
      </c>
      <c r="G102" s="13">
        <f>_xlfn.XLOOKUP(OrderDetails[[#This Row],[OrderID]],Orders!A:A,Orders!C:C,"Not Found")</f>
        <v>35297</v>
      </c>
      <c r="H102" s="16">
        <f>(OrderDetails[[#This Row],[UnitPrice]]*OrderDetails[[#This Row],[Quantity]])*(1-OrderDetails[[#This Row],[Discount]])</f>
        <v>470.39999824762344</v>
      </c>
      <c r="I102" s="15" t="str">
        <f>_xlfn.XLOOKUP(OrderDetails[[#This Row],[ProductID]],Product!A:A,Product!G:G,"Not Found")</f>
        <v>Seafood</v>
      </c>
      <c r="J102" s="15" t="str">
        <f>LOOKUP(MONTH(G102),{1,4,7,10},{"Winter","Spring","Summer","Autumn"})</f>
        <v>Summer</v>
      </c>
      <c r="K102" s="15" t="str">
        <f>_xlfn.XLOOKUP(OrderDetails[[#This Row],[ProductID]],Product!A:A,Product!B:B,"Not Found")</f>
        <v>Boston Crab Meat</v>
      </c>
    </row>
    <row r="103" spans="1:11">
      <c r="A103" s="2">
        <v>10285</v>
      </c>
      <c r="B103" s="2">
        <v>53</v>
      </c>
      <c r="C103" s="2">
        <v>26.2</v>
      </c>
      <c r="D103" s="2">
        <v>36</v>
      </c>
      <c r="E103" s="4">
        <v>0.20000000298023224</v>
      </c>
      <c r="F103" s="1" t="str">
        <f>_xlfn.XLOOKUP(A103,Orders!A:A,Orders!B:B,"not found")</f>
        <v>QUICK</v>
      </c>
      <c r="G103" s="13">
        <f>_xlfn.XLOOKUP(OrderDetails[[#This Row],[OrderID]],Orders!A:A,Orders!C:C,"Not Found")</f>
        <v>35297</v>
      </c>
      <c r="H103" s="16">
        <f>(OrderDetails[[#This Row],[UnitPrice]]*OrderDetails[[#This Row],[Quantity]])*(1-OrderDetails[[#This Row],[Discount]])</f>
        <v>754.55999718904491</v>
      </c>
      <c r="I103" s="15" t="str">
        <f>_xlfn.XLOOKUP(OrderDetails[[#This Row],[ProductID]],Product!A:A,Product!G:G,"Not Found")</f>
        <v>Meat/Poultry</v>
      </c>
      <c r="J103" s="15" t="str">
        <f>LOOKUP(MONTH(G103),{1,4,7,10},{"Winter","Spring","Summer","Autumn"})</f>
        <v>Summer</v>
      </c>
      <c r="K103" s="15" t="str">
        <f>_xlfn.XLOOKUP(OrderDetails[[#This Row],[ProductID]],Product!A:A,Product!B:B,"Not Found")</f>
        <v>Perth Pasties</v>
      </c>
    </row>
    <row r="104" spans="1:11">
      <c r="A104" s="1">
        <v>10286</v>
      </c>
      <c r="B104" s="1">
        <v>35</v>
      </c>
      <c r="C104" s="1">
        <v>14.4</v>
      </c>
      <c r="D104" s="1">
        <v>100</v>
      </c>
      <c r="E104" s="3">
        <v>0</v>
      </c>
      <c r="F104" s="1" t="str">
        <f>_xlfn.XLOOKUP(A104,Orders!A:A,Orders!B:B,"not found")</f>
        <v>QUICK</v>
      </c>
      <c r="G104" s="13">
        <f>_xlfn.XLOOKUP(OrderDetails[[#This Row],[OrderID]],Orders!A:A,Orders!C:C,"Not Found")</f>
        <v>35298</v>
      </c>
      <c r="H104" s="16">
        <f>(OrderDetails[[#This Row],[UnitPrice]]*OrderDetails[[#This Row],[Quantity]])*(1-OrderDetails[[#This Row],[Discount]])</f>
        <v>1440</v>
      </c>
      <c r="I104" s="15" t="str">
        <f>_xlfn.XLOOKUP(OrderDetails[[#This Row],[ProductID]],Product!A:A,Product!G:G,"Not Found")</f>
        <v>Beverages</v>
      </c>
      <c r="J104" s="15" t="str">
        <f>LOOKUP(MONTH(G104),{1,4,7,10},{"Winter","Spring","Summer","Autumn"})</f>
        <v>Summer</v>
      </c>
      <c r="K104" s="15" t="str">
        <f>_xlfn.XLOOKUP(OrderDetails[[#This Row],[ProductID]],Product!A:A,Product!B:B,"Not Found")</f>
        <v>Steeleye Stout</v>
      </c>
    </row>
    <row r="105" spans="1:11">
      <c r="A105" s="2">
        <v>10286</v>
      </c>
      <c r="B105" s="2">
        <v>62</v>
      </c>
      <c r="C105" s="2">
        <v>39.4</v>
      </c>
      <c r="D105" s="2">
        <v>40</v>
      </c>
      <c r="E105" s="4">
        <v>0</v>
      </c>
      <c r="F105" s="1" t="str">
        <f>_xlfn.XLOOKUP(A105,Orders!A:A,Orders!B:B,"not found")</f>
        <v>QUICK</v>
      </c>
      <c r="G105" s="13">
        <f>_xlfn.XLOOKUP(OrderDetails[[#This Row],[OrderID]],Orders!A:A,Orders!C:C,"Not Found")</f>
        <v>35298</v>
      </c>
      <c r="H105" s="16">
        <f>(OrderDetails[[#This Row],[UnitPrice]]*OrderDetails[[#This Row],[Quantity]])*(1-OrderDetails[[#This Row],[Discount]])</f>
        <v>1576</v>
      </c>
      <c r="I105" s="15" t="str">
        <f>_xlfn.XLOOKUP(OrderDetails[[#This Row],[ProductID]],Product!A:A,Product!G:G,"Not Found")</f>
        <v>Confections</v>
      </c>
      <c r="J105" s="15" t="str">
        <f>LOOKUP(MONTH(G105),{1,4,7,10},{"Winter","Spring","Summer","Autumn"})</f>
        <v>Summer</v>
      </c>
      <c r="K105" s="15" t="str">
        <f>_xlfn.XLOOKUP(OrderDetails[[#This Row],[ProductID]],Product!A:A,Product!B:B,"Not Found")</f>
        <v>Tarte au sucre</v>
      </c>
    </row>
    <row r="106" spans="1:11">
      <c r="A106" s="1">
        <v>10287</v>
      </c>
      <c r="B106" s="1">
        <v>16</v>
      </c>
      <c r="C106" s="1">
        <v>13.9</v>
      </c>
      <c r="D106" s="1">
        <v>40</v>
      </c>
      <c r="E106" s="3">
        <v>0.15000000596046448</v>
      </c>
      <c r="F106" s="1" t="str">
        <f>_xlfn.XLOOKUP(A106,Orders!A:A,Orders!B:B,"not found")</f>
        <v>RICAR</v>
      </c>
      <c r="G106" s="13">
        <f>_xlfn.XLOOKUP(OrderDetails[[#This Row],[OrderID]],Orders!A:A,Orders!C:C,"Not Found")</f>
        <v>35299</v>
      </c>
      <c r="H106" s="16">
        <f>(OrderDetails[[#This Row],[UnitPrice]]*OrderDetails[[#This Row],[Quantity]])*(1-OrderDetails[[#This Row],[Discount]])</f>
        <v>472.59999668598175</v>
      </c>
      <c r="I106" s="15" t="str">
        <f>_xlfn.XLOOKUP(OrderDetails[[#This Row],[ProductID]],Product!A:A,Product!G:G,"Not Found")</f>
        <v>Confections</v>
      </c>
      <c r="J106" s="15" t="str">
        <f>LOOKUP(MONTH(G106),{1,4,7,10},{"Winter","Spring","Summer","Autumn"})</f>
        <v>Summer</v>
      </c>
      <c r="K106" s="15" t="str">
        <f>_xlfn.XLOOKUP(OrderDetails[[#This Row],[ProductID]],Product!A:A,Product!B:B,"Not Found")</f>
        <v>Pavlova</v>
      </c>
    </row>
    <row r="107" spans="1:11">
      <c r="A107" s="2">
        <v>10287</v>
      </c>
      <c r="B107" s="2">
        <v>34</v>
      </c>
      <c r="C107" s="2">
        <v>11.2</v>
      </c>
      <c r="D107" s="2">
        <v>20</v>
      </c>
      <c r="E107" s="4">
        <v>0</v>
      </c>
      <c r="F107" s="1" t="str">
        <f>_xlfn.XLOOKUP(A107,Orders!A:A,Orders!B:B,"not found")</f>
        <v>RICAR</v>
      </c>
      <c r="G107" s="13">
        <f>_xlfn.XLOOKUP(OrderDetails[[#This Row],[OrderID]],Orders!A:A,Orders!C:C,"Not Found")</f>
        <v>35299</v>
      </c>
      <c r="H107" s="16">
        <f>(OrderDetails[[#This Row],[UnitPrice]]*OrderDetails[[#This Row],[Quantity]])*(1-OrderDetails[[#This Row],[Discount]])</f>
        <v>224</v>
      </c>
      <c r="I107" s="15" t="str">
        <f>_xlfn.XLOOKUP(OrderDetails[[#This Row],[ProductID]],Product!A:A,Product!G:G,"Not Found")</f>
        <v>Beverages</v>
      </c>
      <c r="J107" s="15" t="str">
        <f>LOOKUP(MONTH(G107),{1,4,7,10},{"Winter","Spring","Summer","Autumn"})</f>
        <v>Summer</v>
      </c>
      <c r="K107" s="15" t="str">
        <f>_xlfn.XLOOKUP(OrderDetails[[#This Row],[ProductID]],Product!A:A,Product!B:B,"Not Found")</f>
        <v>Sasquatch Ale</v>
      </c>
    </row>
    <row r="108" spans="1:11">
      <c r="A108" s="1">
        <v>10287</v>
      </c>
      <c r="B108" s="1">
        <v>46</v>
      </c>
      <c r="C108" s="1">
        <v>9.6</v>
      </c>
      <c r="D108" s="1">
        <v>15</v>
      </c>
      <c r="E108" s="3">
        <v>0.15000000596046448</v>
      </c>
      <c r="F108" s="1" t="str">
        <f>_xlfn.XLOOKUP(A108,Orders!A:A,Orders!B:B,"not found")</f>
        <v>RICAR</v>
      </c>
      <c r="G108" s="13">
        <f>_xlfn.XLOOKUP(OrderDetails[[#This Row],[OrderID]],Orders!A:A,Orders!C:C,"Not Found")</f>
        <v>35299</v>
      </c>
      <c r="H108" s="16">
        <f>(OrderDetails[[#This Row],[UnitPrice]]*OrderDetails[[#This Row],[Quantity]])*(1-OrderDetails[[#This Row],[Discount]])</f>
        <v>122.39999914169312</v>
      </c>
      <c r="I108" s="15" t="str">
        <f>_xlfn.XLOOKUP(OrderDetails[[#This Row],[ProductID]],Product!A:A,Product!G:G,"Not Found")</f>
        <v>Seafood</v>
      </c>
      <c r="J108" s="15" t="str">
        <f>LOOKUP(MONTH(G108),{1,4,7,10},{"Winter","Spring","Summer","Autumn"})</f>
        <v>Summer</v>
      </c>
      <c r="K108" s="15" t="str">
        <f>_xlfn.XLOOKUP(OrderDetails[[#This Row],[ProductID]],Product!A:A,Product!B:B,"Not Found")</f>
        <v>Spegesild</v>
      </c>
    </row>
    <row r="109" spans="1:11">
      <c r="A109" s="2">
        <v>10288</v>
      </c>
      <c r="B109" s="2">
        <v>54</v>
      </c>
      <c r="C109" s="2">
        <v>5.9</v>
      </c>
      <c r="D109" s="2">
        <v>10</v>
      </c>
      <c r="E109" s="4">
        <v>0.10000000149011612</v>
      </c>
      <c r="F109" s="1" t="str">
        <f>_xlfn.XLOOKUP(A109,Orders!A:A,Orders!B:B,"not found")</f>
        <v>REGGC</v>
      </c>
      <c r="G109" s="13">
        <f>_xlfn.XLOOKUP(OrderDetails[[#This Row],[OrderID]],Orders!A:A,Orders!C:C,"Not Found")</f>
        <v>35300</v>
      </c>
      <c r="H109" s="16">
        <f>(OrderDetails[[#This Row],[UnitPrice]]*OrderDetails[[#This Row],[Quantity]])*(1-OrderDetails[[#This Row],[Discount]])</f>
        <v>53.099999912083149</v>
      </c>
      <c r="I109" s="15" t="str">
        <f>_xlfn.XLOOKUP(OrderDetails[[#This Row],[ProductID]],Product!A:A,Product!G:G,"Not Found")</f>
        <v>Meat/Poultry</v>
      </c>
      <c r="J109" s="15" t="str">
        <f>LOOKUP(MONTH(G109),{1,4,7,10},{"Winter","Spring","Summer","Autumn"})</f>
        <v>Summer</v>
      </c>
      <c r="K109" s="15" t="str">
        <f>_xlfn.XLOOKUP(OrderDetails[[#This Row],[ProductID]],Product!A:A,Product!B:B,"Not Found")</f>
        <v>Tourtière</v>
      </c>
    </row>
    <row r="110" spans="1:11">
      <c r="A110" s="1">
        <v>10288</v>
      </c>
      <c r="B110" s="1">
        <v>68</v>
      </c>
      <c r="C110" s="1">
        <v>10</v>
      </c>
      <c r="D110" s="1">
        <v>3</v>
      </c>
      <c r="E110" s="3">
        <v>0.10000000149011612</v>
      </c>
      <c r="F110" s="1" t="str">
        <f>_xlfn.XLOOKUP(A110,Orders!A:A,Orders!B:B,"not found")</f>
        <v>REGGC</v>
      </c>
      <c r="G110" s="13">
        <f>_xlfn.XLOOKUP(OrderDetails[[#This Row],[OrderID]],Orders!A:A,Orders!C:C,"Not Found")</f>
        <v>35300</v>
      </c>
      <c r="H110" s="16">
        <f>(OrderDetails[[#This Row],[UnitPrice]]*OrderDetails[[#This Row],[Quantity]])*(1-OrderDetails[[#This Row],[Discount]])</f>
        <v>26.999999955296516</v>
      </c>
      <c r="I110" s="15" t="str">
        <f>_xlfn.XLOOKUP(OrderDetails[[#This Row],[ProductID]],Product!A:A,Product!G:G,"Not Found")</f>
        <v>Confections</v>
      </c>
      <c r="J110" s="15" t="str">
        <f>LOOKUP(MONTH(G110),{1,4,7,10},{"Winter","Spring","Summer","Autumn"})</f>
        <v>Summer</v>
      </c>
      <c r="K110" s="15" t="str">
        <f>_xlfn.XLOOKUP(OrderDetails[[#This Row],[ProductID]],Product!A:A,Product!B:B,"Not Found")</f>
        <v>Scottish Longbreads</v>
      </c>
    </row>
    <row r="111" spans="1:11">
      <c r="A111" s="2">
        <v>10289</v>
      </c>
      <c r="B111" s="2">
        <v>3</v>
      </c>
      <c r="C111" s="2">
        <v>8</v>
      </c>
      <c r="D111" s="2">
        <v>30</v>
      </c>
      <c r="E111" s="4">
        <v>0</v>
      </c>
      <c r="F111" s="1" t="str">
        <f>_xlfn.XLOOKUP(A111,Orders!A:A,Orders!B:B,"not found")</f>
        <v>BSBEV</v>
      </c>
      <c r="G111" s="13">
        <f>_xlfn.XLOOKUP(OrderDetails[[#This Row],[OrderID]],Orders!A:A,Orders!C:C,"Not Found")</f>
        <v>35303</v>
      </c>
      <c r="H111" s="16">
        <f>(OrderDetails[[#This Row],[UnitPrice]]*OrderDetails[[#This Row],[Quantity]])*(1-OrderDetails[[#This Row],[Discount]])</f>
        <v>240</v>
      </c>
      <c r="I111" s="15" t="str">
        <f>_xlfn.XLOOKUP(OrderDetails[[#This Row],[ProductID]],Product!A:A,Product!G:G,"Not Found")</f>
        <v>Condiments</v>
      </c>
      <c r="J111" s="15" t="str">
        <f>LOOKUP(MONTH(G111),{1,4,7,10},{"Winter","Spring","Summer","Autumn"})</f>
        <v>Summer</v>
      </c>
      <c r="K111" s="15" t="str">
        <f>_xlfn.XLOOKUP(OrderDetails[[#This Row],[ProductID]],Product!A:A,Product!B:B,"Not Found")</f>
        <v>Aniseed Syrup</v>
      </c>
    </row>
    <row r="112" spans="1:11">
      <c r="A112" s="1">
        <v>10289</v>
      </c>
      <c r="B112" s="1">
        <v>64</v>
      </c>
      <c r="C112" s="1">
        <v>26.6</v>
      </c>
      <c r="D112" s="1">
        <v>9</v>
      </c>
      <c r="E112" s="3">
        <v>0</v>
      </c>
      <c r="F112" s="1" t="str">
        <f>_xlfn.XLOOKUP(A112,Orders!A:A,Orders!B:B,"not found")</f>
        <v>BSBEV</v>
      </c>
      <c r="G112" s="13">
        <f>_xlfn.XLOOKUP(OrderDetails[[#This Row],[OrderID]],Orders!A:A,Orders!C:C,"Not Found")</f>
        <v>35303</v>
      </c>
      <c r="H112" s="16">
        <f>(OrderDetails[[#This Row],[UnitPrice]]*OrderDetails[[#This Row],[Quantity]])*(1-OrderDetails[[#This Row],[Discount]])</f>
        <v>239.4</v>
      </c>
      <c r="I112" s="15" t="str">
        <f>_xlfn.XLOOKUP(OrderDetails[[#This Row],[ProductID]],Product!A:A,Product!G:G,"Not Found")</f>
        <v>Grains/Cereals</v>
      </c>
      <c r="J112" s="15" t="str">
        <f>LOOKUP(MONTH(G112),{1,4,7,10},{"Winter","Spring","Summer","Autumn"})</f>
        <v>Summer</v>
      </c>
      <c r="K112" s="15" t="str">
        <f>_xlfn.XLOOKUP(OrderDetails[[#This Row],[ProductID]],Product!A:A,Product!B:B,"Not Found")</f>
        <v>Wimmers gute Semmelknödel</v>
      </c>
    </row>
    <row r="113" spans="1:11">
      <c r="A113" s="2">
        <v>10290</v>
      </c>
      <c r="B113" s="2">
        <v>5</v>
      </c>
      <c r="C113" s="2">
        <v>17</v>
      </c>
      <c r="D113" s="2">
        <v>20</v>
      </c>
      <c r="E113" s="4">
        <v>0</v>
      </c>
      <c r="F113" s="1" t="str">
        <f>_xlfn.XLOOKUP(A113,Orders!A:A,Orders!B:B,"not found")</f>
        <v>COMMI</v>
      </c>
      <c r="G113" s="13">
        <f>_xlfn.XLOOKUP(OrderDetails[[#This Row],[OrderID]],Orders!A:A,Orders!C:C,"Not Found")</f>
        <v>35304</v>
      </c>
      <c r="H113" s="16">
        <f>(OrderDetails[[#This Row],[UnitPrice]]*OrderDetails[[#This Row],[Quantity]])*(1-OrderDetails[[#This Row],[Discount]])</f>
        <v>340</v>
      </c>
      <c r="I113" s="15" t="str">
        <f>_xlfn.XLOOKUP(OrderDetails[[#This Row],[ProductID]],Product!A:A,Product!G:G,"Not Found")</f>
        <v>Condiments</v>
      </c>
      <c r="J113" s="15" t="str">
        <f>LOOKUP(MONTH(G113),{1,4,7,10},{"Winter","Spring","Summer","Autumn"})</f>
        <v>Summer</v>
      </c>
      <c r="K113" s="15" t="str">
        <f>_xlfn.XLOOKUP(OrderDetails[[#This Row],[ProductID]],Product!A:A,Product!B:B,"Not Found")</f>
        <v>Chef Anton's Gumbo Mix</v>
      </c>
    </row>
    <row r="114" spans="1:11">
      <c r="A114" s="1">
        <v>10290</v>
      </c>
      <c r="B114" s="1">
        <v>29</v>
      </c>
      <c r="C114" s="1">
        <v>99</v>
      </c>
      <c r="D114" s="1">
        <v>15</v>
      </c>
      <c r="E114" s="3">
        <v>0</v>
      </c>
      <c r="F114" s="1" t="str">
        <f>_xlfn.XLOOKUP(A114,Orders!A:A,Orders!B:B,"not found")</f>
        <v>COMMI</v>
      </c>
      <c r="G114" s="13">
        <f>_xlfn.XLOOKUP(OrderDetails[[#This Row],[OrderID]],Orders!A:A,Orders!C:C,"Not Found")</f>
        <v>35304</v>
      </c>
      <c r="H114" s="16">
        <f>(OrderDetails[[#This Row],[UnitPrice]]*OrderDetails[[#This Row],[Quantity]])*(1-OrderDetails[[#This Row],[Discount]])</f>
        <v>1485</v>
      </c>
      <c r="I114" s="15" t="str">
        <f>_xlfn.XLOOKUP(OrderDetails[[#This Row],[ProductID]],Product!A:A,Product!G:G,"Not Found")</f>
        <v>Meat/Poultry</v>
      </c>
      <c r="J114" s="15" t="str">
        <f>LOOKUP(MONTH(G114),{1,4,7,10},{"Winter","Spring","Summer","Autumn"})</f>
        <v>Summer</v>
      </c>
      <c r="K114" s="15" t="str">
        <f>_xlfn.XLOOKUP(OrderDetails[[#This Row],[ProductID]],Product!A:A,Product!B:B,"Not Found")</f>
        <v>Thüringer Rostbratwurst</v>
      </c>
    </row>
    <row r="115" spans="1:11">
      <c r="A115" s="2">
        <v>10290</v>
      </c>
      <c r="B115" s="2">
        <v>49</v>
      </c>
      <c r="C115" s="2">
        <v>16</v>
      </c>
      <c r="D115" s="2">
        <v>15</v>
      </c>
      <c r="E115" s="4">
        <v>0</v>
      </c>
      <c r="F115" s="1" t="str">
        <f>_xlfn.XLOOKUP(A115,Orders!A:A,Orders!B:B,"not found")</f>
        <v>COMMI</v>
      </c>
      <c r="G115" s="13">
        <f>_xlfn.XLOOKUP(OrderDetails[[#This Row],[OrderID]],Orders!A:A,Orders!C:C,"Not Found")</f>
        <v>35304</v>
      </c>
      <c r="H115" s="16">
        <f>(OrderDetails[[#This Row],[UnitPrice]]*OrderDetails[[#This Row],[Quantity]])*(1-OrderDetails[[#This Row],[Discount]])</f>
        <v>240</v>
      </c>
      <c r="I115" s="15" t="str">
        <f>_xlfn.XLOOKUP(OrderDetails[[#This Row],[ProductID]],Product!A:A,Product!G:G,"Not Found")</f>
        <v>Confections</v>
      </c>
      <c r="J115" s="15" t="str">
        <f>LOOKUP(MONTH(G115),{1,4,7,10},{"Winter","Spring","Summer","Autumn"})</f>
        <v>Summer</v>
      </c>
      <c r="K115" s="15" t="str">
        <f>_xlfn.XLOOKUP(OrderDetails[[#This Row],[ProductID]],Product!A:A,Product!B:B,"Not Found")</f>
        <v>Maxilaku</v>
      </c>
    </row>
    <row r="116" spans="1:11">
      <c r="A116" s="1">
        <v>10290</v>
      </c>
      <c r="B116" s="1">
        <v>77</v>
      </c>
      <c r="C116" s="1">
        <v>10.4</v>
      </c>
      <c r="D116" s="1">
        <v>10</v>
      </c>
      <c r="E116" s="3">
        <v>0</v>
      </c>
      <c r="F116" s="1" t="str">
        <f>_xlfn.XLOOKUP(A116,Orders!A:A,Orders!B:B,"not found")</f>
        <v>COMMI</v>
      </c>
      <c r="G116" s="13">
        <f>_xlfn.XLOOKUP(OrderDetails[[#This Row],[OrderID]],Orders!A:A,Orders!C:C,"Not Found")</f>
        <v>35304</v>
      </c>
      <c r="H116" s="16">
        <f>(OrderDetails[[#This Row],[UnitPrice]]*OrderDetails[[#This Row],[Quantity]])*(1-OrderDetails[[#This Row],[Discount]])</f>
        <v>104</v>
      </c>
      <c r="I116" s="15" t="str">
        <f>_xlfn.XLOOKUP(OrderDetails[[#This Row],[ProductID]],Product!A:A,Product!G:G,"Not Found")</f>
        <v>Condiments</v>
      </c>
      <c r="J116" s="15" t="str">
        <f>LOOKUP(MONTH(G116),{1,4,7,10},{"Winter","Spring","Summer","Autumn"})</f>
        <v>Summer</v>
      </c>
      <c r="K116" s="15" t="str">
        <f>_xlfn.XLOOKUP(OrderDetails[[#This Row],[ProductID]],Product!A:A,Product!B:B,"Not Found")</f>
        <v>Original Frankfurter grüne Soße</v>
      </c>
    </row>
    <row r="117" spans="1:11">
      <c r="A117" s="2">
        <v>10291</v>
      </c>
      <c r="B117" s="2">
        <v>13</v>
      </c>
      <c r="C117" s="2">
        <v>4.8</v>
      </c>
      <c r="D117" s="2">
        <v>20</v>
      </c>
      <c r="E117" s="4">
        <v>0.10000000149011612</v>
      </c>
      <c r="F117" s="1" t="str">
        <f>_xlfn.XLOOKUP(A117,Orders!A:A,Orders!B:B,"not found")</f>
        <v>QUEDE</v>
      </c>
      <c r="G117" s="13">
        <f>_xlfn.XLOOKUP(OrderDetails[[#This Row],[OrderID]],Orders!A:A,Orders!C:C,"Not Found")</f>
        <v>35304</v>
      </c>
      <c r="H117" s="16">
        <f>(OrderDetails[[#This Row],[UnitPrice]]*OrderDetails[[#This Row],[Quantity]])*(1-OrderDetails[[#This Row],[Discount]])</f>
        <v>86.399999856948853</v>
      </c>
      <c r="I117" s="15" t="str">
        <f>_xlfn.XLOOKUP(OrderDetails[[#This Row],[ProductID]],Product!A:A,Product!G:G,"Not Found")</f>
        <v>Seafood</v>
      </c>
      <c r="J117" s="15" t="str">
        <f>LOOKUP(MONTH(G117),{1,4,7,10},{"Winter","Spring","Summer","Autumn"})</f>
        <v>Summer</v>
      </c>
      <c r="K117" s="15" t="str">
        <f>_xlfn.XLOOKUP(OrderDetails[[#This Row],[ProductID]],Product!A:A,Product!B:B,"Not Found")</f>
        <v>Konbu</v>
      </c>
    </row>
    <row r="118" spans="1:11">
      <c r="A118" s="1">
        <v>10291</v>
      </c>
      <c r="B118" s="1">
        <v>44</v>
      </c>
      <c r="C118" s="1">
        <v>15.5</v>
      </c>
      <c r="D118" s="1">
        <v>24</v>
      </c>
      <c r="E118" s="3">
        <v>0.10000000149011612</v>
      </c>
      <c r="F118" s="1" t="str">
        <f>_xlfn.XLOOKUP(A118,Orders!A:A,Orders!B:B,"not found")</f>
        <v>QUEDE</v>
      </c>
      <c r="G118" s="13">
        <f>_xlfn.XLOOKUP(OrderDetails[[#This Row],[OrderID]],Orders!A:A,Orders!C:C,"Not Found")</f>
        <v>35304</v>
      </c>
      <c r="H118" s="16">
        <f>(OrderDetails[[#This Row],[UnitPrice]]*OrderDetails[[#This Row],[Quantity]])*(1-OrderDetails[[#This Row],[Discount]])</f>
        <v>334.7999994456768</v>
      </c>
      <c r="I118" s="15" t="str">
        <f>_xlfn.XLOOKUP(OrderDetails[[#This Row],[ProductID]],Product!A:A,Product!G:G,"Not Found")</f>
        <v>Condiments</v>
      </c>
      <c r="J118" s="15" t="str">
        <f>LOOKUP(MONTH(G118),{1,4,7,10},{"Winter","Spring","Summer","Autumn"})</f>
        <v>Summer</v>
      </c>
      <c r="K118" s="15" t="str">
        <f>_xlfn.XLOOKUP(OrderDetails[[#This Row],[ProductID]],Product!A:A,Product!B:B,"Not Found")</f>
        <v>Gula Malacca</v>
      </c>
    </row>
    <row r="119" spans="1:11">
      <c r="A119" s="2">
        <v>10291</v>
      </c>
      <c r="B119" s="2">
        <v>51</v>
      </c>
      <c r="C119" s="2">
        <v>42.4</v>
      </c>
      <c r="D119" s="2">
        <v>2</v>
      </c>
      <c r="E119" s="4">
        <v>0.10000000149011612</v>
      </c>
      <c r="F119" s="1" t="str">
        <f>_xlfn.XLOOKUP(A119,Orders!A:A,Orders!B:B,"not found")</f>
        <v>QUEDE</v>
      </c>
      <c r="G119" s="13">
        <f>_xlfn.XLOOKUP(OrderDetails[[#This Row],[OrderID]],Orders!A:A,Orders!C:C,"Not Found")</f>
        <v>35304</v>
      </c>
      <c r="H119" s="16">
        <f>(OrderDetails[[#This Row],[UnitPrice]]*OrderDetails[[#This Row],[Quantity]])*(1-OrderDetails[[#This Row],[Discount]])</f>
        <v>76.319999873638153</v>
      </c>
      <c r="I119" s="15" t="str">
        <f>_xlfn.XLOOKUP(OrderDetails[[#This Row],[ProductID]],Product!A:A,Product!G:G,"Not Found")</f>
        <v>Produce</v>
      </c>
      <c r="J119" s="15" t="str">
        <f>LOOKUP(MONTH(G119),{1,4,7,10},{"Winter","Spring","Summer","Autumn"})</f>
        <v>Summer</v>
      </c>
      <c r="K119" s="15" t="str">
        <f>_xlfn.XLOOKUP(OrderDetails[[#This Row],[ProductID]],Product!A:A,Product!B:B,"Not Found")</f>
        <v>Manjimup Dried Apples</v>
      </c>
    </row>
    <row r="120" spans="1:11">
      <c r="A120" s="1">
        <v>10292</v>
      </c>
      <c r="B120" s="1">
        <v>20</v>
      </c>
      <c r="C120" s="1">
        <v>64.8</v>
      </c>
      <c r="D120" s="1">
        <v>20</v>
      </c>
      <c r="E120" s="3">
        <v>0</v>
      </c>
      <c r="F120" s="1" t="str">
        <f>_xlfn.XLOOKUP(A120,Orders!A:A,Orders!B:B,"not found")</f>
        <v>TRADH</v>
      </c>
      <c r="G120" s="13">
        <f>_xlfn.XLOOKUP(OrderDetails[[#This Row],[OrderID]],Orders!A:A,Orders!C:C,"Not Found")</f>
        <v>35305</v>
      </c>
      <c r="H120" s="16">
        <f>(OrderDetails[[#This Row],[UnitPrice]]*OrderDetails[[#This Row],[Quantity]])*(1-OrderDetails[[#This Row],[Discount]])</f>
        <v>1296</v>
      </c>
      <c r="I120" s="15" t="str">
        <f>_xlfn.XLOOKUP(OrderDetails[[#This Row],[ProductID]],Product!A:A,Product!G:G,"Not Found")</f>
        <v>Confections</v>
      </c>
      <c r="J120" s="15" t="str">
        <f>LOOKUP(MONTH(G120),{1,4,7,10},{"Winter","Spring","Summer","Autumn"})</f>
        <v>Summer</v>
      </c>
      <c r="K120" s="15" t="str">
        <f>_xlfn.XLOOKUP(OrderDetails[[#This Row],[ProductID]],Product!A:A,Product!B:B,"Not Found")</f>
        <v>Sir Rodney's Marmalade</v>
      </c>
    </row>
    <row r="121" spans="1:11">
      <c r="A121" s="2">
        <v>10293</v>
      </c>
      <c r="B121" s="2">
        <v>18</v>
      </c>
      <c r="C121" s="2">
        <v>50</v>
      </c>
      <c r="D121" s="2">
        <v>12</v>
      </c>
      <c r="E121" s="4">
        <v>0</v>
      </c>
      <c r="F121" s="1" t="str">
        <f>_xlfn.XLOOKUP(A121,Orders!A:A,Orders!B:B,"not found")</f>
        <v>TORTU</v>
      </c>
      <c r="G121" s="13">
        <f>_xlfn.XLOOKUP(OrderDetails[[#This Row],[OrderID]],Orders!A:A,Orders!C:C,"Not Found")</f>
        <v>35306</v>
      </c>
      <c r="H121" s="16">
        <f>(OrderDetails[[#This Row],[UnitPrice]]*OrderDetails[[#This Row],[Quantity]])*(1-OrderDetails[[#This Row],[Discount]])</f>
        <v>600</v>
      </c>
      <c r="I121" s="15" t="str">
        <f>_xlfn.XLOOKUP(OrderDetails[[#This Row],[ProductID]],Product!A:A,Product!G:G,"Not Found")</f>
        <v>Seafood</v>
      </c>
      <c r="J121" s="15" t="str">
        <f>LOOKUP(MONTH(G121),{1,4,7,10},{"Winter","Spring","Summer","Autumn"})</f>
        <v>Summer</v>
      </c>
      <c r="K121" s="15" t="str">
        <f>_xlfn.XLOOKUP(OrderDetails[[#This Row],[ProductID]],Product!A:A,Product!B:B,"Not Found")</f>
        <v>Carnarvon Tigers</v>
      </c>
    </row>
    <row r="122" spans="1:11">
      <c r="A122" s="1">
        <v>10293</v>
      </c>
      <c r="B122" s="1">
        <v>24</v>
      </c>
      <c r="C122" s="1">
        <v>3.6</v>
      </c>
      <c r="D122" s="1">
        <v>10</v>
      </c>
      <c r="E122" s="3">
        <v>0</v>
      </c>
      <c r="F122" s="1" t="str">
        <f>_xlfn.XLOOKUP(A122,Orders!A:A,Orders!B:B,"not found")</f>
        <v>TORTU</v>
      </c>
      <c r="G122" s="13">
        <f>_xlfn.XLOOKUP(OrderDetails[[#This Row],[OrderID]],Orders!A:A,Orders!C:C,"Not Found")</f>
        <v>35306</v>
      </c>
      <c r="H122" s="16">
        <f>(OrderDetails[[#This Row],[UnitPrice]]*OrderDetails[[#This Row],[Quantity]])*(1-OrderDetails[[#This Row],[Discount]])</f>
        <v>36</v>
      </c>
      <c r="I122" s="15" t="str">
        <f>_xlfn.XLOOKUP(OrderDetails[[#This Row],[ProductID]],Product!A:A,Product!G:G,"Not Found")</f>
        <v>Beverages</v>
      </c>
      <c r="J122" s="15" t="str">
        <f>LOOKUP(MONTH(G122),{1,4,7,10},{"Winter","Spring","Summer","Autumn"})</f>
        <v>Summer</v>
      </c>
      <c r="K122" s="15" t="str">
        <f>_xlfn.XLOOKUP(OrderDetails[[#This Row],[ProductID]],Product!A:A,Product!B:B,"Not Found")</f>
        <v>Guaraná Fantástica</v>
      </c>
    </row>
    <row r="123" spans="1:11">
      <c r="A123" s="2">
        <v>10293</v>
      </c>
      <c r="B123" s="2">
        <v>63</v>
      </c>
      <c r="C123" s="2">
        <v>35.1</v>
      </c>
      <c r="D123" s="2">
        <v>5</v>
      </c>
      <c r="E123" s="4">
        <v>0</v>
      </c>
      <c r="F123" s="1" t="str">
        <f>_xlfn.XLOOKUP(A123,Orders!A:A,Orders!B:B,"not found")</f>
        <v>TORTU</v>
      </c>
      <c r="G123" s="13">
        <f>_xlfn.XLOOKUP(OrderDetails[[#This Row],[OrderID]],Orders!A:A,Orders!C:C,"Not Found")</f>
        <v>35306</v>
      </c>
      <c r="H123" s="16">
        <f>(OrderDetails[[#This Row],[UnitPrice]]*OrderDetails[[#This Row],[Quantity]])*(1-OrderDetails[[#This Row],[Discount]])</f>
        <v>175.5</v>
      </c>
      <c r="I123" s="15" t="str">
        <f>_xlfn.XLOOKUP(OrderDetails[[#This Row],[ProductID]],Product!A:A,Product!G:G,"Not Found")</f>
        <v>Condiments</v>
      </c>
      <c r="J123" s="15" t="str">
        <f>LOOKUP(MONTH(G123),{1,4,7,10},{"Winter","Spring","Summer","Autumn"})</f>
        <v>Summer</v>
      </c>
      <c r="K123" s="15" t="str">
        <f>_xlfn.XLOOKUP(OrderDetails[[#This Row],[ProductID]],Product!A:A,Product!B:B,"Not Found")</f>
        <v>Vegie-spread</v>
      </c>
    </row>
    <row r="124" spans="1:11">
      <c r="A124" s="1">
        <v>10293</v>
      </c>
      <c r="B124" s="1">
        <v>75</v>
      </c>
      <c r="C124" s="1">
        <v>6.2</v>
      </c>
      <c r="D124" s="1">
        <v>6</v>
      </c>
      <c r="E124" s="3">
        <v>0</v>
      </c>
      <c r="F124" s="1" t="str">
        <f>_xlfn.XLOOKUP(A124,Orders!A:A,Orders!B:B,"not found")</f>
        <v>TORTU</v>
      </c>
      <c r="G124" s="13">
        <f>_xlfn.XLOOKUP(OrderDetails[[#This Row],[OrderID]],Orders!A:A,Orders!C:C,"Not Found")</f>
        <v>35306</v>
      </c>
      <c r="H124" s="16">
        <f>(OrderDetails[[#This Row],[UnitPrice]]*OrderDetails[[#This Row],[Quantity]])*(1-OrderDetails[[#This Row],[Discount]])</f>
        <v>37.200000000000003</v>
      </c>
      <c r="I124" s="15" t="str">
        <f>_xlfn.XLOOKUP(OrderDetails[[#This Row],[ProductID]],Product!A:A,Product!G:G,"Not Found")</f>
        <v>Beverages</v>
      </c>
      <c r="J124" s="15" t="str">
        <f>LOOKUP(MONTH(G124),{1,4,7,10},{"Winter","Spring","Summer","Autumn"})</f>
        <v>Summer</v>
      </c>
      <c r="K124" s="15" t="str">
        <f>_xlfn.XLOOKUP(OrderDetails[[#This Row],[ProductID]],Product!A:A,Product!B:B,"Not Found")</f>
        <v>Rhönbräu Klosterbier</v>
      </c>
    </row>
    <row r="125" spans="1:11">
      <c r="A125" s="2">
        <v>10294</v>
      </c>
      <c r="B125" s="2">
        <v>1</v>
      </c>
      <c r="C125" s="2">
        <v>14.4</v>
      </c>
      <c r="D125" s="2">
        <v>18</v>
      </c>
      <c r="E125" s="4">
        <v>0</v>
      </c>
      <c r="F125" s="1" t="str">
        <f>_xlfn.XLOOKUP(A125,Orders!A:A,Orders!B:B,"not found")</f>
        <v>RATTC</v>
      </c>
      <c r="G125" s="13">
        <f>_xlfn.XLOOKUP(OrderDetails[[#This Row],[OrderID]],Orders!A:A,Orders!C:C,"Not Found")</f>
        <v>35307</v>
      </c>
      <c r="H125" s="16">
        <f>(OrderDetails[[#This Row],[UnitPrice]]*OrderDetails[[#This Row],[Quantity]])*(1-OrderDetails[[#This Row],[Discount]])</f>
        <v>259.2</v>
      </c>
      <c r="I125" s="15" t="str">
        <f>_xlfn.XLOOKUP(OrderDetails[[#This Row],[ProductID]],Product!A:A,Product!G:G,"Not Found")</f>
        <v>Beverages</v>
      </c>
      <c r="J125" s="15" t="str">
        <f>LOOKUP(MONTH(G125),{1,4,7,10},{"Winter","Spring","Summer","Autumn"})</f>
        <v>Summer</v>
      </c>
      <c r="K125" s="15" t="str">
        <f>_xlfn.XLOOKUP(OrderDetails[[#This Row],[ProductID]],Product!A:A,Product!B:B,"Not Found")</f>
        <v>Chai</v>
      </c>
    </row>
    <row r="126" spans="1:11">
      <c r="A126" s="1">
        <v>10294</v>
      </c>
      <c r="B126" s="1">
        <v>17</v>
      </c>
      <c r="C126" s="1">
        <v>31.2</v>
      </c>
      <c r="D126" s="1">
        <v>15</v>
      </c>
      <c r="E126" s="3">
        <v>0</v>
      </c>
      <c r="F126" s="1" t="str">
        <f>_xlfn.XLOOKUP(A126,Orders!A:A,Orders!B:B,"not found")</f>
        <v>RATTC</v>
      </c>
      <c r="G126" s="13">
        <f>_xlfn.XLOOKUP(OrderDetails[[#This Row],[OrderID]],Orders!A:A,Orders!C:C,"Not Found")</f>
        <v>35307</v>
      </c>
      <c r="H126" s="16">
        <f>(OrderDetails[[#This Row],[UnitPrice]]*OrderDetails[[#This Row],[Quantity]])*(1-OrderDetails[[#This Row],[Discount]])</f>
        <v>468</v>
      </c>
      <c r="I126" s="15" t="str">
        <f>_xlfn.XLOOKUP(OrderDetails[[#This Row],[ProductID]],Product!A:A,Product!G:G,"Not Found")</f>
        <v>Meat/Poultry</v>
      </c>
      <c r="J126" s="15" t="str">
        <f>LOOKUP(MONTH(G126),{1,4,7,10},{"Winter","Spring","Summer","Autumn"})</f>
        <v>Summer</v>
      </c>
      <c r="K126" s="15" t="str">
        <f>_xlfn.XLOOKUP(OrderDetails[[#This Row],[ProductID]],Product!A:A,Product!B:B,"Not Found")</f>
        <v>Alice Mutton</v>
      </c>
    </row>
    <row r="127" spans="1:11">
      <c r="A127" s="2">
        <v>10294</v>
      </c>
      <c r="B127" s="2">
        <v>43</v>
      </c>
      <c r="C127" s="2">
        <v>36.799999999999997</v>
      </c>
      <c r="D127" s="2">
        <v>15</v>
      </c>
      <c r="E127" s="4">
        <v>0</v>
      </c>
      <c r="F127" s="1" t="str">
        <f>_xlfn.XLOOKUP(A127,Orders!A:A,Orders!B:B,"not found")</f>
        <v>RATTC</v>
      </c>
      <c r="G127" s="13">
        <f>_xlfn.XLOOKUP(OrderDetails[[#This Row],[OrderID]],Orders!A:A,Orders!C:C,"Not Found")</f>
        <v>35307</v>
      </c>
      <c r="H127" s="16">
        <f>(OrderDetails[[#This Row],[UnitPrice]]*OrderDetails[[#This Row],[Quantity]])*(1-OrderDetails[[#This Row],[Discount]])</f>
        <v>552</v>
      </c>
      <c r="I127" s="15" t="str">
        <f>_xlfn.XLOOKUP(OrderDetails[[#This Row],[ProductID]],Product!A:A,Product!G:G,"Not Found")</f>
        <v>Beverages</v>
      </c>
      <c r="J127" s="15" t="str">
        <f>LOOKUP(MONTH(G127),{1,4,7,10},{"Winter","Spring","Summer","Autumn"})</f>
        <v>Summer</v>
      </c>
      <c r="K127" s="15" t="str">
        <f>_xlfn.XLOOKUP(OrderDetails[[#This Row],[ProductID]],Product!A:A,Product!B:B,"Not Found")</f>
        <v>Ipoh Coffee</v>
      </c>
    </row>
    <row r="128" spans="1:11">
      <c r="A128" s="1">
        <v>10294</v>
      </c>
      <c r="B128" s="1">
        <v>60</v>
      </c>
      <c r="C128" s="1">
        <v>27.2</v>
      </c>
      <c r="D128" s="1">
        <v>21</v>
      </c>
      <c r="E128" s="3">
        <v>0</v>
      </c>
      <c r="F128" s="1" t="str">
        <f>_xlfn.XLOOKUP(A128,Orders!A:A,Orders!B:B,"not found")</f>
        <v>RATTC</v>
      </c>
      <c r="G128" s="13">
        <f>_xlfn.XLOOKUP(OrderDetails[[#This Row],[OrderID]],Orders!A:A,Orders!C:C,"Not Found")</f>
        <v>35307</v>
      </c>
      <c r="H128" s="16">
        <f>(OrderDetails[[#This Row],[UnitPrice]]*OrderDetails[[#This Row],[Quantity]])*(1-OrderDetails[[#This Row],[Discount]])</f>
        <v>571.19999999999993</v>
      </c>
      <c r="I128" s="15" t="str">
        <f>_xlfn.XLOOKUP(OrderDetails[[#This Row],[ProductID]],Product!A:A,Product!G:G,"Not Found")</f>
        <v>Dairy Products</v>
      </c>
      <c r="J128" s="15" t="str">
        <f>LOOKUP(MONTH(G128),{1,4,7,10},{"Winter","Spring","Summer","Autumn"})</f>
        <v>Summer</v>
      </c>
      <c r="K128" s="15" t="str">
        <f>_xlfn.XLOOKUP(OrderDetails[[#This Row],[ProductID]],Product!A:A,Product!B:B,"Not Found")</f>
        <v>Camembert Pierrot</v>
      </c>
    </row>
    <row r="129" spans="1:11">
      <c r="A129" s="2">
        <v>10294</v>
      </c>
      <c r="B129" s="2">
        <v>75</v>
      </c>
      <c r="C129" s="2">
        <v>6.2</v>
      </c>
      <c r="D129" s="2">
        <v>6</v>
      </c>
      <c r="E129" s="4">
        <v>0</v>
      </c>
      <c r="F129" s="1" t="str">
        <f>_xlfn.XLOOKUP(A129,Orders!A:A,Orders!B:B,"not found")</f>
        <v>RATTC</v>
      </c>
      <c r="G129" s="13">
        <f>_xlfn.XLOOKUP(OrderDetails[[#This Row],[OrderID]],Orders!A:A,Orders!C:C,"Not Found")</f>
        <v>35307</v>
      </c>
      <c r="H129" s="16">
        <f>(OrderDetails[[#This Row],[UnitPrice]]*OrderDetails[[#This Row],[Quantity]])*(1-OrderDetails[[#This Row],[Discount]])</f>
        <v>37.200000000000003</v>
      </c>
      <c r="I129" s="15" t="str">
        <f>_xlfn.XLOOKUP(OrderDetails[[#This Row],[ProductID]],Product!A:A,Product!G:G,"Not Found")</f>
        <v>Beverages</v>
      </c>
      <c r="J129" s="15" t="str">
        <f>LOOKUP(MONTH(G129),{1,4,7,10},{"Winter","Spring","Summer","Autumn"})</f>
        <v>Summer</v>
      </c>
      <c r="K129" s="15" t="str">
        <f>_xlfn.XLOOKUP(OrderDetails[[#This Row],[ProductID]],Product!A:A,Product!B:B,"Not Found")</f>
        <v>Rhönbräu Klosterbier</v>
      </c>
    </row>
    <row r="130" spans="1:11">
      <c r="A130" s="1">
        <v>10295</v>
      </c>
      <c r="B130" s="1">
        <v>56</v>
      </c>
      <c r="C130" s="1">
        <v>30.4</v>
      </c>
      <c r="D130" s="1">
        <v>4</v>
      </c>
      <c r="E130" s="3">
        <v>0</v>
      </c>
      <c r="F130" s="1" t="str">
        <f>_xlfn.XLOOKUP(A130,Orders!A:A,Orders!B:B,"not found")</f>
        <v>VINET</v>
      </c>
      <c r="G130" s="13">
        <f>_xlfn.XLOOKUP(OrderDetails[[#This Row],[OrderID]],Orders!A:A,Orders!C:C,"Not Found")</f>
        <v>35310</v>
      </c>
      <c r="H130" s="16">
        <f>(OrderDetails[[#This Row],[UnitPrice]]*OrderDetails[[#This Row],[Quantity]])*(1-OrderDetails[[#This Row],[Discount]])</f>
        <v>121.6</v>
      </c>
      <c r="I130" s="15" t="str">
        <f>_xlfn.XLOOKUP(OrderDetails[[#This Row],[ProductID]],Product!A:A,Product!G:G,"Not Found")</f>
        <v>Grains/Cereals</v>
      </c>
      <c r="J130" s="15" t="str">
        <f>LOOKUP(MONTH(G130),{1,4,7,10},{"Winter","Spring","Summer","Autumn"})</f>
        <v>Summer</v>
      </c>
      <c r="K130" s="15" t="str">
        <f>_xlfn.XLOOKUP(OrderDetails[[#This Row],[ProductID]],Product!A:A,Product!B:B,"Not Found")</f>
        <v>Gnocchi di nonna Alice</v>
      </c>
    </row>
    <row r="131" spans="1:11">
      <c r="A131" s="2">
        <v>10296</v>
      </c>
      <c r="B131" s="2">
        <v>11</v>
      </c>
      <c r="C131" s="2">
        <v>16.8</v>
      </c>
      <c r="D131" s="2">
        <v>12</v>
      </c>
      <c r="E131" s="4">
        <v>0</v>
      </c>
      <c r="F131" s="1" t="str">
        <f>_xlfn.XLOOKUP(A131,Orders!A:A,Orders!B:B,"not found")</f>
        <v>LILAS</v>
      </c>
      <c r="G131" s="13">
        <f>_xlfn.XLOOKUP(OrderDetails[[#This Row],[OrderID]],Orders!A:A,Orders!C:C,"Not Found")</f>
        <v>35311</v>
      </c>
      <c r="H131" s="16">
        <f>(OrderDetails[[#This Row],[UnitPrice]]*OrderDetails[[#This Row],[Quantity]])*(1-OrderDetails[[#This Row],[Discount]])</f>
        <v>201.60000000000002</v>
      </c>
      <c r="I131" s="15" t="str">
        <f>_xlfn.XLOOKUP(OrderDetails[[#This Row],[ProductID]],Product!A:A,Product!G:G,"Not Found")</f>
        <v>Dairy Products</v>
      </c>
      <c r="J131" s="15" t="str">
        <f>LOOKUP(MONTH(G131),{1,4,7,10},{"Winter","Spring","Summer","Autumn"})</f>
        <v>Summer</v>
      </c>
      <c r="K131" s="15" t="str">
        <f>_xlfn.XLOOKUP(OrderDetails[[#This Row],[ProductID]],Product!A:A,Product!B:B,"Not Found")</f>
        <v>Queso Cabrales</v>
      </c>
    </row>
    <row r="132" spans="1:11">
      <c r="A132" s="1">
        <v>10296</v>
      </c>
      <c r="B132" s="1">
        <v>16</v>
      </c>
      <c r="C132" s="1">
        <v>13.9</v>
      </c>
      <c r="D132" s="1">
        <v>30</v>
      </c>
      <c r="E132" s="3">
        <v>0</v>
      </c>
      <c r="F132" s="1" t="str">
        <f>_xlfn.XLOOKUP(A132,Orders!A:A,Orders!B:B,"not found")</f>
        <v>LILAS</v>
      </c>
      <c r="G132" s="13">
        <f>_xlfn.XLOOKUP(OrderDetails[[#This Row],[OrderID]],Orders!A:A,Orders!C:C,"Not Found")</f>
        <v>35311</v>
      </c>
      <c r="H132" s="16">
        <f>(OrderDetails[[#This Row],[UnitPrice]]*OrderDetails[[#This Row],[Quantity]])*(1-OrderDetails[[#This Row],[Discount]])</f>
        <v>417</v>
      </c>
      <c r="I132" s="15" t="str">
        <f>_xlfn.XLOOKUP(OrderDetails[[#This Row],[ProductID]],Product!A:A,Product!G:G,"Not Found")</f>
        <v>Confections</v>
      </c>
      <c r="J132" s="15" t="str">
        <f>LOOKUP(MONTH(G132),{1,4,7,10},{"Winter","Spring","Summer","Autumn"})</f>
        <v>Summer</v>
      </c>
      <c r="K132" s="15" t="str">
        <f>_xlfn.XLOOKUP(OrderDetails[[#This Row],[ProductID]],Product!A:A,Product!B:B,"Not Found")</f>
        <v>Pavlova</v>
      </c>
    </row>
    <row r="133" spans="1:11">
      <c r="A133" s="2">
        <v>10296</v>
      </c>
      <c r="B133" s="2">
        <v>69</v>
      </c>
      <c r="C133" s="2">
        <v>28.8</v>
      </c>
      <c r="D133" s="2">
        <v>15</v>
      </c>
      <c r="E133" s="4">
        <v>0</v>
      </c>
      <c r="F133" s="1" t="str">
        <f>_xlfn.XLOOKUP(A133,Orders!A:A,Orders!B:B,"not found")</f>
        <v>LILAS</v>
      </c>
      <c r="G133" s="13">
        <f>_xlfn.XLOOKUP(OrderDetails[[#This Row],[OrderID]],Orders!A:A,Orders!C:C,"Not Found")</f>
        <v>35311</v>
      </c>
      <c r="H133" s="16">
        <f>(OrderDetails[[#This Row],[UnitPrice]]*OrderDetails[[#This Row],[Quantity]])*(1-OrderDetails[[#This Row],[Discount]])</f>
        <v>432</v>
      </c>
      <c r="I133" s="15" t="str">
        <f>_xlfn.XLOOKUP(OrderDetails[[#This Row],[ProductID]],Product!A:A,Product!G:G,"Not Found")</f>
        <v>Dairy Products</v>
      </c>
      <c r="J133" s="15" t="str">
        <f>LOOKUP(MONTH(G133),{1,4,7,10},{"Winter","Spring","Summer","Autumn"})</f>
        <v>Summer</v>
      </c>
      <c r="K133" s="15" t="str">
        <f>_xlfn.XLOOKUP(OrderDetails[[#This Row],[ProductID]],Product!A:A,Product!B:B,"Not Found")</f>
        <v>Gudbrandsdalsost</v>
      </c>
    </row>
    <row r="134" spans="1:11">
      <c r="A134" s="1">
        <v>10297</v>
      </c>
      <c r="B134" s="1">
        <v>39</v>
      </c>
      <c r="C134" s="1">
        <v>14.4</v>
      </c>
      <c r="D134" s="1">
        <v>60</v>
      </c>
      <c r="E134" s="3">
        <v>0</v>
      </c>
      <c r="F134" s="1" t="str">
        <f>_xlfn.XLOOKUP(A134,Orders!A:A,Orders!B:B,"not found")</f>
        <v>BLONP</v>
      </c>
      <c r="G134" s="13">
        <f>_xlfn.XLOOKUP(OrderDetails[[#This Row],[OrderID]],Orders!A:A,Orders!C:C,"Not Found")</f>
        <v>35312</v>
      </c>
      <c r="H134" s="16">
        <f>(OrderDetails[[#This Row],[UnitPrice]]*OrderDetails[[#This Row],[Quantity]])*(1-OrderDetails[[#This Row],[Discount]])</f>
        <v>864</v>
      </c>
      <c r="I134" s="15" t="str">
        <f>_xlfn.XLOOKUP(OrderDetails[[#This Row],[ProductID]],Product!A:A,Product!G:G,"Not Found")</f>
        <v>Beverages</v>
      </c>
      <c r="J134" s="15" t="str">
        <f>LOOKUP(MONTH(G134),{1,4,7,10},{"Winter","Spring","Summer","Autumn"})</f>
        <v>Summer</v>
      </c>
      <c r="K134" s="15" t="str">
        <f>_xlfn.XLOOKUP(OrderDetails[[#This Row],[ProductID]],Product!A:A,Product!B:B,"Not Found")</f>
        <v>Chartreuse verte</v>
      </c>
    </row>
    <row r="135" spans="1:11">
      <c r="A135" s="2">
        <v>10297</v>
      </c>
      <c r="B135" s="2">
        <v>72</v>
      </c>
      <c r="C135" s="2">
        <v>27.8</v>
      </c>
      <c r="D135" s="2">
        <v>20</v>
      </c>
      <c r="E135" s="4">
        <v>0</v>
      </c>
      <c r="F135" s="1" t="str">
        <f>_xlfn.XLOOKUP(A135,Orders!A:A,Orders!B:B,"not found")</f>
        <v>BLONP</v>
      </c>
      <c r="G135" s="13">
        <f>_xlfn.XLOOKUP(OrderDetails[[#This Row],[OrderID]],Orders!A:A,Orders!C:C,"Not Found")</f>
        <v>35312</v>
      </c>
      <c r="H135" s="16">
        <f>(OrderDetails[[#This Row],[UnitPrice]]*OrderDetails[[#This Row],[Quantity]])*(1-OrderDetails[[#This Row],[Discount]])</f>
        <v>556</v>
      </c>
      <c r="I135" s="15" t="str">
        <f>_xlfn.XLOOKUP(OrderDetails[[#This Row],[ProductID]],Product!A:A,Product!G:G,"Not Found")</f>
        <v>Dairy Products</v>
      </c>
      <c r="J135" s="15" t="str">
        <f>LOOKUP(MONTH(G135),{1,4,7,10},{"Winter","Spring","Summer","Autumn"})</f>
        <v>Summer</v>
      </c>
      <c r="K135" s="15" t="str">
        <f>_xlfn.XLOOKUP(OrderDetails[[#This Row],[ProductID]],Product!A:A,Product!B:B,"Not Found")</f>
        <v>Mozzarella di Giovanni</v>
      </c>
    </row>
    <row r="136" spans="1:11">
      <c r="A136" s="1">
        <v>10298</v>
      </c>
      <c r="B136" s="1">
        <v>2</v>
      </c>
      <c r="C136" s="1">
        <v>15.2</v>
      </c>
      <c r="D136" s="1">
        <v>40</v>
      </c>
      <c r="E136" s="3">
        <v>0</v>
      </c>
      <c r="F136" s="1" t="str">
        <f>_xlfn.XLOOKUP(A136,Orders!A:A,Orders!B:B,"not found")</f>
        <v>HUNGO</v>
      </c>
      <c r="G136" s="13">
        <f>_xlfn.XLOOKUP(OrderDetails[[#This Row],[OrderID]],Orders!A:A,Orders!C:C,"Not Found")</f>
        <v>35313</v>
      </c>
      <c r="H136" s="16">
        <f>(OrderDetails[[#This Row],[UnitPrice]]*OrderDetails[[#This Row],[Quantity]])*(1-OrderDetails[[#This Row],[Discount]])</f>
        <v>608</v>
      </c>
      <c r="I136" s="15" t="str">
        <f>_xlfn.XLOOKUP(OrderDetails[[#This Row],[ProductID]],Product!A:A,Product!G:G,"Not Found")</f>
        <v>Beverages</v>
      </c>
      <c r="J136" s="15" t="str">
        <f>LOOKUP(MONTH(G136),{1,4,7,10},{"Winter","Spring","Summer","Autumn"})</f>
        <v>Summer</v>
      </c>
      <c r="K136" s="15" t="str">
        <f>_xlfn.XLOOKUP(OrderDetails[[#This Row],[ProductID]],Product!A:A,Product!B:B,"Not Found")</f>
        <v>Chang</v>
      </c>
    </row>
    <row r="137" spans="1:11">
      <c r="A137" s="2">
        <v>10298</v>
      </c>
      <c r="B137" s="2">
        <v>36</v>
      </c>
      <c r="C137" s="2">
        <v>15.2</v>
      </c>
      <c r="D137" s="2">
        <v>40</v>
      </c>
      <c r="E137" s="4">
        <v>0.25</v>
      </c>
      <c r="F137" s="1" t="str">
        <f>_xlfn.XLOOKUP(A137,Orders!A:A,Orders!B:B,"not found")</f>
        <v>HUNGO</v>
      </c>
      <c r="G137" s="13">
        <f>_xlfn.XLOOKUP(OrderDetails[[#This Row],[OrderID]],Orders!A:A,Orders!C:C,"Not Found")</f>
        <v>35313</v>
      </c>
      <c r="H137" s="16">
        <f>(OrderDetails[[#This Row],[UnitPrice]]*OrderDetails[[#This Row],[Quantity]])*(1-OrderDetails[[#This Row],[Discount]])</f>
        <v>456</v>
      </c>
      <c r="I137" s="15" t="str">
        <f>_xlfn.XLOOKUP(OrderDetails[[#This Row],[ProductID]],Product!A:A,Product!G:G,"Not Found")</f>
        <v>Seafood</v>
      </c>
      <c r="J137" s="15" t="str">
        <f>LOOKUP(MONTH(G137),{1,4,7,10},{"Winter","Spring","Summer","Autumn"})</f>
        <v>Summer</v>
      </c>
      <c r="K137" s="15" t="str">
        <f>_xlfn.XLOOKUP(OrderDetails[[#This Row],[ProductID]],Product!A:A,Product!B:B,"Not Found")</f>
        <v>Inlagd Sill</v>
      </c>
    </row>
    <row r="138" spans="1:11">
      <c r="A138" s="1">
        <v>10298</v>
      </c>
      <c r="B138" s="1">
        <v>59</v>
      </c>
      <c r="C138" s="1">
        <v>44</v>
      </c>
      <c r="D138" s="1">
        <v>30</v>
      </c>
      <c r="E138" s="3">
        <v>0.25</v>
      </c>
      <c r="F138" s="1" t="str">
        <f>_xlfn.XLOOKUP(A138,Orders!A:A,Orders!B:B,"not found")</f>
        <v>HUNGO</v>
      </c>
      <c r="G138" s="13">
        <f>_xlfn.XLOOKUP(OrderDetails[[#This Row],[OrderID]],Orders!A:A,Orders!C:C,"Not Found")</f>
        <v>35313</v>
      </c>
      <c r="H138" s="16">
        <f>(OrderDetails[[#This Row],[UnitPrice]]*OrderDetails[[#This Row],[Quantity]])*(1-OrderDetails[[#This Row],[Discount]])</f>
        <v>990</v>
      </c>
      <c r="I138" s="15" t="str">
        <f>_xlfn.XLOOKUP(OrderDetails[[#This Row],[ProductID]],Product!A:A,Product!G:G,"Not Found")</f>
        <v>Dairy Products</v>
      </c>
      <c r="J138" s="15" t="str">
        <f>LOOKUP(MONTH(G138),{1,4,7,10},{"Winter","Spring","Summer","Autumn"})</f>
        <v>Summer</v>
      </c>
      <c r="K138" s="15" t="str">
        <f>_xlfn.XLOOKUP(OrderDetails[[#This Row],[ProductID]],Product!A:A,Product!B:B,"Not Found")</f>
        <v>Raclette Courdavault</v>
      </c>
    </row>
    <row r="139" spans="1:11">
      <c r="A139" s="2">
        <v>10298</v>
      </c>
      <c r="B139" s="2">
        <v>62</v>
      </c>
      <c r="C139" s="2">
        <v>39.4</v>
      </c>
      <c r="D139" s="2">
        <v>15</v>
      </c>
      <c r="E139" s="4">
        <v>0</v>
      </c>
      <c r="F139" s="1" t="str">
        <f>_xlfn.XLOOKUP(A139,Orders!A:A,Orders!B:B,"not found")</f>
        <v>HUNGO</v>
      </c>
      <c r="G139" s="13">
        <f>_xlfn.XLOOKUP(OrderDetails[[#This Row],[OrderID]],Orders!A:A,Orders!C:C,"Not Found")</f>
        <v>35313</v>
      </c>
      <c r="H139" s="16">
        <f>(OrderDetails[[#This Row],[UnitPrice]]*OrderDetails[[#This Row],[Quantity]])*(1-OrderDetails[[#This Row],[Discount]])</f>
        <v>591</v>
      </c>
      <c r="I139" s="15" t="str">
        <f>_xlfn.XLOOKUP(OrderDetails[[#This Row],[ProductID]],Product!A:A,Product!G:G,"Not Found")</f>
        <v>Confections</v>
      </c>
      <c r="J139" s="15" t="str">
        <f>LOOKUP(MONTH(G139),{1,4,7,10},{"Winter","Spring","Summer","Autumn"})</f>
        <v>Summer</v>
      </c>
      <c r="K139" s="15" t="str">
        <f>_xlfn.XLOOKUP(OrderDetails[[#This Row],[ProductID]],Product!A:A,Product!B:B,"Not Found")</f>
        <v>Tarte au sucre</v>
      </c>
    </row>
    <row r="140" spans="1:11">
      <c r="A140" s="1">
        <v>10299</v>
      </c>
      <c r="B140" s="1">
        <v>19</v>
      </c>
      <c r="C140" s="1">
        <v>7.3</v>
      </c>
      <c r="D140" s="1">
        <v>15</v>
      </c>
      <c r="E140" s="3">
        <v>0</v>
      </c>
      <c r="F140" s="1" t="str">
        <f>_xlfn.XLOOKUP(A140,Orders!A:A,Orders!B:B,"not found")</f>
        <v>RICAR</v>
      </c>
      <c r="G140" s="13">
        <f>_xlfn.XLOOKUP(OrderDetails[[#This Row],[OrderID]],Orders!A:A,Orders!C:C,"Not Found")</f>
        <v>35314</v>
      </c>
      <c r="H140" s="16">
        <f>(OrderDetails[[#This Row],[UnitPrice]]*OrderDetails[[#This Row],[Quantity]])*(1-OrderDetails[[#This Row],[Discount]])</f>
        <v>109.5</v>
      </c>
      <c r="I140" s="15" t="str">
        <f>_xlfn.XLOOKUP(OrderDetails[[#This Row],[ProductID]],Product!A:A,Product!G:G,"Not Found")</f>
        <v>Confections</v>
      </c>
      <c r="J140" s="15" t="str">
        <f>LOOKUP(MONTH(G140),{1,4,7,10},{"Winter","Spring","Summer","Autumn"})</f>
        <v>Summer</v>
      </c>
      <c r="K140" s="15" t="str">
        <f>_xlfn.XLOOKUP(OrderDetails[[#This Row],[ProductID]],Product!A:A,Product!B:B,"Not Found")</f>
        <v>Teatime Chocolate Biscuits</v>
      </c>
    </row>
    <row r="141" spans="1:11">
      <c r="A141" s="2">
        <v>10299</v>
      </c>
      <c r="B141" s="2">
        <v>70</v>
      </c>
      <c r="C141" s="2">
        <v>12</v>
      </c>
      <c r="D141" s="2">
        <v>20</v>
      </c>
      <c r="E141" s="4">
        <v>0</v>
      </c>
      <c r="F141" s="1" t="str">
        <f>_xlfn.XLOOKUP(A141,Orders!A:A,Orders!B:B,"not found")</f>
        <v>RICAR</v>
      </c>
      <c r="G141" s="13">
        <f>_xlfn.XLOOKUP(OrderDetails[[#This Row],[OrderID]],Orders!A:A,Orders!C:C,"Not Found")</f>
        <v>35314</v>
      </c>
      <c r="H141" s="16">
        <f>(OrderDetails[[#This Row],[UnitPrice]]*OrderDetails[[#This Row],[Quantity]])*(1-OrderDetails[[#This Row],[Discount]])</f>
        <v>240</v>
      </c>
      <c r="I141" s="15" t="str">
        <f>_xlfn.XLOOKUP(OrderDetails[[#This Row],[ProductID]],Product!A:A,Product!G:G,"Not Found")</f>
        <v>Beverages</v>
      </c>
      <c r="J141" s="15" t="str">
        <f>LOOKUP(MONTH(G141),{1,4,7,10},{"Winter","Spring","Summer","Autumn"})</f>
        <v>Summer</v>
      </c>
      <c r="K141" s="15" t="str">
        <f>_xlfn.XLOOKUP(OrderDetails[[#This Row],[ProductID]],Product!A:A,Product!B:B,"Not Found")</f>
        <v>Outback Lager</v>
      </c>
    </row>
    <row r="142" spans="1:11">
      <c r="A142" s="1">
        <v>10300</v>
      </c>
      <c r="B142" s="1">
        <v>66</v>
      </c>
      <c r="C142" s="1">
        <v>13.6</v>
      </c>
      <c r="D142" s="1">
        <v>30</v>
      </c>
      <c r="E142" s="3">
        <v>0</v>
      </c>
      <c r="F142" s="1" t="str">
        <f>_xlfn.XLOOKUP(A142,Orders!A:A,Orders!B:B,"not found")</f>
        <v>MAGAA</v>
      </c>
      <c r="G142" s="13">
        <f>_xlfn.XLOOKUP(OrderDetails[[#This Row],[OrderID]],Orders!A:A,Orders!C:C,"Not Found")</f>
        <v>35317</v>
      </c>
      <c r="H142" s="16">
        <f>(OrderDetails[[#This Row],[UnitPrice]]*OrderDetails[[#This Row],[Quantity]])*(1-OrderDetails[[#This Row],[Discount]])</f>
        <v>408</v>
      </c>
      <c r="I142" s="15" t="str">
        <f>_xlfn.XLOOKUP(OrderDetails[[#This Row],[ProductID]],Product!A:A,Product!G:G,"Not Found")</f>
        <v>Condiments</v>
      </c>
      <c r="J142" s="15" t="str">
        <f>LOOKUP(MONTH(G142),{1,4,7,10},{"Winter","Spring","Summer","Autumn"})</f>
        <v>Summer</v>
      </c>
      <c r="K142" s="15" t="str">
        <f>_xlfn.XLOOKUP(OrderDetails[[#This Row],[ProductID]],Product!A:A,Product!B:B,"Not Found")</f>
        <v>Louisiana Hot Spiced Okra</v>
      </c>
    </row>
    <row r="143" spans="1:11">
      <c r="A143" s="2">
        <v>10300</v>
      </c>
      <c r="B143" s="2">
        <v>68</v>
      </c>
      <c r="C143" s="2">
        <v>10</v>
      </c>
      <c r="D143" s="2">
        <v>20</v>
      </c>
      <c r="E143" s="4">
        <v>0</v>
      </c>
      <c r="F143" s="1" t="str">
        <f>_xlfn.XLOOKUP(A143,Orders!A:A,Orders!B:B,"not found")</f>
        <v>MAGAA</v>
      </c>
      <c r="G143" s="13">
        <f>_xlfn.XLOOKUP(OrderDetails[[#This Row],[OrderID]],Orders!A:A,Orders!C:C,"Not Found")</f>
        <v>35317</v>
      </c>
      <c r="H143" s="16">
        <f>(OrderDetails[[#This Row],[UnitPrice]]*OrderDetails[[#This Row],[Quantity]])*(1-OrderDetails[[#This Row],[Discount]])</f>
        <v>200</v>
      </c>
      <c r="I143" s="15" t="str">
        <f>_xlfn.XLOOKUP(OrderDetails[[#This Row],[ProductID]],Product!A:A,Product!G:G,"Not Found")</f>
        <v>Confections</v>
      </c>
      <c r="J143" s="15" t="str">
        <f>LOOKUP(MONTH(G143),{1,4,7,10},{"Winter","Spring","Summer","Autumn"})</f>
        <v>Summer</v>
      </c>
      <c r="K143" s="15" t="str">
        <f>_xlfn.XLOOKUP(OrderDetails[[#This Row],[ProductID]],Product!A:A,Product!B:B,"Not Found")</f>
        <v>Scottish Longbreads</v>
      </c>
    </row>
    <row r="144" spans="1:11">
      <c r="A144" s="1">
        <v>10301</v>
      </c>
      <c r="B144" s="1">
        <v>40</v>
      </c>
      <c r="C144" s="1">
        <v>14.7</v>
      </c>
      <c r="D144" s="1">
        <v>10</v>
      </c>
      <c r="E144" s="3">
        <v>0</v>
      </c>
      <c r="F144" s="1" t="str">
        <f>_xlfn.XLOOKUP(A144,Orders!A:A,Orders!B:B,"not found")</f>
        <v>WANDK</v>
      </c>
      <c r="G144" s="13">
        <f>_xlfn.XLOOKUP(OrderDetails[[#This Row],[OrderID]],Orders!A:A,Orders!C:C,"Not Found")</f>
        <v>35317</v>
      </c>
      <c r="H144" s="16">
        <f>(OrderDetails[[#This Row],[UnitPrice]]*OrderDetails[[#This Row],[Quantity]])*(1-OrderDetails[[#This Row],[Discount]])</f>
        <v>147</v>
      </c>
      <c r="I144" s="15" t="str">
        <f>_xlfn.XLOOKUP(OrderDetails[[#This Row],[ProductID]],Product!A:A,Product!G:G,"Not Found")</f>
        <v>Seafood</v>
      </c>
      <c r="J144" s="15" t="str">
        <f>LOOKUP(MONTH(G144),{1,4,7,10},{"Winter","Spring","Summer","Autumn"})</f>
        <v>Summer</v>
      </c>
      <c r="K144" s="15" t="str">
        <f>_xlfn.XLOOKUP(OrderDetails[[#This Row],[ProductID]],Product!A:A,Product!B:B,"Not Found")</f>
        <v>Boston Crab Meat</v>
      </c>
    </row>
    <row r="145" spans="1:11">
      <c r="A145" s="2">
        <v>10301</v>
      </c>
      <c r="B145" s="2">
        <v>56</v>
      </c>
      <c r="C145" s="2">
        <v>30.4</v>
      </c>
      <c r="D145" s="2">
        <v>20</v>
      </c>
      <c r="E145" s="4">
        <v>0</v>
      </c>
      <c r="F145" s="1" t="str">
        <f>_xlfn.XLOOKUP(A145,Orders!A:A,Orders!B:B,"not found")</f>
        <v>WANDK</v>
      </c>
      <c r="G145" s="13">
        <f>_xlfn.XLOOKUP(OrderDetails[[#This Row],[OrderID]],Orders!A:A,Orders!C:C,"Not Found")</f>
        <v>35317</v>
      </c>
      <c r="H145" s="16">
        <f>(OrderDetails[[#This Row],[UnitPrice]]*OrderDetails[[#This Row],[Quantity]])*(1-OrderDetails[[#This Row],[Discount]])</f>
        <v>608</v>
      </c>
      <c r="I145" s="15" t="str">
        <f>_xlfn.XLOOKUP(OrderDetails[[#This Row],[ProductID]],Product!A:A,Product!G:G,"Not Found")</f>
        <v>Grains/Cereals</v>
      </c>
      <c r="J145" s="15" t="str">
        <f>LOOKUP(MONTH(G145),{1,4,7,10},{"Winter","Spring","Summer","Autumn"})</f>
        <v>Summer</v>
      </c>
      <c r="K145" s="15" t="str">
        <f>_xlfn.XLOOKUP(OrderDetails[[#This Row],[ProductID]],Product!A:A,Product!B:B,"Not Found")</f>
        <v>Gnocchi di nonna Alice</v>
      </c>
    </row>
    <row r="146" spans="1:11">
      <c r="A146" s="1">
        <v>10302</v>
      </c>
      <c r="B146" s="1">
        <v>17</v>
      </c>
      <c r="C146" s="1">
        <v>31.2</v>
      </c>
      <c r="D146" s="1">
        <v>40</v>
      </c>
      <c r="E146" s="3">
        <v>0</v>
      </c>
      <c r="F146" s="1" t="str">
        <f>_xlfn.XLOOKUP(A146,Orders!A:A,Orders!B:B,"not found")</f>
        <v>SUPRD</v>
      </c>
      <c r="G146" s="13">
        <f>_xlfn.XLOOKUP(OrderDetails[[#This Row],[OrderID]],Orders!A:A,Orders!C:C,"Not Found")</f>
        <v>35318</v>
      </c>
      <c r="H146" s="16">
        <f>(OrderDetails[[#This Row],[UnitPrice]]*OrderDetails[[#This Row],[Quantity]])*(1-OrderDetails[[#This Row],[Discount]])</f>
        <v>1248</v>
      </c>
      <c r="I146" s="15" t="str">
        <f>_xlfn.XLOOKUP(OrderDetails[[#This Row],[ProductID]],Product!A:A,Product!G:G,"Not Found")</f>
        <v>Meat/Poultry</v>
      </c>
      <c r="J146" s="15" t="str">
        <f>LOOKUP(MONTH(G146),{1,4,7,10},{"Winter","Spring","Summer","Autumn"})</f>
        <v>Summer</v>
      </c>
      <c r="K146" s="15" t="str">
        <f>_xlfn.XLOOKUP(OrderDetails[[#This Row],[ProductID]],Product!A:A,Product!B:B,"Not Found")</f>
        <v>Alice Mutton</v>
      </c>
    </row>
    <row r="147" spans="1:11">
      <c r="A147" s="2">
        <v>10302</v>
      </c>
      <c r="B147" s="2">
        <v>28</v>
      </c>
      <c r="C147" s="2">
        <v>36.4</v>
      </c>
      <c r="D147" s="2">
        <v>28</v>
      </c>
      <c r="E147" s="4">
        <v>0</v>
      </c>
      <c r="F147" s="1" t="str">
        <f>_xlfn.XLOOKUP(A147,Orders!A:A,Orders!B:B,"not found")</f>
        <v>SUPRD</v>
      </c>
      <c r="G147" s="13">
        <f>_xlfn.XLOOKUP(OrderDetails[[#This Row],[OrderID]],Orders!A:A,Orders!C:C,"Not Found")</f>
        <v>35318</v>
      </c>
      <c r="H147" s="16">
        <f>(OrderDetails[[#This Row],[UnitPrice]]*OrderDetails[[#This Row],[Quantity]])*(1-OrderDetails[[#This Row],[Discount]])</f>
        <v>1019.1999999999999</v>
      </c>
      <c r="I147" s="15" t="str">
        <f>_xlfn.XLOOKUP(OrderDetails[[#This Row],[ProductID]],Product!A:A,Product!G:G,"Not Found")</f>
        <v>Produce</v>
      </c>
      <c r="J147" s="15" t="str">
        <f>LOOKUP(MONTH(G147),{1,4,7,10},{"Winter","Spring","Summer","Autumn"})</f>
        <v>Summer</v>
      </c>
      <c r="K147" s="15" t="str">
        <f>_xlfn.XLOOKUP(OrderDetails[[#This Row],[ProductID]],Product!A:A,Product!B:B,"Not Found")</f>
        <v>Rössle Sauerkraut</v>
      </c>
    </row>
    <row r="148" spans="1:11">
      <c r="A148" s="1">
        <v>10302</v>
      </c>
      <c r="B148" s="1">
        <v>43</v>
      </c>
      <c r="C148" s="1">
        <v>36.799999999999997</v>
      </c>
      <c r="D148" s="1">
        <v>12</v>
      </c>
      <c r="E148" s="3">
        <v>0</v>
      </c>
      <c r="F148" s="1" t="str">
        <f>_xlfn.XLOOKUP(A148,Orders!A:A,Orders!B:B,"not found")</f>
        <v>SUPRD</v>
      </c>
      <c r="G148" s="13">
        <f>_xlfn.XLOOKUP(OrderDetails[[#This Row],[OrderID]],Orders!A:A,Orders!C:C,"Not Found")</f>
        <v>35318</v>
      </c>
      <c r="H148" s="16">
        <f>(OrderDetails[[#This Row],[UnitPrice]]*OrderDetails[[#This Row],[Quantity]])*(1-OrderDetails[[#This Row],[Discount]])</f>
        <v>441.59999999999997</v>
      </c>
      <c r="I148" s="15" t="str">
        <f>_xlfn.XLOOKUP(OrderDetails[[#This Row],[ProductID]],Product!A:A,Product!G:G,"Not Found")</f>
        <v>Beverages</v>
      </c>
      <c r="J148" s="15" t="str">
        <f>LOOKUP(MONTH(G148),{1,4,7,10},{"Winter","Spring","Summer","Autumn"})</f>
        <v>Summer</v>
      </c>
      <c r="K148" s="15" t="str">
        <f>_xlfn.XLOOKUP(OrderDetails[[#This Row],[ProductID]],Product!A:A,Product!B:B,"Not Found")</f>
        <v>Ipoh Coffee</v>
      </c>
    </row>
    <row r="149" spans="1:11">
      <c r="A149" s="2">
        <v>10303</v>
      </c>
      <c r="B149" s="2">
        <v>40</v>
      </c>
      <c r="C149" s="2">
        <v>14.7</v>
      </c>
      <c r="D149" s="2">
        <v>40</v>
      </c>
      <c r="E149" s="4">
        <v>0.10000000149011612</v>
      </c>
      <c r="F149" s="1" t="str">
        <f>_xlfn.XLOOKUP(A149,Orders!A:A,Orders!B:B,"not found")</f>
        <v>GODOS</v>
      </c>
      <c r="G149" s="13">
        <f>_xlfn.XLOOKUP(OrderDetails[[#This Row],[OrderID]],Orders!A:A,Orders!C:C,"Not Found")</f>
        <v>35319</v>
      </c>
      <c r="H149" s="16">
        <f>(OrderDetails[[#This Row],[UnitPrice]]*OrderDetails[[#This Row],[Quantity]])*(1-OrderDetails[[#This Row],[Discount]])</f>
        <v>529.19999912381172</v>
      </c>
      <c r="I149" s="15" t="str">
        <f>_xlfn.XLOOKUP(OrderDetails[[#This Row],[ProductID]],Product!A:A,Product!G:G,"Not Found")</f>
        <v>Seafood</v>
      </c>
      <c r="J149" s="15" t="str">
        <f>LOOKUP(MONTH(G149),{1,4,7,10},{"Winter","Spring","Summer","Autumn"})</f>
        <v>Summer</v>
      </c>
      <c r="K149" s="15" t="str">
        <f>_xlfn.XLOOKUP(OrderDetails[[#This Row],[ProductID]],Product!A:A,Product!B:B,"Not Found")</f>
        <v>Boston Crab Meat</v>
      </c>
    </row>
    <row r="150" spans="1:11">
      <c r="A150" s="1">
        <v>10303</v>
      </c>
      <c r="B150" s="1">
        <v>65</v>
      </c>
      <c r="C150" s="1">
        <v>16.8</v>
      </c>
      <c r="D150" s="1">
        <v>30</v>
      </c>
      <c r="E150" s="3">
        <v>0.10000000149011612</v>
      </c>
      <c r="F150" s="1" t="str">
        <f>_xlfn.XLOOKUP(A150,Orders!A:A,Orders!B:B,"not found")</f>
        <v>GODOS</v>
      </c>
      <c r="G150" s="13">
        <f>_xlfn.XLOOKUP(OrderDetails[[#This Row],[OrderID]],Orders!A:A,Orders!C:C,"Not Found")</f>
        <v>35319</v>
      </c>
      <c r="H150" s="16">
        <f>(OrderDetails[[#This Row],[UnitPrice]]*OrderDetails[[#This Row],[Quantity]])*(1-OrderDetails[[#This Row],[Discount]])</f>
        <v>453.59999924898148</v>
      </c>
      <c r="I150" s="15" t="str">
        <f>_xlfn.XLOOKUP(OrderDetails[[#This Row],[ProductID]],Product!A:A,Product!G:G,"Not Found")</f>
        <v>Condiments</v>
      </c>
      <c r="J150" s="15" t="str">
        <f>LOOKUP(MONTH(G150),{1,4,7,10},{"Winter","Spring","Summer","Autumn"})</f>
        <v>Summer</v>
      </c>
      <c r="K150" s="15" t="str">
        <f>_xlfn.XLOOKUP(OrderDetails[[#This Row],[ProductID]],Product!A:A,Product!B:B,"Not Found")</f>
        <v>Louisiana Fiery Hot Pepper Sauce</v>
      </c>
    </row>
    <row r="151" spans="1:11">
      <c r="A151" s="2">
        <v>10303</v>
      </c>
      <c r="B151" s="2">
        <v>68</v>
      </c>
      <c r="C151" s="2">
        <v>10</v>
      </c>
      <c r="D151" s="2">
        <v>15</v>
      </c>
      <c r="E151" s="4">
        <v>0.10000000149011612</v>
      </c>
      <c r="F151" s="1" t="str">
        <f>_xlfn.XLOOKUP(A151,Orders!A:A,Orders!B:B,"not found")</f>
        <v>GODOS</v>
      </c>
      <c r="G151" s="13">
        <f>_xlfn.XLOOKUP(OrderDetails[[#This Row],[OrderID]],Orders!A:A,Orders!C:C,"Not Found")</f>
        <v>35319</v>
      </c>
      <c r="H151" s="16">
        <f>(OrderDetails[[#This Row],[UnitPrice]]*OrderDetails[[#This Row],[Quantity]])*(1-OrderDetails[[#This Row],[Discount]])</f>
        <v>134.99999977648258</v>
      </c>
      <c r="I151" s="15" t="str">
        <f>_xlfn.XLOOKUP(OrderDetails[[#This Row],[ProductID]],Product!A:A,Product!G:G,"Not Found")</f>
        <v>Confections</v>
      </c>
      <c r="J151" s="15" t="str">
        <f>LOOKUP(MONTH(G151),{1,4,7,10},{"Winter","Spring","Summer","Autumn"})</f>
        <v>Summer</v>
      </c>
      <c r="K151" s="15" t="str">
        <f>_xlfn.XLOOKUP(OrderDetails[[#This Row],[ProductID]],Product!A:A,Product!B:B,"Not Found")</f>
        <v>Scottish Longbreads</v>
      </c>
    </row>
    <row r="152" spans="1:11">
      <c r="A152" s="1">
        <v>10304</v>
      </c>
      <c r="B152" s="1">
        <v>49</v>
      </c>
      <c r="C152" s="1">
        <v>16</v>
      </c>
      <c r="D152" s="1">
        <v>30</v>
      </c>
      <c r="E152" s="3">
        <v>0</v>
      </c>
      <c r="F152" s="1" t="str">
        <f>_xlfn.XLOOKUP(A152,Orders!A:A,Orders!B:B,"not found")</f>
        <v>TORTU</v>
      </c>
      <c r="G152" s="13">
        <f>_xlfn.XLOOKUP(OrderDetails[[#This Row],[OrderID]],Orders!A:A,Orders!C:C,"Not Found")</f>
        <v>35320</v>
      </c>
      <c r="H152" s="16">
        <f>(OrderDetails[[#This Row],[UnitPrice]]*OrderDetails[[#This Row],[Quantity]])*(1-OrderDetails[[#This Row],[Discount]])</f>
        <v>480</v>
      </c>
      <c r="I152" s="15" t="str">
        <f>_xlfn.XLOOKUP(OrderDetails[[#This Row],[ProductID]],Product!A:A,Product!G:G,"Not Found")</f>
        <v>Confections</v>
      </c>
      <c r="J152" s="15" t="str">
        <f>LOOKUP(MONTH(G152),{1,4,7,10},{"Winter","Spring","Summer","Autumn"})</f>
        <v>Summer</v>
      </c>
      <c r="K152" s="15" t="str">
        <f>_xlfn.XLOOKUP(OrderDetails[[#This Row],[ProductID]],Product!A:A,Product!B:B,"Not Found")</f>
        <v>Maxilaku</v>
      </c>
    </row>
    <row r="153" spans="1:11">
      <c r="A153" s="2">
        <v>10304</v>
      </c>
      <c r="B153" s="2">
        <v>59</v>
      </c>
      <c r="C153" s="2">
        <v>44</v>
      </c>
      <c r="D153" s="2">
        <v>10</v>
      </c>
      <c r="E153" s="4">
        <v>0</v>
      </c>
      <c r="F153" s="1" t="str">
        <f>_xlfn.XLOOKUP(A153,Orders!A:A,Orders!B:B,"not found")</f>
        <v>TORTU</v>
      </c>
      <c r="G153" s="13">
        <f>_xlfn.XLOOKUP(OrderDetails[[#This Row],[OrderID]],Orders!A:A,Orders!C:C,"Not Found")</f>
        <v>35320</v>
      </c>
      <c r="H153" s="16">
        <f>(OrderDetails[[#This Row],[UnitPrice]]*OrderDetails[[#This Row],[Quantity]])*(1-OrderDetails[[#This Row],[Discount]])</f>
        <v>440</v>
      </c>
      <c r="I153" s="15" t="str">
        <f>_xlfn.XLOOKUP(OrderDetails[[#This Row],[ProductID]],Product!A:A,Product!G:G,"Not Found")</f>
        <v>Dairy Products</v>
      </c>
      <c r="J153" s="15" t="str">
        <f>LOOKUP(MONTH(G153),{1,4,7,10},{"Winter","Spring","Summer","Autumn"})</f>
        <v>Summer</v>
      </c>
      <c r="K153" s="15" t="str">
        <f>_xlfn.XLOOKUP(OrderDetails[[#This Row],[ProductID]],Product!A:A,Product!B:B,"Not Found")</f>
        <v>Raclette Courdavault</v>
      </c>
    </row>
    <row r="154" spans="1:11">
      <c r="A154" s="1">
        <v>10304</v>
      </c>
      <c r="B154" s="1">
        <v>71</v>
      </c>
      <c r="C154" s="1">
        <v>17.2</v>
      </c>
      <c r="D154" s="1">
        <v>2</v>
      </c>
      <c r="E154" s="3">
        <v>0</v>
      </c>
      <c r="F154" s="1" t="str">
        <f>_xlfn.XLOOKUP(A154,Orders!A:A,Orders!B:B,"not found")</f>
        <v>TORTU</v>
      </c>
      <c r="G154" s="13">
        <f>_xlfn.XLOOKUP(OrderDetails[[#This Row],[OrderID]],Orders!A:A,Orders!C:C,"Not Found")</f>
        <v>35320</v>
      </c>
      <c r="H154" s="16">
        <f>(OrderDetails[[#This Row],[UnitPrice]]*OrderDetails[[#This Row],[Quantity]])*(1-OrderDetails[[#This Row],[Discount]])</f>
        <v>34.4</v>
      </c>
      <c r="I154" s="15" t="str">
        <f>_xlfn.XLOOKUP(OrderDetails[[#This Row],[ProductID]],Product!A:A,Product!G:G,"Not Found")</f>
        <v>Dairy Products</v>
      </c>
      <c r="J154" s="15" t="str">
        <f>LOOKUP(MONTH(G154),{1,4,7,10},{"Winter","Spring","Summer","Autumn"})</f>
        <v>Summer</v>
      </c>
      <c r="K154" s="15" t="str">
        <f>_xlfn.XLOOKUP(OrderDetails[[#This Row],[ProductID]],Product!A:A,Product!B:B,"Not Found")</f>
        <v>Flotemysost</v>
      </c>
    </row>
    <row r="155" spans="1:11">
      <c r="A155" s="2">
        <v>10305</v>
      </c>
      <c r="B155" s="2">
        <v>18</v>
      </c>
      <c r="C155" s="2">
        <v>50</v>
      </c>
      <c r="D155" s="2">
        <v>25</v>
      </c>
      <c r="E155" s="4">
        <v>0.10000000149011612</v>
      </c>
      <c r="F155" s="1" t="str">
        <f>_xlfn.XLOOKUP(A155,Orders!A:A,Orders!B:B,"not found")</f>
        <v>OLDWO</v>
      </c>
      <c r="G155" s="13">
        <f>_xlfn.XLOOKUP(OrderDetails[[#This Row],[OrderID]],Orders!A:A,Orders!C:C,"Not Found")</f>
        <v>35321</v>
      </c>
      <c r="H155" s="16">
        <f>(OrderDetails[[#This Row],[UnitPrice]]*OrderDetails[[#This Row],[Quantity]])*(1-OrderDetails[[#This Row],[Discount]])</f>
        <v>1124.9999981373549</v>
      </c>
      <c r="I155" s="15" t="str">
        <f>_xlfn.XLOOKUP(OrderDetails[[#This Row],[ProductID]],Product!A:A,Product!G:G,"Not Found")</f>
        <v>Seafood</v>
      </c>
      <c r="J155" s="15" t="str">
        <f>LOOKUP(MONTH(G155),{1,4,7,10},{"Winter","Spring","Summer","Autumn"})</f>
        <v>Summer</v>
      </c>
      <c r="K155" s="15" t="str">
        <f>_xlfn.XLOOKUP(OrderDetails[[#This Row],[ProductID]],Product!A:A,Product!B:B,"Not Found")</f>
        <v>Carnarvon Tigers</v>
      </c>
    </row>
    <row r="156" spans="1:11">
      <c r="A156" s="1">
        <v>10305</v>
      </c>
      <c r="B156" s="1">
        <v>29</v>
      </c>
      <c r="C156" s="1">
        <v>99</v>
      </c>
      <c r="D156" s="1">
        <v>25</v>
      </c>
      <c r="E156" s="3">
        <v>0.10000000149011612</v>
      </c>
      <c r="F156" s="1" t="str">
        <f>_xlfn.XLOOKUP(A156,Orders!A:A,Orders!B:B,"not found")</f>
        <v>OLDWO</v>
      </c>
      <c r="G156" s="13">
        <f>_xlfn.XLOOKUP(OrderDetails[[#This Row],[OrderID]],Orders!A:A,Orders!C:C,"Not Found")</f>
        <v>35321</v>
      </c>
      <c r="H156" s="16">
        <f>(OrderDetails[[#This Row],[UnitPrice]]*OrderDetails[[#This Row],[Quantity]])*(1-OrderDetails[[#This Row],[Discount]])</f>
        <v>2227.4999963119626</v>
      </c>
      <c r="I156" s="15" t="str">
        <f>_xlfn.XLOOKUP(OrderDetails[[#This Row],[ProductID]],Product!A:A,Product!G:G,"Not Found")</f>
        <v>Meat/Poultry</v>
      </c>
      <c r="J156" s="15" t="str">
        <f>LOOKUP(MONTH(G156),{1,4,7,10},{"Winter","Spring","Summer","Autumn"})</f>
        <v>Summer</v>
      </c>
      <c r="K156" s="15" t="str">
        <f>_xlfn.XLOOKUP(OrderDetails[[#This Row],[ProductID]],Product!A:A,Product!B:B,"Not Found")</f>
        <v>Thüringer Rostbratwurst</v>
      </c>
    </row>
    <row r="157" spans="1:11">
      <c r="A157" s="2">
        <v>10305</v>
      </c>
      <c r="B157" s="2">
        <v>39</v>
      </c>
      <c r="C157" s="2">
        <v>14.4</v>
      </c>
      <c r="D157" s="2">
        <v>30</v>
      </c>
      <c r="E157" s="4">
        <v>0.10000000149011612</v>
      </c>
      <c r="F157" s="1" t="str">
        <f>_xlfn.XLOOKUP(A157,Orders!A:A,Orders!B:B,"not found")</f>
        <v>OLDWO</v>
      </c>
      <c r="G157" s="13">
        <f>_xlfn.XLOOKUP(OrderDetails[[#This Row],[OrderID]],Orders!A:A,Orders!C:C,"Not Found")</f>
        <v>35321</v>
      </c>
      <c r="H157" s="16">
        <f>(OrderDetails[[#This Row],[UnitPrice]]*OrderDetails[[#This Row],[Quantity]])*(1-OrderDetails[[#This Row],[Discount]])</f>
        <v>388.79999935626984</v>
      </c>
      <c r="I157" s="15" t="str">
        <f>_xlfn.XLOOKUP(OrderDetails[[#This Row],[ProductID]],Product!A:A,Product!G:G,"Not Found")</f>
        <v>Beverages</v>
      </c>
      <c r="J157" s="15" t="str">
        <f>LOOKUP(MONTH(G157),{1,4,7,10},{"Winter","Spring","Summer","Autumn"})</f>
        <v>Summer</v>
      </c>
      <c r="K157" s="15" t="str">
        <f>_xlfn.XLOOKUP(OrderDetails[[#This Row],[ProductID]],Product!A:A,Product!B:B,"Not Found")</f>
        <v>Chartreuse verte</v>
      </c>
    </row>
    <row r="158" spans="1:11">
      <c r="A158" s="1">
        <v>10306</v>
      </c>
      <c r="B158" s="1">
        <v>30</v>
      </c>
      <c r="C158" s="1">
        <v>20.7</v>
      </c>
      <c r="D158" s="1">
        <v>10</v>
      </c>
      <c r="E158" s="3">
        <v>0</v>
      </c>
      <c r="F158" s="1" t="str">
        <f>_xlfn.XLOOKUP(A158,Orders!A:A,Orders!B:B,"not found")</f>
        <v>ROMEY</v>
      </c>
      <c r="G158" s="13">
        <f>_xlfn.XLOOKUP(OrderDetails[[#This Row],[OrderID]],Orders!A:A,Orders!C:C,"Not Found")</f>
        <v>35324</v>
      </c>
      <c r="H158" s="16">
        <f>(OrderDetails[[#This Row],[UnitPrice]]*OrderDetails[[#This Row],[Quantity]])*(1-OrderDetails[[#This Row],[Discount]])</f>
        <v>207</v>
      </c>
      <c r="I158" s="15" t="str">
        <f>_xlfn.XLOOKUP(OrderDetails[[#This Row],[ProductID]],Product!A:A,Product!G:G,"Not Found")</f>
        <v>Seafood</v>
      </c>
      <c r="J158" s="15" t="str">
        <f>LOOKUP(MONTH(G158),{1,4,7,10},{"Winter","Spring","Summer","Autumn"})</f>
        <v>Summer</v>
      </c>
      <c r="K158" s="15" t="str">
        <f>_xlfn.XLOOKUP(OrderDetails[[#This Row],[ProductID]],Product!A:A,Product!B:B,"Not Found")</f>
        <v>Nord-Ost Matjeshering</v>
      </c>
    </row>
    <row r="159" spans="1:11">
      <c r="A159" s="2">
        <v>10306</v>
      </c>
      <c r="B159" s="2">
        <v>53</v>
      </c>
      <c r="C159" s="2">
        <v>26.2</v>
      </c>
      <c r="D159" s="2">
        <v>10</v>
      </c>
      <c r="E159" s="4">
        <v>0</v>
      </c>
      <c r="F159" s="1" t="str">
        <f>_xlfn.XLOOKUP(A159,Orders!A:A,Orders!B:B,"not found")</f>
        <v>ROMEY</v>
      </c>
      <c r="G159" s="13">
        <f>_xlfn.XLOOKUP(OrderDetails[[#This Row],[OrderID]],Orders!A:A,Orders!C:C,"Not Found")</f>
        <v>35324</v>
      </c>
      <c r="H159" s="16">
        <f>(OrderDetails[[#This Row],[UnitPrice]]*OrderDetails[[#This Row],[Quantity]])*(1-OrderDetails[[#This Row],[Discount]])</f>
        <v>262</v>
      </c>
      <c r="I159" s="15" t="str">
        <f>_xlfn.XLOOKUP(OrderDetails[[#This Row],[ProductID]],Product!A:A,Product!G:G,"Not Found")</f>
        <v>Meat/Poultry</v>
      </c>
      <c r="J159" s="15" t="str">
        <f>LOOKUP(MONTH(G159),{1,4,7,10},{"Winter","Spring","Summer","Autumn"})</f>
        <v>Summer</v>
      </c>
      <c r="K159" s="15" t="str">
        <f>_xlfn.XLOOKUP(OrderDetails[[#This Row],[ProductID]],Product!A:A,Product!B:B,"Not Found")</f>
        <v>Perth Pasties</v>
      </c>
    </row>
    <row r="160" spans="1:11">
      <c r="A160" s="1">
        <v>10306</v>
      </c>
      <c r="B160" s="1">
        <v>54</v>
      </c>
      <c r="C160" s="1">
        <v>5.9</v>
      </c>
      <c r="D160" s="1">
        <v>5</v>
      </c>
      <c r="E160" s="3">
        <v>0</v>
      </c>
      <c r="F160" s="1" t="str">
        <f>_xlfn.XLOOKUP(A160,Orders!A:A,Orders!B:B,"not found")</f>
        <v>ROMEY</v>
      </c>
      <c r="G160" s="13">
        <f>_xlfn.XLOOKUP(OrderDetails[[#This Row],[OrderID]],Orders!A:A,Orders!C:C,"Not Found")</f>
        <v>35324</v>
      </c>
      <c r="H160" s="16">
        <f>(OrderDetails[[#This Row],[UnitPrice]]*OrderDetails[[#This Row],[Quantity]])*(1-OrderDetails[[#This Row],[Discount]])</f>
        <v>29.5</v>
      </c>
      <c r="I160" s="15" t="str">
        <f>_xlfn.XLOOKUP(OrderDetails[[#This Row],[ProductID]],Product!A:A,Product!G:G,"Not Found")</f>
        <v>Meat/Poultry</v>
      </c>
      <c r="J160" s="15" t="str">
        <f>LOOKUP(MONTH(G160),{1,4,7,10},{"Winter","Spring","Summer","Autumn"})</f>
        <v>Summer</v>
      </c>
      <c r="K160" s="15" t="str">
        <f>_xlfn.XLOOKUP(OrderDetails[[#This Row],[ProductID]],Product!A:A,Product!B:B,"Not Found")</f>
        <v>Tourtière</v>
      </c>
    </row>
    <row r="161" spans="1:11">
      <c r="A161" s="2">
        <v>10307</v>
      </c>
      <c r="B161" s="2">
        <v>62</v>
      </c>
      <c r="C161" s="2">
        <v>39.4</v>
      </c>
      <c r="D161" s="2">
        <v>10</v>
      </c>
      <c r="E161" s="4">
        <v>0</v>
      </c>
      <c r="F161" s="1" t="str">
        <f>_xlfn.XLOOKUP(A161,Orders!A:A,Orders!B:B,"not found")</f>
        <v>LONEP</v>
      </c>
      <c r="G161" s="13">
        <f>_xlfn.XLOOKUP(OrderDetails[[#This Row],[OrderID]],Orders!A:A,Orders!C:C,"Not Found")</f>
        <v>35325</v>
      </c>
      <c r="H161" s="16">
        <f>(OrderDetails[[#This Row],[UnitPrice]]*OrderDetails[[#This Row],[Quantity]])*(1-OrderDetails[[#This Row],[Discount]])</f>
        <v>394</v>
      </c>
      <c r="I161" s="15" t="str">
        <f>_xlfn.XLOOKUP(OrderDetails[[#This Row],[ProductID]],Product!A:A,Product!G:G,"Not Found")</f>
        <v>Confections</v>
      </c>
      <c r="J161" s="15" t="str">
        <f>LOOKUP(MONTH(G161),{1,4,7,10},{"Winter","Spring","Summer","Autumn"})</f>
        <v>Summer</v>
      </c>
      <c r="K161" s="15" t="str">
        <f>_xlfn.XLOOKUP(OrderDetails[[#This Row],[ProductID]],Product!A:A,Product!B:B,"Not Found")</f>
        <v>Tarte au sucre</v>
      </c>
    </row>
    <row r="162" spans="1:11">
      <c r="A162" s="1">
        <v>10307</v>
      </c>
      <c r="B162" s="1">
        <v>68</v>
      </c>
      <c r="C162" s="1">
        <v>10</v>
      </c>
      <c r="D162" s="1">
        <v>3</v>
      </c>
      <c r="E162" s="3">
        <v>0</v>
      </c>
      <c r="F162" s="1" t="str">
        <f>_xlfn.XLOOKUP(A162,Orders!A:A,Orders!B:B,"not found")</f>
        <v>LONEP</v>
      </c>
      <c r="G162" s="13">
        <f>_xlfn.XLOOKUP(OrderDetails[[#This Row],[OrderID]],Orders!A:A,Orders!C:C,"Not Found")</f>
        <v>35325</v>
      </c>
      <c r="H162" s="16">
        <f>(OrderDetails[[#This Row],[UnitPrice]]*OrderDetails[[#This Row],[Quantity]])*(1-OrderDetails[[#This Row],[Discount]])</f>
        <v>30</v>
      </c>
      <c r="I162" s="15" t="str">
        <f>_xlfn.XLOOKUP(OrderDetails[[#This Row],[ProductID]],Product!A:A,Product!G:G,"Not Found")</f>
        <v>Confections</v>
      </c>
      <c r="J162" s="15" t="str">
        <f>LOOKUP(MONTH(G162),{1,4,7,10},{"Winter","Spring","Summer","Autumn"})</f>
        <v>Summer</v>
      </c>
      <c r="K162" s="15" t="str">
        <f>_xlfn.XLOOKUP(OrderDetails[[#This Row],[ProductID]],Product!A:A,Product!B:B,"Not Found")</f>
        <v>Scottish Longbreads</v>
      </c>
    </row>
    <row r="163" spans="1:11">
      <c r="A163" s="2">
        <v>10308</v>
      </c>
      <c r="B163" s="2">
        <v>69</v>
      </c>
      <c r="C163" s="2">
        <v>28.8</v>
      </c>
      <c r="D163" s="2">
        <v>1</v>
      </c>
      <c r="E163" s="4">
        <v>0</v>
      </c>
      <c r="F163" s="1" t="str">
        <f>_xlfn.XLOOKUP(A163,Orders!A:A,Orders!B:B,"not found")</f>
        <v>ANATR</v>
      </c>
      <c r="G163" s="13">
        <f>_xlfn.XLOOKUP(OrderDetails[[#This Row],[OrderID]],Orders!A:A,Orders!C:C,"Not Found")</f>
        <v>35326</v>
      </c>
      <c r="H163" s="16">
        <f>(OrderDetails[[#This Row],[UnitPrice]]*OrderDetails[[#This Row],[Quantity]])*(1-OrderDetails[[#This Row],[Discount]])</f>
        <v>28.8</v>
      </c>
      <c r="I163" s="15" t="str">
        <f>_xlfn.XLOOKUP(OrderDetails[[#This Row],[ProductID]],Product!A:A,Product!G:G,"Not Found")</f>
        <v>Dairy Products</v>
      </c>
      <c r="J163" s="15" t="str">
        <f>LOOKUP(MONTH(G163),{1,4,7,10},{"Winter","Spring","Summer","Autumn"})</f>
        <v>Summer</v>
      </c>
      <c r="K163" s="15" t="str">
        <f>_xlfn.XLOOKUP(OrderDetails[[#This Row],[ProductID]],Product!A:A,Product!B:B,"Not Found")</f>
        <v>Gudbrandsdalsost</v>
      </c>
    </row>
    <row r="164" spans="1:11">
      <c r="A164" s="1">
        <v>10308</v>
      </c>
      <c r="B164" s="1">
        <v>70</v>
      </c>
      <c r="C164" s="1">
        <v>12</v>
      </c>
      <c r="D164" s="1">
        <v>5</v>
      </c>
      <c r="E164" s="3">
        <v>0</v>
      </c>
      <c r="F164" s="1" t="str">
        <f>_xlfn.XLOOKUP(A164,Orders!A:A,Orders!B:B,"not found")</f>
        <v>ANATR</v>
      </c>
      <c r="G164" s="13">
        <f>_xlfn.XLOOKUP(OrderDetails[[#This Row],[OrderID]],Orders!A:A,Orders!C:C,"Not Found")</f>
        <v>35326</v>
      </c>
      <c r="H164" s="16">
        <f>(OrderDetails[[#This Row],[UnitPrice]]*OrderDetails[[#This Row],[Quantity]])*(1-OrderDetails[[#This Row],[Discount]])</f>
        <v>60</v>
      </c>
      <c r="I164" s="15" t="str">
        <f>_xlfn.XLOOKUP(OrderDetails[[#This Row],[ProductID]],Product!A:A,Product!G:G,"Not Found")</f>
        <v>Beverages</v>
      </c>
      <c r="J164" s="15" t="str">
        <f>LOOKUP(MONTH(G164),{1,4,7,10},{"Winter","Spring","Summer","Autumn"})</f>
        <v>Summer</v>
      </c>
      <c r="K164" s="15" t="str">
        <f>_xlfn.XLOOKUP(OrderDetails[[#This Row],[ProductID]],Product!A:A,Product!B:B,"Not Found")</f>
        <v>Outback Lager</v>
      </c>
    </row>
    <row r="165" spans="1:11">
      <c r="A165" s="2">
        <v>10309</v>
      </c>
      <c r="B165" s="2">
        <v>4</v>
      </c>
      <c r="C165" s="2">
        <v>17.600000000000001</v>
      </c>
      <c r="D165" s="2">
        <v>20</v>
      </c>
      <c r="E165" s="4">
        <v>0</v>
      </c>
      <c r="F165" s="1" t="str">
        <f>_xlfn.XLOOKUP(A165,Orders!A:A,Orders!B:B,"not found")</f>
        <v>HUNGO</v>
      </c>
      <c r="G165" s="13">
        <f>_xlfn.XLOOKUP(OrderDetails[[#This Row],[OrderID]],Orders!A:A,Orders!C:C,"Not Found")</f>
        <v>35327</v>
      </c>
      <c r="H165" s="16">
        <f>(OrderDetails[[#This Row],[UnitPrice]]*OrderDetails[[#This Row],[Quantity]])*(1-OrderDetails[[#This Row],[Discount]])</f>
        <v>352</v>
      </c>
      <c r="I165" s="15" t="str">
        <f>_xlfn.XLOOKUP(OrderDetails[[#This Row],[ProductID]],Product!A:A,Product!G:G,"Not Found")</f>
        <v>Condiments</v>
      </c>
      <c r="J165" s="15" t="str">
        <f>LOOKUP(MONTH(G165),{1,4,7,10},{"Winter","Spring","Summer","Autumn"})</f>
        <v>Summer</v>
      </c>
      <c r="K165" s="15" t="str">
        <f>_xlfn.XLOOKUP(OrderDetails[[#This Row],[ProductID]],Product!A:A,Product!B:B,"Not Found")</f>
        <v>Chef Anton's Cajun Seasoning</v>
      </c>
    </row>
    <row r="166" spans="1:11">
      <c r="A166" s="1">
        <v>10309</v>
      </c>
      <c r="B166" s="1">
        <v>6</v>
      </c>
      <c r="C166" s="1">
        <v>20</v>
      </c>
      <c r="D166" s="1">
        <v>30</v>
      </c>
      <c r="E166" s="3">
        <v>0</v>
      </c>
      <c r="F166" s="1" t="str">
        <f>_xlfn.XLOOKUP(A166,Orders!A:A,Orders!B:B,"not found")</f>
        <v>HUNGO</v>
      </c>
      <c r="G166" s="13">
        <f>_xlfn.XLOOKUP(OrderDetails[[#This Row],[OrderID]],Orders!A:A,Orders!C:C,"Not Found")</f>
        <v>35327</v>
      </c>
      <c r="H166" s="16">
        <f>(OrderDetails[[#This Row],[UnitPrice]]*OrderDetails[[#This Row],[Quantity]])*(1-OrderDetails[[#This Row],[Discount]])</f>
        <v>600</v>
      </c>
      <c r="I166" s="15" t="str">
        <f>_xlfn.XLOOKUP(OrderDetails[[#This Row],[ProductID]],Product!A:A,Product!G:G,"Not Found")</f>
        <v>Condiments</v>
      </c>
      <c r="J166" s="15" t="str">
        <f>LOOKUP(MONTH(G166),{1,4,7,10},{"Winter","Spring","Summer","Autumn"})</f>
        <v>Summer</v>
      </c>
      <c r="K166" s="15" t="str">
        <f>_xlfn.XLOOKUP(OrderDetails[[#This Row],[ProductID]],Product!A:A,Product!B:B,"Not Found")</f>
        <v>Grandma's Boysenberry Spread</v>
      </c>
    </row>
    <row r="167" spans="1:11">
      <c r="A167" s="2">
        <v>10309</v>
      </c>
      <c r="B167" s="2">
        <v>42</v>
      </c>
      <c r="C167" s="2">
        <v>11.2</v>
      </c>
      <c r="D167" s="2">
        <v>2</v>
      </c>
      <c r="E167" s="4">
        <v>0</v>
      </c>
      <c r="F167" s="1" t="str">
        <f>_xlfn.XLOOKUP(A167,Orders!A:A,Orders!B:B,"not found")</f>
        <v>HUNGO</v>
      </c>
      <c r="G167" s="13">
        <f>_xlfn.XLOOKUP(OrderDetails[[#This Row],[OrderID]],Orders!A:A,Orders!C:C,"Not Found")</f>
        <v>35327</v>
      </c>
      <c r="H167" s="16">
        <f>(OrderDetails[[#This Row],[UnitPrice]]*OrderDetails[[#This Row],[Quantity]])*(1-OrderDetails[[#This Row],[Discount]])</f>
        <v>22.4</v>
      </c>
      <c r="I167" s="15" t="str">
        <f>_xlfn.XLOOKUP(OrderDetails[[#This Row],[ProductID]],Product!A:A,Product!G:G,"Not Found")</f>
        <v>Grains/Cereals</v>
      </c>
      <c r="J167" s="15" t="str">
        <f>LOOKUP(MONTH(G167),{1,4,7,10},{"Winter","Spring","Summer","Autumn"})</f>
        <v>Summer</v>
      </c>
      <c r="K167" s="15" t="str">
        <f>_xlfn.XLOOKUP(OrderDetails[[#This Row],[ProductID]],Product!A:A,Product!B:B,"Not Found")</f>
        <v>Singaporean Hokkien Fried Mee</v>
      </c>
    </row>
    <row r="168" spans="1:11">
      <c r="A168" s="1">
        <v>10309</v>
      </c>
      <c r="B168" s="1">
        <v>43</v>
      </c>
      <c r="C168" s="1">
        <v>36.799999999999997</v>
      </c>
      <c r="D168" s="1">
        <v>20</v>
      </c>
      <c r="E168" s="3">
        <v>0</v>
      </c>
      <c r="F168" s="1" t="str">
        <f>_xlfn.XLOOKUP(A168,Orders!A:A,Orders!B:B,"not found")</f>
        <v>HUNGO</v>
      </c>
      <c r="G168" s="13">
        <f>_xlfn.XLOOKUP(OrderDetails[[#This Row],[OrderID]],Orders!A:A,Orders!C:C,"Not Found")</f>
        <v>35327</v>
      </c>
      <c r="H168" s="16">
        <f>(OrderDetails[[#This Row],[UnitPrice]]*OrderDetails[[#This Row],[Quantity]])*(1-OrderDetails[[#This Row],[Discount]])</f>
        <v>736</v>
      </c>
      <c r="I168" s="15" t="str">
        <f>_xlfn.XLOOKUP(OrderDetails[[#This Row],[ProductID]],Product!A:A,Product!G:G,"Not Found")</f>
        <v>Beverages</v>
      </c>
      <c r="J168" s="15" t="str">
        <f>LOOKUP(MONTH(G168),{1,4,7,10},{"Winter","Spring","Summer","Autumn"})</f>
        <v>Summer</v>
      </c>
      <c r="K168" s="15" t="str">
        <f>_xlfn.XLOOKUP(OrderDetails[[#This Row],[ProductID]],Product!A:A,Product!B:B,"Not Found")</f>
        <v>Ipoh Coffee</v>
      </c>
    </row>
    <row r="169" spans="1:11">
      <c r="A169" s="2">
        <v>10309</v>
      </c>
      <c r="B169" s="2">
        <v>71</v>
      </c>
      <c r="C169" s="2">
        <v>17.2</v>
      </c>
      <c r="D169" s="2">
        <v>3</v>
      </c>
      <c r="E169" s="4">
        <v>0</v>
      </c>
      <c r="F169" s="1" t="str">
        <f>_xlfn.XLOOKUP(A169,Orders!A:A,Orders!B:B,"not found")</f>
        <v>HUNGO</v>
      </c>
      <c r="G169" s="13">
        <f>_xlfn.XLOOKUP(OrderDetails[[#This Row],[OrderID]],Orders!A:A,Orders!C:C,"Not Found")</f>
        <v>35327</v>
      </c>
      <c r="H169" s="16">
        <f>(OrderDetails[[#This Row],[UnitPrice]]*OrderDetails[[#This Row],[Quantity]])*(1-OrderDetails[[#This Row],[Discount]])</f>
        <v>51.599999999999994</v>
      </c>
      <c r="I169" s="15" t="str">
        <f>_xlfn.XLOOKUP(OrderDetails[[#This Row],[ProductID]],Product!A:A,Product!G:G,"Not Found")</f>
        <v>Dairy Products</v>
      </c>
      <c r="J169" s="15" t="str">
        <f>LOOKUP(MONTH(G169),{1,4,7,10},{"Winter","Spring","Summer","Autumn"})</f>
        <v>Summer</v>
      </c>
      <c r="K169" s="15" t="str">
        <f>_xlfn.XLOOKUP(OrderDetails[[#This Row],[ProductID]],Product!A:A,Product!B:B,"Not Found")</f>
        <v>Flotemysost</v>
      </c>
    </row>
    <row r="170" spans="1:11">
      <c r="A170" s="1">
        <v>10310</v>
      </c>
      <c r="B170" s="1">
        <v>16</v>
      </c>
      <c r="C170" s="1">
        <v>13.9</v>
      </c>
      <c r="D170" s="1">
        <v>10</v>
      </c>
      <c r="E170" s="3">
        <v>0</v>
      </c>
      <c r="F170" s="1" t="str">
        <f>_xlfn.XLOOKUP(A170,Orders!A:A,Orders!B:B,"not found")</f>
        <v>THEBI</v>
      </c>
      <c r="G170" s="13">
        <f>_xlfn.XLOOKUP(OrderDetails[[#This Row],[OrderID]],Orders!A:A,Orders!C:C,"Not Found")</f>
        <v>35328</v>
      </c>
      <c r="H170" s="16">
        <f>(OrderDetails[[#This Row],[UnitPrice]]*OrderDetails[[#This Row],[Quantity]])*(1-OrderDetails[[#This Row],[Discount]])</f>
        <v>139</v>
      </c>
      <c r="I170" s="15" t="str">
        <f>_xlfn.XLOOKUP(OrderDetails[[#This Row],[ProductID]],Product!A:A,Product!G:G,"Not Found")</f>
        <v>Confections</v>
      </c>
      <c r="J170" s="15" t="str">
        <f>LOOKUP(MONTH(G170),{1,4,7,10},{"Winter","Spring","Summer","Autumn"})</f>
        <v>Summer</v>
      </c>
      <c r="K170" s="15" t="str">
        <f>_xlfn.XLOOKUP(OrderDetails[[#This Row],[ProductID]],Product!A:A,Product!B:B,"Not Found")</f>
        <v>Pavlova</v>
      </c>
    </row>
    <row r="171" spans="1:11">
      <c r="A171" s="2">
        <v>10310</v>
      </c>
      <c r="B171" s="2">
        <v>62</v>
      </c>
      <c r="C171" s="2">
        <v>39.4</v>
      </c>
      <c r="D171" s="2">
        <v>5</v>
      </c>
      <c r="E171" s="4">
        <v>0</v>
      </c>
      <c r="F171" s="1" t="str">
        <f>_xlfn.XLOOKUP(A171,Orders!A:A,Orders!B:B,"not found")</f>
        <v>THEBI</v>
      </c>
      <c r="G171" s="13">
        <f>_xlfn.XLOOKUP(OrderDetails[[#This Row],[OrderID]],Orders!A:A,Orders!C:C,"Not Found")</f>
        <v>35328</v>
      </c>
      <c r="H171" s="16">
        <f>(OrderDetails[[#This Row],[UnitPrice]]*OrderDetails[[#This Row],[Quantity]])*(1-OrderDetails[[#This Row],[Discount]])</f>
        <v>197</v>
      </c>
      <c r="I171" s="15" t="str">
        <f>_xlfn.XLOOKUP(OrderDetails[[#This Row],[ProductID]],Product!A:A,Product!G:G,"Not Found")</f>
        <v>Confections</v>
      </c>
      <c r="J171" s="15" t="str">
        <f>LOOKUP(MONTH(G171),{1,4,7,10},{"Winter","Spring","Summer","Autumn"})</f>
        <v>Summer</v>
      </c>
      <c r="K171" s="15" t="str">
        <f>_xlfn.XLOOKUP(OrderDetails[[#This Row],[ProductID]],Product!A:A,Product!B:B,"Not Found")</f>
        <v>Tarte au sucre</v>
      </c>
    </row>
    <row r="172" spans="1:11">
      <c r="A172" s="1">
        <v>10311</v>
      </c>
      <c r="B172" s="1">
        <v>42</v>
      </c>
      <c r="C172" s="1">
        <v>11.2</v>
      </c>
      <c r="D172" s="1">
        <v>6</v>
      </c>
      <c r="E172" s="3">
        <v>0</v>
      </c>
      <c r="F172" s="1" t="str">
        <f>_xlfn.XLOOKUP(A172,Orders!A:A,Orders!B:B,"not found")</f>
        <v>DUMON</v>
      </c>
      <c r="G172" s="13">
        <f>_xlfn.XLOOKUP(OrderDetails[[#This Row],[OrderID]],Orders!A:A,Orders!C:C,"Not Found")</f>
        <v>35328</v>
      </c>
      <c r="H172" s="16">
        <f>(OrderDetails[[#This Row],[UnitPrice]]*OrderDetails[[#This Row],[Quantity]])*(1-OrderDetails[[#This Row],[Discount]])</f>
        <v>67.199999999999989</v>
      </c>
      <c r="I172" s="15" t="str">
        <f>_xlfn.XLOOKUP(OrderDetails[[#This Row],[ProductID]],Product!A:A,Product!G:G,"Not Found")</f>
        <v>Grains/Cereals</v>
      </c>
      <c r="J172" s="15" t="str">
        <f>LOOKUP(MONTH(G172),{1,4,7,10},{"Winter","Spring","Summer","Autumn"})</f>
        <v>Summer</v>
      </c>
      <c r="K172" s="15" t="str">
        <f>_xlfn.XLOOKUP(OrderDetails[[#This Row],[ProductID]],Product!A:A,Product!B:B,"Not Found")</f>
        <v>Singaporean Hokkien Fried Mee</v>
      </c>
    </row>
    <row r="173" spans="1:11">
      <c r="A173" s="2">
        <v>10311</v>
      </c>
      <c r="B173" s="2">
        <v>69</v>
      </c>
      <c r="C173" s="2">
        <v>28.8</v>
      </c>
      <c r="D173" s="2">
        <v>7</v>
      </c>
      <c r="E173" s="4">
        <v>0</v>
      </c>
      <c r="F173" s="1" t="str">
        <f>_xlfn.XLOOKUP(A173,Orders!A:A,Orders!B:B,"not found")</f>
        <v>DUMON</v>
      </c>
      <c r="G173" s="13">
        <f>_xlfn.XLOOKUP(OrderDetails[[#This Row],[OrderID]],Orders!A:A,Orders!C:C,"Not Found")</f>
        <v>35328</v>
      </c>
      <c r="H173" s="16">
        <f>(OrderDetails[[#This Row],[UnitPrice]]*OrderDetails[[#This Row],[Quantity]])*(1-OrderDetails[[#This Row],[Discount]])</f>
        <v>201.6</v>
      </c>
      <c r="I173" s="15" t="str">
        <f>_xlfn.XLOOKUP(OrderDetails[[#This Row],[ProductID]],Product!A:A,Product!G:G,"Not Found")</f>
        <v>Dairy Products</v>
      </c>
      <c r="J173" s="15" t="str">
        <f>LOOKUP(MONTH(G173),{1,4,7,10},{"Winter","Spring","Summer","Autumn"})</f>
        <v>Summer</v>
      </c>
      <c r="K173" s="15" t="str">
        <f>_xlfn.XLOOKUP(OrderDetails[[#This Row],[ProductID]],Product!A:A,Product!B:B,"Not Found")</f>
        <v>Gudbrandsdalsost</v>
      </c>
    </row>
    <row r="174" spans="1:11">
      <c r="A174" s="1">
        <v>10312</v>
      </c>
      <c r="B174" s="1">
        <v>28</v>
      </c>
      <c r="C174" s="1">
        <v>36.4</v>
      </c>
      <c r="D174" s="1">
        <v>4</v>
      </c>
      <c r="E174" s="3">
        <v>0</v>
      </c>
      <c r="F174" s="1" t="str">
        <f>_xlfn.XLOOKUP(A174,Orders!A:A,Orders!B:B,"not found")</f>
        <v>WANDK</v>
      </c>
      <c r="G174" s="13">
        <f>_xlfn.XLOOKUP(OrderDetails[[#This Row],[OrderID]],Orders!A:A,Orders!C:C,"Not Found")</f>
        <v>35331</v>
      </c>
      <c r="H174" s="16">
        <f>(OrderDetails[[#This Row],[UnitPrice]]*OrderDetails[[#This Row],[Quantity]])*(1-OrderDetails[[#This Row],[Discount]])</f>
        <v>145.6</v>
      </c>
      <c r="I174" s="15" t="str">
        <f>_xlfn.XLOOKUP(OrderDetails[[#This Row],[ProductID]],Product!A:A,Product!G:G,"Not Found")</f>
        <v>Produce</v>
      </c>
      <c r="J174" s="15" t="str">
        <f>LOOKUP(MONTH(G174),{1,4,7,10},{"Winter","Spring","Summer","Autumn"})</f>
        <v>Summer</v>
      </c>
      <c r="K174" s="15" t="str">
        <f>_xlfn.XLOOKUP(OrderDetails[[#This Row],[ProductID]],Product!A:A,Product!B:B,"Not Found")</f>
        <v>Rössle Sauerkraut</v>
      </c>
    </row>
    <row r="175" spans="1:11">
      <c r="A175" s="2">
        <v>10312</v>
      </c>
      <c r="B175" s="2">
        <v>43</v>
      </c>
      <c r="C175" s="2">
        <v>36.799999999999997</v>
      </c>
      <c r="D175" s="2">
        <v>24</v>
      </c>
      <c r="E175" s="4">
        <v>0</v>
      </c>
      <c r="F175" s="1" t="str">
        <f>_xlfn.XLOOKUP(A175,Orders!A:A,Orders!B:B,"not found")</f>
        <v>WANDK</v>
      </c>
      <c r="G175" s="13">
        <f>_xlfn.XLOOKUP(OrderDetails[[#This Row],[OrderID]],Orders!A:A,Orders!C:C,"Not Found")</f>
        <v>35331</v>
      </c>
      <c r="H175" s="16">
        <f>(OrderDetails[[#This Row],[UnitPrice]]*OrderDetails[[#This Row],[Quantity]])*(1-OrderDetails[[#This Row],[Discount]])</f>
        <v>883.19999999999993</v>
      </c>
      <c r="I175" s="15" t="str">
        <f>_xlfn.XLOOKUP(OrderDetails[[#This Row],[ProductID]],Product!A:A,Product!G:G,"Not Found")</f>
        <v>Beverages</v>
      </c>
      <c r="J175" s="15" t="str">
        <f>LOOKUP(MONTH(G175),{1,4,7,10},{"Winter","Spring","Summer","Autumn"})</f>
        <v>Summer</v>
      </c>
      <c r="K175" s="15" t="str">
        <f>_xlfn.XLOOKUP(OrderDetails[[#This Row],[ProductID]],Product!A:A,Product!B:B,"Not Found")</f>
        <v>Ipoh Coffee</v>
      </c>
    </row>
    <row r="176" spans="1:11">
      <c r="A176" s="1">
        <v>10312</v>
      </c>
      <c r="B176" s="1">
        <v>53</v>
      </c>
      <c r="C176" s="1">
        <v>26.2</v>
      </c>
      <c r="D176" s="1">
        <v>20</v>
      </c>
      <c r="E176" s="3">
        <v>0</v>
      </c>
      <c r="F176" s="1" t="str">
        <f>_xlfn.XLOOKUP(A176,Orders!A:A,Orders!B:B,"not found")</f>
        <v>WANDK</v>
      </c>
      <c r="G176" s="13">
        <f>_xlfn.XLOOKUP(OrderDetails[[#This Row],[OrderID]],Orders!A:A,Orders!C:C,"Not Found")</f>
        <v>35331</v>
      </c>
      <c r="H176" s="16">
        <f>(OrderDetails[[#This Row],[UnitPrice]]*OrderDetails[[#This Row],[Quantity]])*(1-OrderDetails[[#This Row],[Discount]])</f>
        <v>524</v>
      </c>
      <c r="I176" s="15" t="str">
        <f>_xlfn.XLOOKUP(OrderDetails[[#This Row],[ProductID]],Product!A:A,Product!G:G,"Not Found")</f>
        <v>Meat/Poultry</v>
      </c>
      <c r="J176" s="15" t="str">
        <f>LOOKUP(MONTH(G176),{1,4,7,10},{"Winter","Spring","Summer","Autumn"})</f>
        <v>Summer</v>
      </c>
      <c r="K176" s="15" t="str">
        <f>_xlfn.XLOOKUP(OrderDetails[[#This Row],[ProductID]],Product!A:A,Product!B:B,"Not Found")</f>
        <v>Perth Pasties</v>
      </c>
    </row>
    <row r="177" spans="1:11">
      <c r="A177" s="2">
        <v>10312</v>
      </c>
      <c r="B177" s="2">
        <v>75</v>
      </c>
      <c r="C177" s="2">
        <v>6.2</v>
      </c>
      <c r="D177" s="2">
        <v>10</v>
      </c>
      <c r="E177" s="4">
        <v>0</v>
      </c>
      <c r="F177" s="1" t="str">
        <f>_xlfn.XLOOKUP(A177,Orders!A:A,Orders!B:B,"not found")</f>
        <v>WANDK</v>
      </c>
      <c r="G177" s="13">
        <f>_xlfn.XLOOKUP(OrderDetails[[#This Row],[OrderID]],Orders!A:A,Orders!C:C,"Not Found")</f>
        <v>35331</v>
      </c>
      <c r="H177" s="16">
        <f>(OrderDetails[[#This Row],[UnitPrice]]*OrderDetails[[#This Row],[Quantity]])*(1-OrderDetails[[#This Row],[Discount]])</f>
        <v>62</v>
      </c>
      <c r="I177" s="15" t="str">
        <f>_xlfn.XLOOKUP(OrderDetails[[#This Row],[ProductID]],Product!A:A,Product!G:G,"Not Found")</f>
        <v>Beverages</v>
      </c>
      <c r="J177" s="15" t="str">
        <f>LOOKUP(MONTH(G177),{1,4,7,10},{"Winter","Spring","Summer","Autumn"})</f>
        <v>Summer</v>
      </c>
      <c r="K177" s="15" t="str">
        <f>_xlfn.XLOOKUP(OrderDetails[[#This Row],[ProductID]],Product!A:A,Product!B:B,"Not Found")</f>
        <v>Rhönbräu Klosterbier</v>
      </c>
    </row>
    <row r="178" spans="1:11">
      <c r="A178" s="1">
        <v>10313</v>
      </c>
      <c r="B178" s="1">
        <v>36</v>
      </c>
      <c r="C178" s="1">
        <v>15.2</v>
      </c>
      <c r="D178" s="1">
        <v>12</v>
      </c>
      <c r="E178" s="3">
        <v>0</v>
      </c>
      <c r="F178" s="1" t="str">
        <f>_xlfn.XLOOKUP(A178,Orders!A:A,Orders!B:B,"not found")</f>
        <v>QUICK</v>
      </c>
      <c r="G178" s="13">
        <f>_xlfn.XLOOKUP(OrderDetails[[#This Row],[OrderID]],Orders!A:A,Orders!C:C,"Not Found")</f>
        <v>35332</v>
      </c>
      <c r="H178" s="16">
        <f>(OrderDetails[[#This Row],[UnitPrice]]*OrderDetails[[#This Row],[Quantity]])*(1-OrderDetails[[#This Row],[Discount]])</f>
        <v>182.39999999999998</v>
      </c>
      <c r="I178" s="15" t="str">
        <f>_xlfn.XLOOKUP(OrderDetails[[#This Row],[ProductID]],Product!A:A,Product!G:G,"Not Found")</f>
        <v>Seafood</v>
      </c>
      <c r="J178" s="15" t="str">
        <f>LOOKUP(MONTH(G178),{1,4,7,10},{"Winter","Spring","Summer","Autumn"})</f>
        <v>Summer</v>
      </c>
      <c r="K178" s="15" t="str">
        <f>_xlfn.XLOOKUP(OrderDetails[[#This Row],[ProductID]],Product!A:A,Product!B:B,"Not Found")</f>
        <v>Inlagd Sill</v>
      </c>
    </row>
    <row r="179" spans="1:11">
      <c r="A179" s="2">
        <v>10314</v>
      </c>
      <c r="B179" s="2">
        <v>32</v>
      </c>
      <c r="C179" s="2">
        <v>25.6</v>
      </c>
      <c r="D179" s="2">
        <v>40</v>
      </c>
      <c r="E179" s="4">
        <v>0.10000000149011612</v>
      </c>
      <c r="F179" s="1" t="str">
        <f>_xlfn.XLOOKUP(A179,Orders!A:A,Orders!B:B,"not found")</f>
        <v>RATTC</v>
      </c>
      <c r="G179" s="13">
        <f>_xlfn.XLOOKUP(OrderDetails[[#This Row],[OrderID]],Orders!A:A,Orders!C:C,"Not Found")</f>
        <v>35333</v>
      </c>
      <c r="H179" s="16">
        <f>(OrderDetails[[#This Row],[UnitPrice]]*OrderDetails[[#This Row],[Quantity]])*(1-OrderDetails[[#This Row],[Discount]])</f>
        <v>921.59999847412109</v>
      </c>
      <c r="I179" s="15" t="str">
        <f>_xlfn.XLOOKUP(OrderDetails[[#This Row],[ProductID]],Product!A:A,Product!G:G,"Not Found")</f>
        <v>Dairy Products</v>
      </c>
      <c r="J179" s="15" t="str">
        <f>LOOKUP(MONTH(G179),{1,4,7,10},{"Winter","Spring","Summer","Autumn"})</f>
        <v>Summer</v>
      </c>
      <c r="K179" s="15" t="str">
        <f>_xlfn.XLOOKUP(OrderDetails[[#This Row],[ProductID]],Product!A:A,Product!B:B,"Not Found")</f>
        <v>Mascarpone Fabioli</v>
      </c>
    </row>
    <row r="180" spans="1:11">
      <c r="A180" s="1">
        <v>10314</v>
      </c>
      <c r="B180" s="1">
        <v>58</v>
      </c>
      <c r="C180" s="1">
        <v>10.6</v>
      </c>
      <c r="D180" s="1">
        <v>30</v>
      </c>
      <c r="E180" s="3">
        <v>0.10000000149011612</v>
      </c>
      <c r="F180" s="1" t="str">
        <f>_xlfn.XLOOKUP(A180,Orders!A:A,Orders!B:B,"not found")</f>
        <v>RATTC</v>
      </c>
      <c r="G180" s="13">
        <f>_xlfn.XLOOKUP(OrderDetails[[#This Row],[OrderID]],Orders!A:A,Orders!C:C,"Not Found")</f>
        <v>35333</v>
      </c>
      <c r="H180" s="16">
        <f>(OrderDetails[[#This Row],[UnitPrice]]*OrderDetails[[#This Row],[Quantity]])*(1-OrderDetails[[#This Row],[Discount]])</f>
        <v>286.19999952614307</v>
      </c>
      <c r="I180" s="15" t="str">
        <f>_xlfn.XLOOKUP(OrderDetails[[#This Row],[ProductID]],Product!A:A,Product!G:G,"Not Found")</f>
        <v>Seafood</v>
      </c>
      <c r="J180" s="15" t="str">
        <f>LOOKUP(MONTH(G180),{1,4,7,10},{"Winter","Spring","Summer","Autumn"})</f>
        <v>Summer</v>
      </c>
      <c r="K180" s="15" t="str">
        <f>_xlfn.XLOOKUP(OrderDetails[[#This Row],[ProductID]],Product!A:A,Product!B:B,"Not Found")</f>
        <v>Escargots de Bourgogne</v>
      </c>
    </row>
    <row r="181" spans="1:11">
      <c r="A181" s="2">
        <v>10314</v>
      </c>
      <c r="B181" s="2">
        <v>62</v>
      </c>
      <c r="C181" s="2">
        <v>39.4</v>
      </c>
      <c r="D181" s="2">
        <v>25</v>
      </c>
      <c r="E181" s="4">
        <v>0.10000000149011612</v>
      </c>
      <c r="F181" s="1" t="str">
        <f>_xlfn.XLOOKUP(A181,Orders!A:A,Orders!B:B,"not found")</f>
        <v>RATTC</v>
      </c>
      <c r="G181" s="13">
        <f>_xlfn.XLOOKUP(OrderDetails[[#This Row],[OrderID]],Orders!A:A,Orders!C:C,"Not Found")</f>
        <v>35333</v>
      </c>
      <c r="H181" s="16">
        <f>(OrderDetails[[#This Row],[UnitPrice]]*OrderDetails[[#This Row],[Quantity]])*(1-OrderDetails[[#This Row],[Discount]])</f>
        <v>886.49999853223562</v>
      </c>
      <c r="I181" s="15" t="str">
        <f>_xlfn.XLOOKUP(OrderDetails[[#This Row],[ProductID]],Product!A:A,Product!G:G,"Not Found")</f>
        <v>Confections</v>
      </c>
      <c r="J181" s="15" t="str">
        <f>LOOKUP(MONTH(G181),{1,4,7,10},{"Winter","Spring","Summer","Autumn"})</f>
        <v>Summer</v>
      </c>
      <c r="K181" s="15" t="str">
        <f>_xlfn.XLOOKUP(OrderDetails[[#This Row],[ProductID]],Product!A:A,Product!B:B,"Not Found")</f>
        <v>Tarte au sucre</v>
      </c>
    </row>
    <row r="182" spans="1:11">
      <c r="A182" s="1">
        <v>10315</v>
      </c>
      <c r="B182" s="1">
        <v>34</v>
      </c>
      <c r="C182" s="1">
        <v>11.2</v>
      </c>
      <c r="D182" s="1">
        <v>14</v>
      </c>
      <c r="E182" s="3">
        <v>0</v>
      </c>
      <c r="F182" s="1" t="str">
        <f>_xlfn.XLOOKUP(A182,Orders!A:A,Orders!B:B,"not found")</f>
        <v>ISLAT</v>
      </c>
      <c r="G182" s="13">
        <f>_xlfn.XLOOKUP(OrderDetails[[#This Row],[OrderID]],Orders!A:A,Orders!C:C,"Not Found")</f>
        <v>35334</v>
      </c>
      <c r="H182" s="16">
        <f>(OrderDetails[[#This Row],[UnitPrice]]*OrderDetails[[#This Row],[Quantity]])*(1-OrderDetails[[#This Row],[Discount]])</f>
        <v>156.79999999999998</v>
      </c>
      <c r="I182" s="15" t="str">
        <f>_xlfn.XLOOKUP(OrderDetails[[#This Row],[ProductID]],Product!A:A,Product!G:G,"Not Found")</f>
        <v>Beverages</v>
      </c>
      <c r="J182" s="15" t="str">
        <f>LOOKUP(MONTH(G182),{1,4,7,10},{"Winter","Spring","Summer","Autumn"})</f>
        <v>Summer</v>
      </c>
      <c r="K182" s="15" t="str">
        <f>_xlfn.XLOOKUP(OrderDetails[[#This Row],[ProductID]],Product!A:A,Product!B:B,"Not Found")</f>
        <v>Sasquatch Ale</v>
      </c>
    </row>
    <row r="183" spans="1:11">
      <c r="A183" s="2">
        <v>10315</v>
      </c>
      <c r="B183" s="2">
        <v>70</v>
      </c>
      <c r="C183" s="2">
        <v>12</v>
      </c>
      <c r="D183" s="2">
        <v>30</v>
      </c>
      <c r="E183" s="4">
        <v>0</v>
      </c>
      <c r="F183" s="1" t="str">
        <f>_xlfn.XLOOKUP(A183,Orders!A:A,Orders!B:B,"not found")</f>
        <v>ISLAT</v>
      </c>
      <c r="G183" s="13">
        <f>_xlfn.XLOOKUP(OrderDetails[[#This Row],[OrderID]],Orders!A:A,Orders!C:C,"Not Found")</f>
        <v>35334</v>
      </c>
      <c r="H183" s="16">
        <f>(OrderDetails[[#This Row],[UnitPrice]]*OrderDetails[[#This Row],[Quantity]])*(1-OrderDetails[[#This Row],[Discount]])</f>
        <v>360</v>
      </c>
      <c r="I183" s="15" t="str">
        <f>_xlfn.XLOOKUP(OrderDetails[[#This Row],[ProductID]],Product!A:A,Product!G:G,"Not Found")</f>
        <v>Beverages</v>
      </c>
      <c r="J183" s="15" t="str">
        <f>LOOKUP(MONTH(G183),{1,4,7,10},{"Winter","Spring","Summer","Autumn"})</f>
        <v>Summer</v>
      </c>
      <c r="K183" s="15" t="str">
        <f>_xlfn.XLOOKUP(OrderDetails[[#This Row],[ProductID]],Product!A:A,Product!B:B,"Not Found")</f>
        <v>Outback Lager</v>
      </c>
    </row>
    <row r="184" spans="1:11">
      <c r="A184" s="1">
        <v>10316</v>
      </c>
      <c r="B184" s="1">
        <v>41</v>
      </c>
      <c r="C184" s="1">
        <v>7.7</v>
      </c>
      <c r="D184" s="1">
        <v>10</v>
      </c>
      <c r="E184" s="3">
        <v>0</v>
      </c>
      <c r="F184" s="1" t="str">
        <f>_xlfn.XLOOKUP(A184,Orders!A:A,Orders!B:B,"not found")</f>
        <v>RATTC</v>
      </c>
      <c r="G184" s="13">
        <f>_xlfn.XLOOKUP(OrderDetails[[#This Row],[OrderID]],Orders!A:A,Orders!C:C,"Not Found")</f>
        <v>35335</v>
      </c>
      <c r="H184" s="16">
        <f>(OrderDetails[[#This Row],[UnitPrice]]*OrderDetails[[#This Row],[Quantity]])*(1-OrderDetails[[#This Row],[Discount]])</f>
        <v>77</v>
      </c>
      <c r="I184" s="15" t="str">
        <f>_xlfn.XLOOKUP(OrderDetails[[#This Row],[ProductID]],Product!A:A,Product!G:G,"Not Found")</f>
        <v>Seafood</v>
      </c>
      <c r="J184" s="15" t="str">
        <f>LOOKUP(MONTH(G184),{1,4,7,10},{"Winter","Spring","Summer","Autumn"})</f>
        <v>Summer</v>
      </c>
      <c r="K184" s="15" t="str">
        <f>_xlfn.XLOOKUP(OrderDetails[[#This Row],[ProductID]],Product!A:A,Product!B:B,"Not Found")</f>
        <v>Jack's New England Clam Chowder</v>
      </c>
    </row>
    <row r="185" spans="1:11">
      <c r="A185" s="2">
        <v>10316</v>
      </c>
      <c r="B185" s="2">
        <v>62</v>
      </c>
      <c r="C185" s="2">
        <v>39.4</v>
      </c>
      <c r="D185" s="2">
        <v>70</v>
      </c>
      <c r="E185" s="4">
        <v>0</v>
      </c>
      <c r="F185" s="1" t="str">
        <f>_xlfn.XLOOKUP(A185,Orders!A:A,Orders!B:B,"not found")</f>
        <v>RATTC</v>
      </c>
      <c r="G185" s="13">
        <f>_xlfn.XLOOKUP(OrderDetails[[#This Row],[OrderID]],Orders!A:A,Orders!C:C,"Not Found")</f>
        <v>35335</v>
      </c>
      <c r="H185" s="16">
        <f>(OrderDetails[[#This Row],[UnitPrice]]*OrderDetails[[#This Row],[Quantity]])*(1-OrderDetails[[#This Row],[Discount]])</f>
        <v>2758</v>
      </c>
      <c r="I185" s="15" t="str">
        <f>_xlfn.XLOOKUP(OrderDetails[[#This Row],[ProductID]],Product!A:A,Product!G:G,"Not Found")</f>
        <v>Confections</v>
      </c>
      <c r="J185" s="15" t="str">
        <f>LOOKUP(MONTH(G185),{1,4,7,10},{"Winter","Spring","Summer","Autumn"})</f>
        <v>Summer</v>
      </c>
      <c r="K185" s="15" t="str">
        <f>_xlfn.XLOOKUP(OrderDetails[[#This Row],[ProductID]],Product!A:A,Product!B:B,"Not Found")</f>
        <v>Tarte au sucre</v>
      </c>
    </row>
    <row r="186" spans="1:11">
      <c r="A186" s="1">
        <v>10317</v>
      </c>
      <c r="B186" s="1">
        <v>1</v>
      </c>
      <c r="C186" s="1">
        <v>14.4</v>
      </c>
      <c r="D186" s="1">
        <v>20</v>
      </c>
      <c r="E186" s="3">
        <v>0</v>
      </c>
      <c r="F186" s="1" t="str">
        <f>_xlfn.XLOOKUP(A186,Orders!A:A,Orders!B:B,"not found")</f>
        <v>LONEP</v>
      </c>
      <c r="G186" s="13">
        <f>_xlfn.XLOOKUP(OrderDetails[[#This Row],[OrderID]],Orders!A:A,Orders!C:C,"Not Found")</f>
        <v>35338</v>
      </c>
      <c r="H186" s="16">
        <f>(OrderDetails[[#This Row],[UnitPrice]]*OrderDetails[[#This Row],[Quantity]])*(1-OrderDetails[[#This Row],[Discount]])</f>
        <v>288</v>
      </c>
      <c r="I186" s="15" t="str">
        <f>_xlfn.XLOOKUP(OrderDetails[[#This Row],[ProductID]],Product!A:A,Product!G:G,"Not Found")</f>
        <v>Beverages</v>
      </c>
      <c r="J186" s="15" t="str">
        <f>LOOKUP(MONTH(G186),{1,4,7,10},{"Winter","Spring","Summer","Autumn"})</f>
        <v>Summer</v>
      </c>
      <c r="K186" s="15" t="str">
        <f>_xlfn.XLOOKUP(OrderDetails[[#This Row],[ProductID]],Product!A:A,Product!B:B,"Not Found")</f>
        <v>Chai</v>
      </c>
    </row>
    <row r="187" spans="1:11">
      <c r="A187" s="2">
        <v>10318</v>
      </c>
      <c r="B187" s="2">
        <v>41</v>
      </c>
      <c r="C187" s="2">
        <v>7.7</v>
      </c>
      <c r="D187" s="2">
        <v>20</v>
      </c>
      <c r="E187" s="4">
        <v>0</v>
      </c>
      <c r="F187" s="1" t="str">
        <f>_xlfn.XLOOKUP(A187,Orders!A:A,Orders!B:B,"not found")</f>
        <v>ISLAT</v>
      </c>
      <c r="G187" s="13">
        <f>_xlfn.XLOOKUP(OrderDetails[[#This Row],[OrderID]],Orders!A:A,Orders!C:C,"Not Found")</f>
        <v>35339</v>
      </c>
      <c r="H187" s="16">
        <f>(OrderDetails[[#This Row],[UnitPrice]]*OrderDetails[[#This Row],[Quantity]])*(1-OrderDetails[[#This Row],[Discount]])</f>
        <v>154</v>
      </c>
      <c r="I187" s="15" t="str">
        <f>_xlfn.XLOOKUP(OrderDetails[[#This Row],[ProductID]],Product!A:A,Product!G:G,"Not Found")</f>
        <v>Seafood</v>
      </c>
      <c r="J187" s="15" t="str">
        <f>LOOKUP(MONTH(G187),{1,4,7,10},{"Winter","Spring","Summer","Autumn"})</f>
        <v>Autumn</v>
      </c>
      <c r="K187" s="15" t="str">
        <f>_xlfn.XLOOKUP(OrderDetails[[#This Row],[ProductID]],Product!A:A,Product!B:B,"Not Found")</f>
        <v>Jack's New England Clam Chowder</v>
      </c>
    </row>
    <row r="188" spans="1:11">
      <c r="A188" s="1">
        <v>10318</v>
      </c>
      <c r="B188" s="1">
        <v>76</v>
      </c>
      <c r="C188" s="1">
        <v>14.4</v>
      </c>
      <c r="D188" s="1">
        <v>6</v>
      </c>
      <c r="E188" s="3">
        <v>0</v>
      </c>
      <c r="F188" s="1" t="str">
        <f>_xlfn.XLOOKUP(A188,Orders!A:A,Orders!B:B,"not found")</f>
        <v>ISLAT</v>
      </c>
      <c r="G188" s="13">
        <f>_xlfn.XLOOKUP(OrderDetails[[#This Row],[OrderID]],Orders!A:A,Orders!C:C,"Not Found")</f>
        <v>35339</v>
      </c>
      <c r="H188" s="16">
        <f>(OrderDetails[[#This Row],[UnitPrice]]*OrderDetails[[#This Row],[Quantity]])*(1-OrderDetails[[#This Row],[Discount]])</f>
        <v>86.4</v>
      </c>
      <c r="I188" s="15" t="str">
        <f>_xlfn.XLOOKUP(OrderDetails[[#This Row],[ProductID]],Product!A:A,Product!G:G,"Not Found")</f>
        <v>Beverages</v>
      </c>
      <c r="J188" s="15" t="str">
        <f>LOOKUP(MONTH(G188),{1,4,7,10},{"Winter","Spring","Summer","Autumn"})</f>
        <v>Autumn</v>
      </c>
      <c r="K188" s="15" t="str">
        <f>_xlfn.XLOOKUP(OrderDetails[[#This Row],[ProductID]],Product!A:A,Product!B:B,"Not Found")</f>
        <v>Lakkalikööri</v>
      </c>
    </row>
    <row r="189" spans="1:11">
      <c r="A189" s="2">
        <v>10319</v>
      </c>
      <c r="B189" s="2">
        <v>17</v>
      </c>
      <c r="C189" s="2">
        <v>31.2</v>
      </c>
      <c r="D189" s="2">
        <v>8</v>
      </c>
      <c r="E189" s="4">
        <v>0</v>
      </c>
      <c r="F189" s="1" t="str">
        <f>_xlfn.XLOOKUP(A189,Orders!A:A,Orders!B:B,"not found")</f>
        <v>TORTU</v>
      </c>
      <c r="G189" s="13">
        <f>_xlfn.XLOOKUP(OrderDetails[[#This Row],[OrderID]],Orders!A:A,Orders!C:C,"Not Found")</f>
        <v>35340</v>
      </c>
      <c r="H189" s="16">
        <f>(OrderDetails[[#This Row],[UnitPrice]]*OrderDetails[[#This Row],[Quantity]])*(1-OrderDetails[[#This Row],[Discount]])</f>
        <v>249.6</v>
      </c>
      <c r="I189" s="15" t="str">
        <f>_xlfn.XLOOKUP(OrderDetails[[#This Row],[ProductID]],Product!A:A,Product!G:G,"Not Found")</f>
        <v>Meat/Poultry</v>
      </c>
      <c r="J189" s="15" t="str">
        <f>LOOKUP(MONTH(G189),{1,4,7,10},{"Winter","Spring","Summer","Autumn"})</f>
        <v>Autumn</v>
      </c>
      <c r="K189" s="15" t="str">
        <f>_xlfn.XLOOKUP(OrderDetails[[#This Row],[ProductID]],Product!A:A,Product!B:B,"Not Found")</f>
        <v>Alice Mutton</v>
      </c>
    </row>
    <row r="190" spans="1:11">
      <c r="A190" s="1">
        <v>10319</v>
      </c>
      <c r="B190" s="1">
        <v>28</v>
      </c>
      <c r="C190" s="1">
        <v>36.4</v>
      </c>
      <c r="D190" s="1">
        <v>14</v>
      </c>
      <c r="E190" s="3">
        <v>0</v>
      </c>
      <c r="F190" s="1" t="str">
        <f>_xlfn.XLOOKUP(A190,Orders!A:A,Orders!B:B,"not found")</f>
        <v>TORTU</v>
      </c>
      <c r="G190" s="13">
        <f>_xlfn.XLOOKUP(OrderDetails[[#This Row],[OrderID]],Orders!A:A,Orders!C:C,"Not Found")</f>
        <v>35340</v>
      </c>
      <c r="H190" s="16">
        <f>(OrderDetails[[#This Row],[UnitPrice]]*OrderDetails[[#This Row],[Quantity]])*(1-OrderDetails[[#This Row],[Discount]])</f>
        <v>509.59999999999997</v>
      </c>
      <c r="I190" s="15" t="str">
        <f>_xlfn.XLOOKUP(OrderDetails[[#This Row],[ProductID]],Product!A:A,Product!G:G,"Not Found")</f>
        <v>Produce</v>
      </c>
      <c r="J190" s="15" t="str">
        <f>LOOKUP(MONTH(G190),{1,4,7,10},{"Winter","Spring","Summer","Autumn"})</f>
        <v>Autumn</v>
      </c>
      <c r="K190" s="15" t="str">
        <f>_xlfn.XLOOKUP(OrderDetails[[#This Row],[ProductID]],Product!A:A,Product!B:B,"Not Found")</f>
        <v>Rössle Sauerkraut</v>
      </c>
    </row>
    <row r="191" spans="1:11">
      <c r="A191" s="2">
        <v>10319</v>
      </c>
      <c r="B191" s="2">
        <v>76</v>
      </c>
      <c r="C191" s="2">
        <v>14.4</v>
      </c>
      <c r="D191" s="2">
        <v>30</v>
      </c>
      <c r="E191" s="4">
        <v>0</v>
      </c>
      <c r="F191" s="1" t="str">
        <f>_xlfn.XLOOKUP(A191,Orders!A:A,Orders!B:B,"not found")</f>
        <v>TORTU</v>
      </c>
      <c r="G191" s="13">
        <f>_xlfn.XLOOKUP(OrderDetails[[#This Row],[OrderID]],Orders!A:A,Orders!C:C,"Not Found")</f>
        <v>35340</v>
      </c>
      <c r="H191" s="16">
        <f>(OrderDetails[[#This Row],[UnitPrice]]*OrderDetails[[#This Row],[Quantity]])*(1-OrderDetails[[#This Row],[Discount]])</f>
        <v>432</v>
      </c>
      <c r="I191" s="15" t="str">
        <f>_xlfn.XLOOKUP(OrderDetails[[#This Row],[ProductID]],Product!A:A,Product!G:G,"Not Found")</f>
        <v>Beverages</v>
      </c>
      <c r="J191" s="15" t="str">
        <f>LOOKUP(MONTH(G191),{1,4,7,10},{"Winter","Spring","Summer","Autumn"})</f>
        <v>Autumn</v>
      </c>
      <c r="K191" s="15" t="str">
        <f>_xlfn.XLOOKUP(OrderDetails[[#This Row],[ProductID]],Product!A:A,Product!B:B,"Not Found")</f>
        <v>Lakkalikööri</v>
      </c>
    </row>
    <row r="192" spans="1:11">
      <c r="A192" s="1">
        <v>10320</v>
      </c>
      <c r="B192" s="1">
        <v>71</v>
      </c>
      <c r="C192" s="1">
        <v>17.2</v>
      </c>
      <c r="D192" s="1">
        <v>30</v>
      </c>
      <c r="E192" s="3">
        <v>0</v>
      </c>
      <c r="F192" s="1" t="str">
        <f>_xlfn.XLOOKUP(A192,Orders!A:A,Orders!B:B,"not found")</f>
        <v>WARTH</v>
      </c>
      <c r="G192" s="13">
        <f>_xlfn.XLOOKUP(OrderDetails[[#This Row],[OrderID]],Orders!A:A,Orders!C:C,"Not Found")</f>
        <v>35341</v>
      </c>
      <c r="H192" s="16">
        <f>(OrderDetails[[#This Row],[UnitPrice]]*OrderDetails[[#This Row],[Quantity]])*(1-OrderDetails[[#This Row],[Discount]])</f>
        <v>516</v>
      </c>
      <c r="I192" s="15" t="str">
        <f>_xlfn.XLOOKUP(OrderDetails[[#This Row],[ProductID]],Product!A:A,Product!G:G,"Not Found")</f>
        <v>Dairy Products</v>
      </c>
      <c r="J192" s="15" t="str">
        <f>LOOKUP(MONTH(G192),{1,4,7,10},{"Winter","Spring","Summer","Autumn"})</f>
        <v>Autumn</v>
      </c>
      <c r="K192" s="15" t="str">
        <f>_xlfn.XLOOKUP(OrderDetails[[#This Row],[ProductID]],Product!A:A,Product!B:B,"Not Found")</f>
        <v>Flotemysost</v>
      </c>
    </row>
    <row r="193" spans="1:11">
      <c r="A193" s="2">
        <v>10321</v>
      </c>
      <c r="B193" s="2">
        <v>35</v>
      </c>
      <c r="C193" s="2">
        <v>14.4</v>
      </c>
      <c r="D193" s="2">
        <v>10</v>
      </c>
      <c r="E193" s="4">
        <v>0</v>
      </c>
      <c r="F193" s="1" t="str">
        <f>_xlfn.XLOOKUP(A193,Orders!A:A,Orders!B:B,"not found")</f>
        <v>ISLAT</v>
      </c>
      <c r="G193" s="13">
        <f>_xlfn.XLOOKUP(OrderDetails[[#This Row],[OrderID]],Orders!A:A,Orders!C:C,"Not Found")</f>
        <v>35341</v>
      </c>
      <c r="H193" s="16">
        <f>(OrderDetails[[#This Row],[UnitPrice]]*OrderDetails[[#This Row],[Quantity]])*(1-OrderDetails[[#This Row],[Discount]])</f>
        <v>144</v>
      </c>
      <c r="I193" s="15" t="str">
        <f>_xlfn.XLOOKUP(OrderDetails[[#This Row],[ProductID]],Product!A:A,Product!G:G,"Not Found")</f>
        <v>Beverages</v>
      </c>
      <c r="J193" s="15" t="str">
        <f>LOOKUP(MONTH(G193),{1,4,7,10},{"Winter","Spring","Summer","Autumn"})</f>
        <v>Autumn</v>
      </c>
      <c r="K193" s="15" t="str">
        <f>_xlfn.XLOOKUP(OrderDetails[[#This Row],[ProductID]],Product!A:A,Product!B:B,"Not Found")</f>
        <v>Steeleye Stout</v>
      </c>
    </row>
    <row r="194" spans="1:11">
      <c r="A194" s="1">
        <v>10322</v>
      </c>
      <c r="B194" s="1">
        <v>52</v>
      </c>
      <c r="C194" s="1">
        <v>5.6</v>
      </c>
      <c r="D194" s="1">
        <v>20</v>
      </c>
      <c r="E194" s="3">
        <v>0</v>
      </c>
      <c r="F194" s="1" t="str">
        <f>_xlfn.XLOOKUP(A194,Orders!A:A,Orders!B:B,"not found")</f>
        <v>PERIC</v>
      </c>
      <c r="G194" s="13">
        <f>_xlfn.XLOOKUP(OrderDetails[[#This Row],[OrderID]],Orders!A:A,Orders!C:C,"Not Found")</f>
        <v>35342</v>
      </c>
      <c r="H194" s="16">
        <f>(OrderDetails[[#This Row],[UnitPrice]]*OrderDetails[[#This Row],[Quantity]])*(1-OrderDetails[[#This Row],[Discount]])</f>
        <v>112</v>
      </c>
      <c r="I194" s="15" t="str">
        <f>_xlfn.XLOOKUP(OrderDetails[[#This Row],[ProductID]],Product!A:A,Product!G:G,"Not Found")</f>
        <v>Grains/Cereals</v>
      </c>
      <c r="J194" s="15" t="str">
        <f>LOOKUP(MONTH(G194),{1,4,7,10},{"Winter","Spring","Summer","Autumn"})</f>
        <v>Autumn</v>
      </c>
      <c r="K194" s="15" t="str">
        <f>_xlfn.XLOOKUP(OrderDetails[[#This Row],[ProductID]],Product!A:A,Product!B:B,"Not Found")</f>
        <v>Filo Mix</v>
      </c>
    </row>
    <row r="195" spans="1:11">
      <c r="A195" s="2">
        <v>10323</v>
      </c>
      <c r="B195" s="2">
        <v>15</v>
      </c>
      <c r="C195" s="2">
        <v>12.4</v>
      </c>
      <c r="D195" s="2">
        <v>5</v>
      </c>
      <c r="E195" s="4">
        <v>0</v>
      </c>
      <c r="F195" s="1" t="str">
        <f>_xlfn.XLOOKUP(A195,Orders!A:A,Orders!B:B,"not found")</f>
        <v>KOENE</v>
      </c>
      <c r="G195" s="13">
        <f>_xlfn.XLOOKUP(OrderDetails[[#This Row],[OrderID]],Orders!A:A,Orders!C:C,"Not Found")</f>
        <v>35345</v>
      </c>
      <c r="H195" s="16">
        <f>(OrderDetails[[#This Row],[UnitPrice]]*OrderDetails[[#This Row],[Quantity]])*(1-OrderDetails[[#This Row],[Discount]])</f>
        <v>62</v>
      </c>
      <c r="I195" s="15" t="str">
        <f>_xlfn.XLOOKUP(OrderDetails[[#This Row],[ProductID]],Product!A:A,Product!G:G,"Not Found")</f>
        <v>Condiments</v>
      </c>
      <c r="J195" s="15" t="str">
        <f>LOOKUP(MONTH(G195),{1,4,7,10},{"Winter","Spring","Summer","Autumn"})</f>
        <v>Autumn</v>
      </c>
      <c r="K195" s="15" t="str">
        <f>_xlfn.XLOOKUP(OrderDetails[[#This Row],[ProductID]],Product!A:A,Product!B:B,"Not Found")</f>
        <v>Genen Shouyu</v>
      </c>
    </row>
    <row r="196" spans="1:11">
      <c r="A196" s="1">
        <v>10323</v>
      </c>
      <c r="B196" s="1">
        <v>25</v>
      </c>
      <c r="C196" s="1">
        <v>11.2</v>
      </c>
      <c r="D196" s="1">
        <v>4</v>
      </c>
      <c r="E196" s="3">
        <v>0</v>
      </c>
      <c r="F196" s="1" t="str">
        <f>_xlfn.XLOOKUP(A196,Orders!A:A,Orders!B:B,"not found")</f>
        <v>KOENE</v>
      </c>
      <c r="G196" s="13">
        <f>_xlfn.XLOOKUP(OrderDetails[[#This Row],[OrderID]],Orders!A:A,Orders!C:C,"Not Found")</f>
        <v>35345</v>
      </c>
      <c r="H196" s="16">
        <f>(OrderDetails[[#This Row],[UnitPrice]]*OrderDetails[[#This Row],[Quantity]])*(1-OrderDetails[[#This Row],[Discount]])</f>
        <v>44.8</v>
      </c>
      <c r="I196" s="15" t="str">
        <f>_xlfn.XLOOKUP(OrderDetails[[#This Row],[ProductID]],Product!A:A,Product!G:G,"Not Found")</f>
        <v>Confections</v>
      </c>
      <c r="J196" s="15" t="str">
        <f>LOOKUP(MONTH(G196),{1,4,7,10},{"Winter","Spring","Summer","Autumn"})</f>
        <v>Autumn</v>
      </c>
      <c r="K196" s="15" t="str">
        <f>_xlfn.XLOOKUP(OrderDetails[[#This Row],[ProductID]],Product!A:A,Product!B:B,"Not Found")</f>
        <v>NuNuCa Nuß-Nougat-Creme</v>
      </c>
    </row>
    <row r="197" spans="1:11">
      <c r="A197" s="2">
        <v>10323</v>
      </c>
      <c r="B197" s="2">
        <v>39</v>
      </c>
      <c r="C197" s="2">
        <v>14.4</v>
      </c>
      <c r="D197" s="2">
        <v>4</v>
      </c>
      <c r="E197" s="4">
        <v>0</v>
      </c>
      <c r="F197" s="1" t="str">
        <f>_xlfn.XLOOKUP(A197,Orders!A:A,Orders!B:B,"not found")</f>
        <v>KOENE</v>
      </c>
      <c r="G197" s="13">
        <f>_xlfn.XLOOKUP(OrderDetails[[#This Row],[OrderID]],Orders!A:A,Orders!C:C,"Not Found")</f>
        <v>35345</v>
      </c>
      <c r="H197" s="16">
        <f>(OrderDetails[[#This Row],[UnitPrice]]*OrderDetails[[#This Row],[Quantity]])*(1-OrderDetails[[#This Row],[Discount]])</f>
        <v>57.6</v>
      </c>
      <c r="I197" s="15" t="str">
        <f>_xlfn.XLOOKUP(OrderDetails[[#This Row],[ProductID]],Product!A:A,Product!G:G,"Not Found")</f>
        <v>Beverages</v>
      </c>
      <c r="J197" s="15" t="str">
        <f>LOOKUP(MONTH(G197),{1,4,7,10},{"Winter","Spring","Summer","Autumn"})</f>
        <v>Autumn</v>
      </c>
      <c r="K197" s="15" t="str">
        <f>_xlfn.XLOOKUP(OrderDetails[[#This Row],[ProductID]],Product!A:A,Product!B:B,"Not Found")</f>
        <v>Chartreuse verte</v>
      </c>
    </row>
    <row r="198" spans="1:11">
      <c r="A198" s="1">
        <v>10324</v>
      </c>
      <c r="B198" s="1">
        <v>16</v>
      </c>
      <c r="C198" s="1">
        <v>13.9</v>
      </c>
      <c r="D198" s="1">
        <v>21</v>
      </c>
      <c r="E198" s="3">
        <v>0.15000000596046448</v>
      </c>
      <c r="F198" s="1" t="str">
        <f>_xlfn.XLOOKUP(A198,Orders!A:A,Orders!B:B,"not found")</f>
        <v>SAVEA</v>
      </c>
      <c r="G198" s="13">
        <f>_xlfn.XLOOKUP(OrderDetails[[#This Row],[OrderID]],Orders!A:A,Orders!C:C,"Not Found")</f>
        <v>35346</v>
      </c>
      <c r="H198" s="16">
        <f>(OrderDetails[[#This Row],[UnitPrice]]*OrderDetails[[#This Row],[Quantity]])*(1-OrderDetails[[#This Row],[Discount]])</f>
        <v>248.11499826014045</v>
      </c>
      <c r="I198" s="15" t="str">
        <f>_xlfn.XLOOKUP(OrderDetails[[#This Row],[ProductID]],Product!A:A,Product!G:G,"Not Found")</f>
        <v>Confections</v>
      </c>
      <c r="J198" s="15" t="str">
        <f>LOOKUP(MONTH(G198),{1,4,7,10},{"Winter","Spring","Summer","Autumn"})</f>
        <v>Autumn</v>
      </c>
      <c r="K198" s="15" t="str">
        <f>_xlfn.XLOOKUP(OrderDetails[[#This Row],[ProductID]],Product!A:A,Product!B:B,"Not Found")</f>
        <v>Pavlova</v>
      </c>
    </row>
    <row r="199" spans="1:11">
      <c r="A199" s="2">
        <v>10324</v>
      </c>
      <c r="B199" s="2">
        <v>35</v>
      </c>
      <c r="C199" s="2">
        <v>14.4</v>
      </c>
      <c r="D199" s="2">
        <v>70</v>
      </c>
      <c r="E199" s="4">
        <v>0.15000000596046448</v>
      </c>
      <c r="F199" s="1" t="str">
        <f>_xlfn.XLOOKUP(A199,Orders!A:A,Orders!B:B,"not found")</f>
        <v>SAVEA</v>
      </c>
      <c r="G199" s="13">
        <f>_xlfn.XLOOKUP(OrderDetails[[#This Row],[OrderID]],Orders!A:A,Orders!C:C,"Not Found")</f>
        <v>35346</v>
      </c>
      <c r="H199" s="16">
        <f>(OrderDetails[[#This Row],[UnitPrice]]*OrderDetails[[#This Row],[Quantity]])*(1-OrderDetails[[#This Row],[Discount]])</f>
        <v>856.79999399185181</v>
      </c>
      <c r="I199" s="15" t="str">
        <f>_xlfn.XLOOKUP(OrderDetails[[#This Row],[ProductID]],Product!A:A,Product!G:G,"Not Found")</f>
        <v>Beverages</v>
      </c>
      <c r="J199" s="15" t="str">
        <f>LOOKUP(MONTH(G199),{1,4,7,10},{"Winter","Spring","Summer","Autumn"})</f>
        <v>Autumn</v>
      </c>
      <c r="K199" s="15" t="str">
        <f>_xlfn.XLOOKUP(OrderDetails[[#This Row],[ProductID]],Product!A:A,Product!B:B,"Not Found")</f>
        <v>Steeleye Stout</v>
      </c>
    </row>
    <row r="200" spans="1:11">
      <c r="A200" s="1">
        <v>10324</v>
      </c>
      <c r="B200" s="1">
        <v>46</v>
      </c>
      <c r="C200" s="1">
        <v>9.6</v>
      </c>
      <c r="D200" s="1">
        <v>30</v>
      </c>
      <c r="E200" s="3">
        <v>0</v>
      </c>
      <c r="F200" s="1" t="str">
        <f>_xlfn.XLOOKUP(A200,Orders!A:A,Orders!B:B,"not found")</f>
        <v>SAVEA</v>
      </c>
      <c r="G200" s="13">
        <f>_xlfn.XLOOKUP(OrderDetails[[#This Row],[OrderID]],Orders!A:A,Orders!C:C,"Not Found")</f>
        <v>35346</v>
      </c>
      <c r="H200" s="16">
        <f>(OrderDetails[[#This Row],[UnitPrice]]*OrderDetails[[#This Row],[Quantity]])*(1-OrderDetails[[#This Row],[Discount]])</f>
        <v>288</v>
      </c>
      <c r="I200" s="15" t="str">
        <f>_xlfn.XLOOKUP(OrderDetails[[#This Row],[ProductID]],Product!A:A,Product!G:G,"Not Found")</f>
        <v>Seafood</v>
      </c>
      <c r="J200" s="15" t="str">
        <f>LOOKUP(MONTH(G200),{1,4,7,10},{"Winter","Spring","Summer","Autumn"})</f>
        <v>Autumn</v>
      </c>
      <c r="K200" s="15" t="str">
        <f>_xlfn.XLOOKUP(OrderDetails[[#This Row],[ProductID]],Product!A:A,Product!B:B,"Not Found")</f>
        <v>Spegesild</v>
      </c>
    </row>
    <row r="201" spans="1:11">
      <c r="A201" s="2">
        <v>10324</v>
      </c>
      <c r="B201" s="2">
        <v>59</v>
      </c>
      <c r="C201" s="2">
        <v>44</v>
      </c>
      <c r="D201" s="2">
        <v>40</v>
      </c>
      <c r="E201" s="4">
        <v>0.15000000596046448</v>
      </c>
      <c r="F201" s="1" t="str">
        <f>_xlfn.XLOOKUP(A201,Orders!A:A,Orders!B:B,"not found")</f>
        <v>SAVEA</v>
      </c>
      <c r="G201" s="13">
        <f>_xlfn.XLOOKUP(OrderDetails[[#This Row],[OrderID]],Orders!A:A,Orders!C:C,"Not Found")</f>
        <v>35346</v>
      </c>
      <c r="H201" s="16">
        <f>(OrderDetails[[#This Row],[UnitPrice]]*OrderDetails[[#This Row],[Quantity]])*(1-OrderDetails[[#This Row],[Discount]])</f>
        <v>1495.9999895095825</v>
      </c>
      <c r="I201" s="15" t="str">
        <f>_xlfn.XLOOKUP(OrderDetails[[#This Row],[ProductID]],Product!A:A,Product!G:G,"Not Found")</f>
        <v>Dairy Products</v>
      </c>
      <c r="J201" s="15" t="str">
        <f>LOOKUP(MONTH(G201),{1,4,7,10},{"Winter","Spring","Summer","Autumn"})</f>
        <v>Autumn</v>
      </c>
      <c r="K201" s="15" t="str">
        <f>_xlfn.XLOOKUP(OrderDetails[[#This Row],[ProductID]],Product!A:A,Product!B:B,"Not Found")</f>
        <v>Raclette Courdavault</v>
      </c>
    </row>
    <row r="202" spans="1:11">
      <c r="A202" s="1">
        <v>10324</v>
      </c>
      <c r="B202" s="1">
        <v>63</v>
      </c>
      <c r="C202" s="1">
        <v>35.1</v>
      </c>
      <c r="D202" s="1">
        <v>80</v>
      </c>
      <c r="E202" s="3">
        <v>0.15000000596046448</v>
      </c>
      <c r="F202" s="1" t="str">
        <f>_xlfn.XLOOKUP(A202,Orders!A:A,Orders!B:B,"not found")</f>
        <v>SAVEA</v>
      </c>
      <c r="G202" s="13">
        <f>_xlfn.XLOOKUP(OrderDetails[[#This Row],[OrderID]],Orders!A:A,Orders!C:C,"Not Found")</f>
        <v>35346</v>
      </c>
      <c r="H202" s="16">
        <f>(OrderDetails[[#This Row],[UnitPrice]]*OrderDetails[[#This Row],[Quantity]])*(1-OrderDetails[[#This Row],[Discount]])</f>
        <v>2386.7999832630157</v>
      </c>
      <c r="I202" s="15" t="str">
        <f>_xlfn.XLOOKUP(OrderDetails[[#This Row],[ProductID]],Product!A:A,Product!G:G,"Not Found")</f>
        <v>Condiments</v>
      </c>
      <c r="J202" s="15" t="str">
        <f>LOOKUP(MONTH(G202),{1,4,7,10},{"Winter","Spring","Summer","Autumn"})</f>
        <v>Autumn</v>
      </c>
      <c r="K202" s="15" t="str">
        <f>_xlfn.XLOOKUP(OrderDetails[[#This Row],[ProductID]],Product!A:A,Product!B:B,"Not Found")</f>
        <v>Vegie-spread</v>
      </c>
    </row>
    <row r="203" spans="1:11">
      <c r="A203" s="2">
        <v>10325</v>
      </c>
      <c r="B203" s="2">
        <v>6</v>
      </c>
      <c r="C203" s="2">
        <v>20</v>
      </c>
      <c r="D203" s="2">
        <v>6</v>
      </c>
      <c r="E203" s="4">
        <v>0</v>
      </c>
      <c r="F203" s="1" t="str">
        <f>_xlfn.XLOOKUP(A203,Orders!A:A,Orders!B:B,"not found")</f>
        <v>KOENE</v>
      </c>
      <c r="G203" s="13">
        <f>_xlfn.XLOOKUP(OrderDetails[[#This Row],[OrderID]],Orders!A:A,Orders!C:C,"Not Found")</f>
        <v>35347</v>
      </c>
      <c r="H203" s="16">
        <f>(OrderDetails[[#This Row],[UnitPrice]]*OrderDetails[[#This Row],[Quantity]])*(1-OrderDetails[[#This Row],[Discount]])</f>
        <v>120</v>
      </c>
      <c r="I203" s="15" t="str">
        <f>_xlfn.XLOOKUP(OrderDetails[[#This Row],[ProductID]],Product!A:A,Product!G:G,"Not Found")</f>
        <v>Condiments</v>
      </c>
      <c r="J203" s="15" t="str">
        <f>LOOKUP(MONTH(G203),{1,4,7,10},{"Winter","Spring","Summer","Autumn"})</f>
        <v>Autumn</v>
      </c>
      <c r="K203" s="15" t="str">
        <f>_xlfn.XLOOKUP(OrderDetails[[#This Row],[ProductID]],Product!A:A,Product!B:B,"Not Found")</f>
        <v>Grandma's Boysenberry Spread</v>
      </c>
    </row>
    <row r="204" spans="1:11">
      <c r="A204" s="1">
        <v>10325</v>
      </c>
      <c r="B204" s="1">
        <v>13</v>
      </c>
      <c r="C204" s="1">
        <v>4.8</v>
      </c>
      <c r="D204" s="1">
        <v>12</v>
      </c>
      <c r="E204" s="3">
        <v>0</v>
      </c>
      <c r="F204" s="1" t="str">
        <f>_xlfn.XLOOKUP(A204,Orders!A:A,Orders!B:B,"not found")</f>
        <v>KOENE</v>
      </c>
      <c r="G204" s="13">
        <f>_xlfn.XLOOKUP(OrderDetails[[#This Row],[OrderID]],Orders!A:A,Orders!C:C,"Not Found")</f>
        <v>35347</v>
      </c>
      <c r="H204" s="16">
        <f>(OrderDetails[[#This Row],[UnitPrice]]*OrderDetails[[#This Row],[Quantity]])*(1-OrderDetails[[#This Row],[Discount]])</f>
        <v>57.599999999999994</v>
      </c>
      <c r="I204" s="15" t="str">
        <f>_xlfn.XLOOKUP(OrderDetails[[#This Row],[ProductID]],Product!A:A,Product!G:G,"Not Found")</f>
        <v>Seafood</v>
      </c>
      <c r="J204" s="15" t="str">
        <f>LOOKUP(MONTH(G204),{1,4,7,10},{"Winter","Spring","Summer","Autumn"})</f>
        <v>Autumn</v>
      </c>
      <c r="K204" s="15" t="str">
        <f>_xlfn.XLOOKUP(OrderDetails[[#This Row],[ProductID]],Product!A:A,Product!B:B,"Not Found")</f>
        <v>Konbu</v>
      </c>
    </row>
    <row r="205" spans="1:11">
      <c r="A205" s="2">
        <v>10325</v>
      </c>
      <c r="B205" s="2">
        <v>14</v>
      </c>
      <c r="C205" s="2">
        <v>18.600000000000001</v>
      </c>
      <c r="D205" s="2">
        <v>9</v>
      </c>
      <c r="E205" s="4">
        <v>0</v>
      </c>
      <c r="F205" s="1" t="str">
        <f>_xlfn.XLOOKUP(A205,Orders!A:A,Orders!B:B,"not found")</f>
        <v>KOENE</v>
      </c>
      <c r="G205" s="13">
        <f>_xlfn.XLOOKUP(OrderDetails[[#This Row],[OrderID]],Orders!A:A,Orders!C:C,"Not Found")</f>
        <v>35347</v>
      </c>
      <c r="H205" s="16">
        <f>(OrderDetails[[#This Row],[UnitPrice]]*OrderDetails[[#This Row],[Quantity]])*(1-OrderDetails[[#This Row],[Discount]])</f>
        <v>167.4</v>
      </c>
      <c r="I205" s="15" t="str">
        <f>_xlfn.XLOOKUP(OrderDetails[[#This Row],[ProductID]],Product!A:A,Product!G:G,"Not Found")</f>
        <v>Produce</v>
      </c>
      <c r="J205" s="15" t="str">
        <f>LOOKUP(MONTH(G205),{1,4,7,10},{"Winter","Spring","Summer","Autumn"})</f>
        <v>Autumn</v>
      </c>
      <c r="K205" s="15" t="str">
        <f>_xlfn.XLOOKUP(OrderDetails[[#This Row],[ProductID]],Product!A:A,Product!B:B,"Not Found")</f>
        <v>Tofu</v>
      </c>
    </row>
    <row r="206" spans="1:11">
      <c r="A206" s="1">
        <v>10325</v>
      </c>
      <c r="B206" s="1">
        <v>31</v>
      </c>
      <c r="C206" s="1">
        <v>10</v>
      </c>
      <c r="D206" s="1">
        <v>4</v>
      </c>
      <c r="E206" s="3">
        <v>0</v>
      </c>
      <c r="F206" s="1" t="str">
        <f>_xlfn.XLOOKUP(A206,Orders!A:A,Orders!B:B,"not found")</f>
        <v>KOENE</v>
      </c>
      <c r="G206" s="13">
        <f>_xlfn.XLOOKUP(OrderDetails[[#This Row],[OrderID]],Orders!A:A,Orders!C:C,"Not Found")</f>
        <v>35347</v>
      </c>
      <c r="H206" s="16">
        <f>(OrderDetails[[#This Row],[UnitPrice]]*OrderDetails[[#This Row],[Quantity]])*(1-OrderDetails[[#This Row],[Discount]])</f>
        <v>40</v>
      </c>
      <c r="I206" s="15" t="str">
        <f>_xlfn.XLOOKUP(OrderDetails[[#This Row],[ProductID]],Product!A:A,Product!G:G,"Not Found")</f>
        <v>Dairy Products</v>
      </c>
      <c r="J206" s="15" t="str">
        <f>LOOKUP(MONTH(G206),{1,4,7,10},{"Winter","Spring","Summer","Autumn"})</f>
        <v>Autumn</v>
      </c>
      <c r="K206" s="15" t="str">
        <f>_xlfn.XLOOKUP(OrderDetails[[#This Row],[ProductID]],Product!A:A,Product!B:B,"Not Found")</f>
        <v>Gorgonzola Telino</v>
      </c>
    </row>
    <row r="207" spans="1:11">
      <c r="A207" s="2">
        <v>10325</v>
      </c>
      <c r="B207" s="2">
        <v>72</v>
      </c>
      <c r="C207" s="2">
        <v>27.8</v>
      </c>
      <c r="D207" s="2">
        <v>40</v>
      </c>
      <c r="E207" s="4">
        <v>0</v>
      </c>
      <c r="F207" s="1" t="str">
        <f>_xlfn.XLOOKUP(A207,Orders!A:A,Orders!B:B,"not found")</f>
        <v>KOENE</v>
      </c>
      <c r="G207" s="13">
        <f>_xlfn.XLOOKUP(OrderDetails[[#This Row],[OrderID]],Orders!A:A,Orders!C:C,"Not Found")</f>
        <v>35347</v>
      </c>
      <c r="H207" s="16">
        <f>(OrderDetails[[#This Row],[UnitPrice]]*OrderDetails[[#This Row],[Quantity]])*(1-OrderDetails[[#This Row],[Discount]])</f>
        <v>1112</v>
      </c>
      <c r="I207" s="15" t="str">
        <f>_xlfn.XLOOKUP(OrderDetails[[#This Row],[ProductID]],Product!A:A,Product!G:G,"Not Found")</f>
        <v>Dairy Products</v>
      </c>
      <c r="J207" s="15" t="str">
        <f>LOOKUP(MONTH(G207),{1,4,7,10},{"Winter","Spring","Summer","Autumn"})</f>
        <v>Autumn</v>
      </c>
      <c r="K207" s="15" t="str">
        <f>_xlfn.XLOOKUP(OrderDetails[[#This Row],[ProductID]],Product!A:A,Product!B:B,"Not Found")</f>
        <v>Mozzarella di Giovanni</v>
      </c>
    </row>
    <row r="208" spans="1:11">
      <c r="A208" s="1">
        <v>10326</v>
      </c>
      <c r="B208" s="1">
        <v>4</v>
      </c>
      <c r="C208" s="1">
        <v>17.600000000000001</v>
      </c>
      <c r="D208" s="1">
        <v>24</v>
      </c>
      <c r="E208" s="3">
        <v>0</v>
      </c>
      <c r="F208" s="1" t="str">
        <f>_xlfn.XLOOKUP(A208,Orders!A:A,Orders!B:B,"not found")</f>
        <v>BOLID</v>
      </c>
      <c r="G208" s="13">
        <f>_xlfn.XLOOKUP(OrderDetails[[#This Row],[OrderID]],Orders!A:A,Orders!C:C,"Not Found")</f>
        <v>35348</v>
      </c>
      <c r="H208" s="16">
        <f>(OrderDetails[[#This Row],[UnitPrice]]*OrderDetails[[#This Row],[Quantity]])*(1-OrderDetails[[#This Row],[Discount]])</f>
        <v>422.40000000000003</v>
      </c>
      <c r="I208" s="15" t="str">
        <f>_xlfn.XLOOKUP(OrderDetails[[#This Row],[ProductID]],Product!A:A,Product!G:G,"Not Found")</f>
        <v>Condiments</v>
      </c>
      <c r="J208" s="15" t="str">
        <f>LOOKUP(MONTH(G208),{1,4,7,10},{"Winter","Spring","Summer","Autumn"})</f>
        <v>Autumn</v>
      </c>
      <c r="K208" s="15" t="str">
        <f>_xlfn.XLOOKUP(OrderDetails[[#This Row],[ProductID]],Product!A:A,Product!B:B,"Not Found")</f>
        <v>Chef Anton's Cajun Seasoning</v>
      </c>
    </row>
    <row r="209" spans="1:11">
      <c r="A209" s="2">
        <v>10326</v>
      </c>
      <c r="B209" s="2">
        <v>57</v>
      </c>
      <c r="C209" s="2">
        <v>15.6</v>
      </c>
      <c r="D209" s="2">
        <v>16</v>
      </c>
      <c r="E209" s="4">
        <v>0</v>
      </c>
      <c r="F209" s="1" t="str">
        <f>_xlfn.XLOOKUP(A209,Orders!A:A,Orders!B:B,"not found")</f>
        <v>BOLID</v>
      </c>
      <c r="G209" s="13">
        <f>_xlfn.XLOOKUP(OrderDetails[[#This Row],[OrderID]],Orders!A:A,Orders!C:C,"Not Found")</f>
        <v>35348</v>
      </c>
      <c r="H209" s="16">
        <f>(OrderDetails[[#This Row],[UnitPrice]]*OrderDetails[[#This Row],[Quantity]])*(1-OrderDetails[[#This Row],[Discount]])</f>
        <v>249.6</v>
      </c>
      <c r="I209" s="15" t="str">
        <f>_xlfn.XLOOKUP(OrderDetails[[#This Row],[ProductID]],Product!A:A,Product!G:G,"Not Found")</f>
        <v>Grains/Cereals</v>
      </c>
      <c r="J209" s="15" t="str">
        <f>LOOKUP(MONTH(G209),{1,4,7,10},{"Winter","Spring","Summer","Autumn"})</f>
        <v>Autumn</v>
      </c>
      <c r="K209" s="15" t="str">
        <f>_xlfn.XLOOKUP(OrderDetails[[#This Row],[ProductID]],Product!A:A,Product!B:B,"Not Found")</f>
        <v>Ravioli Angelo</v>
      </c>
    </row>
    <row r="210" spans="1:11">
      <c r="A210" s="1">
        <v>10326</v>
      </c>
      <c r="B210" s="1">
        <v>75</v>
      </c>
      <c r="C210" s="1">
        <v>6.2</v>
      </c>
      <c r="D210" s="1">
        <v>50</v>
      </c>
      <c r="E210" s="3">
        <v>0</v>
      </c>
      <c r="F210" s="1" t="str">
        <f>_xlfn.XLOOKUP(A210,Orders!A:A,Orders!B:B,"not found")</f>
        <v>BOLID</v>
      </c>
      <c r="G210" s="13">
        <f>_xlfn.XLOOKUP(OrderDetails[[#This Row],[OrderID]],Orders!A:A,Orders!C:C,"Not Found")</f>
        <v>35348</v>
      </c>
      <c r="H210" s="16">
        <f>(OrderDetails[[#This Row],[UnitPrice]]*OrderDetails[[#This Row],[Quantity]])*(1-OrderDetails[[#This Row],[Discount]])</f>
        <v>310</v>
      </c>
      <c r="I210" s="15" t="str">
        <f>_xlfn.XLOOKUP(OrderDetails[[#This Row],[ProductID]],Product!A:A,Product!G:G,"Not Found")</f>
        <v>Beverages</v>
      </c>
      <c r="J210" s="15" t="str">
        <f>LOOKUP(MONTH(G210),{1,4,7,10},{"Winter","Spring","Summer","Autumn"})</f>
        <v>Autumn</v>
      </c>
      <c r="K210" s="15" t="str">
        <f>_xlfn.XLOOKUP(OrderDetails[[#This Row],[ProductID]],Product!A:A,Product!B:B,"Not Found")</f>
        <v>Rhönbräu Klosterbier</v>
      </c>
    </row>
    <row r="211" spans="1:11">
      <c r="A211" s="2">
        <v>10327</v>
      </c>
      <c r="B211" s="2">
        <v>2</v>
      </c>
      <c r="C211" s="2">
        <v>15.2</v>
      </c>
      <c r="D211" s="2">
        <v>25</v>
      </c>
      <c r="E211" s="4">
        <v>0.20000000298023224</v>
      </c>
      <c r="F211" s="1" t="str">
        <f>_xlfn.XLOOKUP(A211,Orders!A:A,Orders!B:B,"not found")</f>
        <v>FOLKO</v>
      </c>
      <c r="G211" s="13">
        <f>_xlfn.XLOOKUP(OrderDetails[[#This Row],[OrderID]],Orders!A:A,Orders!C:C,"Not Found")</f>
        <v>35349</v>
      </c>
      <c r="H211" s="16">
        <f>(OrderDetails[[#This Row],[UnitPrice]]*OrderDetails[[#This Row],[Quantity]])*(1-OrderDetails[[#This Row],[Discount]])</f>
        <v>303.99999886751175</v>
      </c>
      <c r="I211" s="15" t="str">
        <f>_xlfn.XLOOKUP(OrderDetails[[#This Row],[ProductID]],Product!A:A,Product!G:G,"Not Found")</f>
        <v>Beverages</v>
      </c>
      <c r="J211" s="15" t="str">
        <f>LOOKUP(MONTH(G211),{1,4,7,10},{"Winter","Spring","Summer","Autumn"})</f>
        <v>Autumn</v>
      </c>
      <c r="K211" s="15" t="str">
        <f>_xlfn.XLOOKUP(OrderDetails[[#This Row],[ProductID]],Product!A:A,Product!B:B,"Not Found")</f>
        <v>Chang</v>
      </c>
    </row>
    <row r="212" spans="1:11">
      <c r="A212" s="1">
        <v>10327</v>
      </c>
      <c r="B212" s="1">
        <v>11</v>
      </c>
      <c r="C212" s="1">
        <v>16.8</v>
      </c>
      <c r="D212" s="1">
        <v>50</v>
      </c>
      <c r="E212" s="3">
        <v>0.20000000298023224</v>
      </c>
      <c r="F212" s="1" t="str">
        <f>_xlfn.XLOOKUP(A212,Orders!A:A,Orders!B:B,"not found")</f>
        <v>FOLKO</v>
      </c>
      <c r="G212" s="13">
        <f>_xlfn.XLOOKUP(OrderDetails[[#This Row],[OrderID]],Orders!A:A,Orders!C:C,"Not Found")</f>
        <v>35349</v>
      </c>
      <c r="H212" s="16">
        <f>(OrderDetails[[#This Row],[UnitPrice]]*OrderDetails[[#This Row],[Quantity]])*(1-OrderDetails[[#This Row],[Discount]])</f>
        <v>671.99999749660492</v>
      </c>
      <c r="I212" s="15" t="str">
        <f>_xlfn.XLOOKUP(OrderDetails[[#This Row],[ProductID]],Product!A:A,Product!G:G,"Not Found")</f>
        <v>Dairy Products</v>
      </c>
      <c r="J212" s="15" t="str">
        <f>LOOKUP(MONTH(G212),{1,4,7,10},{"Winter","Spring","Summer","Autumn"})</f>
        <v>Autumn</v>
      </c>
      <c r="K212" s="15" t="str">
        <f>_xlfn.XLOOKUP(OrderDetails[[#This Row],[ProductID]],Product!A:A,Product!B:B,"Not Found")</f>
        <v>Queso Cabrales</v>
      </c>
    </row>
    <row r="213" spans="1:11">
      <c r="A213" s="2">
        <v>10327</v>
      </c>
      <c r="B213" s="2">
        <v>30</v>
      </c>
      <c r="C213" s="2">
        <v>20.7</v>
      </c>
      <c r="D213" s="2">
        <v>35</v>
      </c>
      <c r="E213" s="4">
        <v>0.20000000298023224</v>
      </c>
      <c r="F213" s="1" t="str">
        <f>_xlfn.XLOOKUP(A213,Orders!A:A,Orders!B:B,"not found")</f>
        <v>FOLKO</v>
      </c>
      <c r="G213" s="13">
        <f>_xlfn.XLOOKUP(OrderDetails[[#This Row],[OrderID]],Orders!A:A,Orders!C:C,"Not Found")</f>
        <v>35349</v>
      </c>
      <c r="H213" s="16">
        <f>(OrderDetails[[#This Row],[UnitPrice]]*OrderDetails[[#This Row],[Quantity]])*(1-OrderDetails[[#This Row],[Discount]])</f>
        <v>579.59999784082174</v>
      </c>
      <c r="I213" s="15" t="str">
        <f>_xlfn.XLOOKUP(OrderDetails[[#This Row],[ProductID]],Product!A:A,Product!G:G,"Not Found")</f>
        <v>Seafood</v>
      </c>
      <c r="J213" s="15" t="str">
        <f>LOOKUP(MONTH(G213),{1,4,7,10},{"Winter","Spring","Summer","Autumn"})</f>
        <v>Autumn</v>
      </c>
      <c r="K213" s="15" t="str">
        <f>_xlfn.XLOOKUP(OrderDetails[[#This Row],[ProductID]],Product!A:A,Product!B:B,"Not Found")</f>
        <v>Nord-Ost Matjeshering</v>
      </c>
    </row>
    <row r="214" spans="1:11">
      <c r="A214" s="1">
        <v>10327</v>
      </c>
      <c r="B214" s="1">
        <v>58</v>
      </c>
      <c r="C214" s="1">
        <v>10.6</v>
      </c>
      <c r="D214" s="1">
        <v>30</v>
      </c>
      <c r="E214" s="3">
        <v>0.20000000298023224</v>
      </c>
      <c r="F214" s="1" t="str">
        <f>_xlfn.XLOOKUP(A214,Orders!A:A,Orders!B:B,"not found")</f>
        <v>FOLKO</v>
      </c>
      <c r="G214" s="13">
        <f>_xlfn.XLOOKUP(OrderDetails[[#This Row],[OrderID]],Orders!A:A,Orders!C:C,"Not Found")</f>
        <v>35349</v>
      </c>
      <c r="H214" s="16">
        <f>(OrderDetails[[#This Row],[UnitPrice]]*OrderDetails[[#This Row],[Quantity]])*(1-OrderDetails[[#This Row],[Discount]])</f>
        <v>254.39999905228615</v>
      </c>
      <c r="I214" s="15" t="str">
        <f>_xlfn.XLOOKUP(OrderDetails[[#This Row],[ProductID]],Product!A:A,Product!G:G,"Not Found")</f>
        <v>Seafood</v>
      </c>
      <c r="J214" s="15" t="str">
        <f>LOOKUP(MONTH(G214),{1,4,7,10},{"Winter","Spring","Summer","Autumn"})</f>
        <v>Autumn</v>
      </c>
      <c r="K214" s="15" t="str">
        <f>_xlfn.XLOOKUP(OrderDetails[[#This Row],[ProductID]],Product!A:A,Product!B:B,"Not Found")</f>
        <v>Escargots de Bourgogne</v>
      </c>
    </row>
    <row r="215" spans="1:11">
      <c r="A215" s="2">
        <v>10328</v>
      </c>
      <c r="B215" s="2">
        <v>59</v>
      </c>
      <c r="C215" s="2">
        <v>44</v>
      </c>
      <c r="D215" s="2">
        <v>9</v>
      </c>
      <c r="E215" s="4">
        <v>0</v>
      </c>
      <c r="F215" s="1" t="str">
        <f>_xlfn.XLOOKUP(A215,Orders!A:A,Orders!B:B,"not found")</f>
        <v>FURIB</v>
      </c>
      <c r="G215" s="13">
        <f>_xlfn.XLOOKUP(OrderDetails[[#This Row],[OrderID]],Orders!A:A,Orders!C:C,"Not Found")</f>
        <v>35352</v>
      </c>
      <c r="H215" s="16">
        <f>(OrderDetails[[#This Row],[UnitPrice]]*OrderDetails[[#This Row],[Quantity]])*(1-OrderDetails[[#This Row],[Discount]])</f>
        <v>396</v>
      </c>
      <c r="I215" s="15" t="str">
        <f>_xlfn.XLOOKUP(OrderDetails[[#This Row],[ProductID]],Product!A:A,Product!G:G,"Not Found")</f>
        <v>Dairy Products</v>
      </c>
      <c r="J215" s="15" t="str">
        <f>LOOKUP(MONTH(G215),{1,4,7,10},{"Winter","Spring","Summer","Autumn"})</f>
        <v>Autumn</v>
      </c>
      <c r="K215" s="15" t="str">
        <f>_xlfn.XLOOKUP(OrderDetails[[#This Row],[ProductID]],Product!A:A,Product!B:B,"Not Found")</f>
        <v>Raclette Courdavault</v>
      </c>
    </row>
    <row r="216" spans="1:11">
      <c r="A216" s="1">
        <v>10328</v>
      </c>
      <c r="B216" s="1">
        <v>65</v>
      </c>
      <c r="C216" s="1">
        <v>16.8</v>
      </c>
      <c r="D216" s="1">
        <v>40</v>
      </c>
      <c r="E216" s="3">
        <v>0</v>
      </c>
      <c r="F216" s="1" t="str">
        <f>_xlfn.XLOOKUP(A216,Orders!A:A,Orders!B:B,"not found")</f>
        <v>FURIB</v>
      </c>
      <c r="G216" s="13">
        <f>_xlfn.XLOOKUP(OrderDetails[[#This Row],[OrderID]],Orders!A:A,Orders!C:C,"Not Found")</f>
        <v>35352</v>
      </c>
      <c r="H216" s="16">
        <f>(OrderDetails[[#This Row],[UnitPrice]]*OrderDetails[[#This Row],[Quantity]])*(1-OrderDetails[[#This Row],[Discount]])</f>
        <v>672</v>
      </c>
      <c r="I216" s="15" t="str">
        <f>_xlfn.XLOOKUP(OrderDetails[[#This Row],[ProductID]],Product!A:A,Product!G:G,"Not Found")</f>
        <v>Condiments</v>
      </c>
      <c r="J216" s="15" t="str">
        <f>LOOKUP(MONTH(G216),{1,4,7,10},{"Winter","Spring","Summer","Autumn"})</f>
        <v>Autumn</v>
      </c>
      <c r="K216" s="15" t="str">
        <f>_xlfn.XLOOKUP(OrderDetails[[#This Row],[ProductID]],Product!A:A,Product!B:B,"Not Found")</f>
        <v>Louisiana Fiery Hot Pepper Sauce</v>
      </c>
    </row>
    <row r="217" spans="1:11">
      <c r="A217" s="2">
        <v>10328</v>
      </c>
      <c r="B217" s="2">
        <v>68</v>
      </c>
      <c r="C217" s="2">
        <v>10</v>
      </c>
      <c r="D217" s="2">
        <v>10</v>
      </c>
      <c r="E217" s="4">
        <v>0</v>
      </c>
      <c r="F217" s="1" t="str">
        <f>_xlfn.XLOOKUP(A217,Orders!A:A,Orders!B:B,"not found")</f>
        <v>FURIB</v>
      </c>
      <c r="G217" s="13">
        <f>_xlfn.XLOOKUP(OrderDetails[[#This Row],[OrderID]],Orders!A:A,Orders!C:C,"Not Found")</f>
        <v>35352</v>
      </c>
      <c r="H217" s="16">
        <f>(OrderDetails[[#This Row],[UnitPrice]]*OrderDetails[[#This Row],[Quantity]])*(1-OrderDetails[[#This Row],[Discount]])</f>
        <v>100</v>
      </c>
      <c r="I217" s="15" t="str">
        <f>_xlfn.XLOOKUP(OrderDetails[[#This Row],[ProductID]],Product!A:A,Product!G:G,"Not Found")</f>
        <v>Confections</v>
      </c>
      <c r="J217" s="15" t="str">
        <f>LOOKUP(MONTH(G217),{1,4,7,10},{"Winter","Spring","Summer","Autumn"})</f>
        <v>Autumn</v>
      </c>
      <c r="K217" s="15" t="str">
        <f>_xlfn.XLOOKUP(OrderDetails[[#This Row],[ProductID]],Product!A:A,Product!B:B,"Not Found")</f>
        <v>Scottish Longbreads</v>
      </c>
    </row>
    <row r="218" spans="1:11">
      <c r="A218" s="1">
        <v>10329</v>
      </c>
      <c r="B218" s="1">
        <v>19</v>
      </c>
      <c r="C218" s="1">
        <v>7.3</v>
      </c>
      <c r="D218" s="1">
        <v>10</v>
      </c>
      <c r="E218" s="3">
        <v>5.000000074505806E-2</v>
      </c>
      <c r="F218" s="1" t="str">
        <f>_xlfn.XLOOKUP(A218,Orders!A:A,Orders!B:B,"not found")</f>
        <v>SPLIR</v>
      </c>
      <c r="G218" s="13">
        <f>_xlfn.XLOOKUP(OrderDetails[[#This Row],[OrderID]],Orders!A:A,Orders!C:C,"Not Found")</f>
        <v>35353</v>
      </c>
      <c r="H218" s="16">
        <f>(OrderDetails[[#This Row],[UnitPrice]]*OrderDetails[[#This Row],[Quantity]])*(1-OrderDetails[[#This Row],[Discount]])</f>
        <v>69.349999945610762</v>
      </c>
      <c r="I218" s="15" t="str">
        <f>_xlfn.XLOOKUP(OrderDetails[[#This Row],[ProductID]],Product!A:A,Product!G:G,"Not Found")</f>
        <v>Confections</v>
      </c>
      <c r="J218" s="15" t="str">
        <f>LOOKUP(MONTH(G218),{1,4,7,10},{"Winter","Spring","Summer","Autumn"})</f>
        <v>Autumn</v>
      </c>
      <c r="K218" s="15" t="str">
        <f>_xlfn.XLOOKUP(OrderDetails[[#This Row],[ProductID]],Product!A:A,Product!B:B,"Not Found")</f>
        <v>Teatime Chocolate Biscuits</v>
      </c>
    </row>
    <row r="219" spans="1:11">
      <c r="A219" s="2">
        <v>10329</v>
      </c>
      <c r="B219" s="2">
        <v>30</v>
      </c>
      <c r="C219" s="2">
        <v>20.7</v>
      </c>
      <c r="D219" s="2">
        <v>8</v>
      </c>
      <c r="E219" s="4">
        <v>5.000000074505806E-2</v>
      </c>
      <c r="F219" s="1" t="str">
        <f>_xlfn.XLOOKUP(A219,Orders!A:A,Orders!B:B,"not found")</f>
        <v>SPLIR</v>
      </c>
      <c r="G219" s="13">
        <f>_xlfn.XLOOKUP(OrderDetails[[#This Row],[OrderID]],Orders!A:A,Orders!C:C,"Not Found")</f>
        <v>35353</v>
      </c>
      <c r="H219" s="16">
        <f>(OrderDetails[[#This Row],[UnitPrice]]*OrderDetails[[#This Row],[Quantity]])*(1-OrderDetails[[#This Row],[Discount]])</f>
        <v>157.31999987661837</v>
      </c>
      <c r="I219" s="15" t="str">
        <f>_xlfn.XLOOKUP(OrderDetails[[#This Row],[ProductID]],Product!A:A,Product!G:G,"Not Found")</f>
        <v>Seafood</v>
      </c>
      <c r="J219" s="15" t="str">
        <f>LOOKUP(MONTH(G219),{1,4,7,10},{"Winter","Spring","Summer","Autumn"})</f>
        <v>Autumn</v>
      </c>
      <c r="K219" s="15" t="str">
        <f>_xlfn.XLOOKUP(OrderDetails[[#This Row],[ProductID]],Product!A:A,Product!B:B,"Not Found")</f>
        <v>Nord-Ost Matjeshering</v>
      </c>
    </row>
    <row r="220" spans="1:11">
      <c r="A220" s="1">
        <v>10329</v>
      </c>
      <c r="B220" s="1">
        <v>38</v>
      </c>
      <c r="C220" s="1">
        <v>210.8</v>
      </c>
      <c r="D220" s="1">
        <v>20</v>
      </c>
      <c r="E220" s="3">
        <v>5.000000074505806E-2</v>
      </c>
      <c r="F220" s="1" t="str">
        <f>_xlfn.XLOOKUP(A220,Orders!A:A,Orders!B:B,"not found")</f>
        <v>SPLIR</v>
      </c>
      <c r="G220" s="13">
        <f>_xlfn.XLOOKUP(OrderDetails[[#This Row],[OrderID]],Orders!A:A,Orders!C:C,"Not Found")</f>
        <v>35353</v>
      </c>
      <c r="H220" s="16">
        <f>(OrderDetails[[#This Row],[UnitPrice]]*OrderDetails[[#This Row],[Quantity]])*(1-OrderDetails[[#This Row],[Discount]])</f>
        <v>4005.1999968588352</v>
      </c>
      <c r="I220" s="15" t="str">
        <f>_xlfn.XLOOKUP(OrderDetails[[#This Row],[ProductID]],Product!A:A,Product!G:G,"Not Found")</f>
        <v>Beverages</v>
      </c>
      <c r="J220" s="15" t="str">
        <f>LOOKUP(MONTH(G220),{1,4,7,10},{"Winter","Spring","Summer","Autumn"})</f>
        <v>Autumn</v>
      </c>
      <c r="K220" s="15" t="str">
        <f>_xlfn.XLOOKUP(OrderDetails[[#This Row],[ProductID]],Product!A:A,Product!B:B,"Not Found")</f>
        <v>Côte de Blaye</v>
      </c>
    </row>
    <row r="221" spans="1:11">
      <c r="A221" s="2">
        <v>10329</v>
      </c>
      <c r="B221" s="2">
        <v>56</v>
      </c>
      <c r="C221" s="2">
        <v>30.4</v>
      </c>
      <c r="D221" s="2">
        <v>12</v>
      </c>
      <c r="E221" s="4">
        <v>5.000000074505806E-2</v>
      </c>
      <c r="F221" s="1" t="str">
        <f>_xlfn.XLOOKUP(A221,Orders!A:A,Orders!B:B,"not found")</f>
        <v>SPLIR</v>
      </c>
      <c r="G221" s="13">
        <f>_xlfn.XLOOKUP(OrderDetails[[#This Row],[OrderID]],Orders!A:A,Orders!C:C,"Not Found")</f>
        <v>35353</v>
      </c>
      <c r="H221" s="16">
        <f>(OrderDetails[[#This Row],[UnitPrice]]*OrderDetails[[#This Row],[Quantity]])*(1-OrderDetails[[#This Row],[Discount]])</f>
        <v>346.5599997282028</v>
      </c>
      <c r="I221" s="15" t="str">
        <f>_xlfn.XLOOKUP(OrderDetails[[#This Row],[ProductID]],Product!A:A,Product!G:G,"Not Found")</f>
        <v>Grains/Cereals</v>
      </c>
      <c r="J221" s="15" t="str">
        <f>LOOKUP(MONTH(G221),{1,4,7,10},{"Winter","Spring","Summer","Autumn"})</f>
        <v>Autumn</v>
      </c>
      <c r="K221" s="15" t="str">
        <f>_xlfn.XLOOKUP(OrderDetails[[#This Row],[ProductID]],Product!A:A,Product!B:B,"Not Found")</f>
        <v>Gnocchi di nonna Alice</v>
      </c>
    </row>
    <row r="222" spans="1:11">
      <c r="A222" s="1">
        <v>10330</v>
      </c>
      <c r="B222" s="1">
        <v>26</v>
      </c>
      <c r="C222" s="1">
        <v>24.9</v>
      </c>
      <c r="D222" s="1">
        <v>50</v>
      </c>
      <c r="E222" s="3">
        <v>0.15000000596046448</v>
      </c>
      <c r="F222" s="1" t="str">
        <f>_xlfn.XLOOKUP(A222,Orders!A:A,Orders!B:B,"not found")</f>
        <v>LILAS</v>
      </c>
      <c r="G222" s="13">
        <f>_xlfn.XLOOKUP(OrderDetails[[#This Row],[OrderID]],Orders!A:A,Orders!C:C,"Not Found")</f>
        <v>35354</v>
      </c>
      <c r="H222" s="16">
        <f>(OrderDetails[[#This Row],[UnitPrice]]*OrderDetails[[#This Row],[Quantity]])*(1-OrderDetails[[#This Row],[Discount]])</f>
        <v>1058.2499925792217</v>
      </c>
      <c r="I222" s="15" t="str">
        <f>_xlfn.XLOOKUP(OrderDetails[[#This Row],[ProductID]],Product!A:A,Product!G:G,"Not Found")</f>
        <v>Confections</v>
      </c>
      <c r="J222" s="15" t="str">
        <f>LOOKUP(MONTH(G222),{1,4,7,10},{"Winter","Spring","Summer","Autumn"})</f>
        <v>Autumn</v>
      </c>
      <c r="K222" s="15" t="str">
        <f>_xlfn.XLOOKUP(OrderDetails[[#This Row],[ProductID]],Product!A:A,Product!B:B,"Not Found")</f>
        <v>Gumbär Gummibärchen</v>
      </c>
    </row>
    <row r="223" spans="1:11">
      <c r="A223" s="2">
        <v>10330</v>
      </c>
      <c r="B223" s="2">
        <v>72</v>
      </c>
      <c r="C223" s="2">
        <v>27.8</v>
      </c>
      <c r="D223" s="2">
        <v>25</v>
      </c>
      <c r="E223" s="4">
        <v>0.15000000596046448</v>
      </c>
      <c r="F223" s="1" t="str">
        <f>_xlfn.XLOOKUP(A223,Orders!A:A,Orders!B:B,"not found")</f>
        <v>LILAS</v>
      </c>
      <c r="G223" s="13">
        <f>_xlfn.XLOOKUP(OrderDetails[[#This Row],[OrderID]],Orders!A:A,Orders!C:C,"Not Found")</f>
        <v>35354</v>
      </c>
      <c r="H223" s="16">
        <f>(OrderDetails[[#This Row],[UnitPrice]]*OrderDetails[[#This Row],[Quantity]])*(1-OrderDetails[[#This Row],[Discount]])</f>
        <v>590.74999585747719</v>
      </c>
      <c r="I223" s="15" t="str">
        <f>_xlfn.XLOOKUP(OrderDetails[[#This Row],[ProductID]],Product!A:A,Product!G:G,"Not Found")</f>
        <v>Dairy Products</v>
      </c>
      <c r="J223" s="15" t="str">
        <f>LOOKUP(MONTH(G223),{1,4,7,10},{"Winter","Spring","Summer","Autumn"})</f>
        <v>Autumn</v>
      </c>
      <c r="K223" s="15" t="str">
        <f>_xlfn.XLOOKUP(OrderDetails[[#This Row],[ProductID]],Product!A:A,Product!B:B,"Not Found")</f>
        <v>Mozzarella di Giovanni</v>
      </c>
    </row>
    <row r="224" spans="1:11">
      <c r="A224" s="1">
        <v>10331</v>
      </c>
      <c r="B224" s="1">
        <v>54</v>
      </c>
      <c r="C224" s="1">
        <v>5.9</v>
      </c>
      <c r="D224" s="1">
        <v>15</v>
      </c>
      <c r="E224" s="3">
        <v>0</v>
      </c>
      <c r="F224" s="1" t="str">
        <f>_xlfn.XLOOKUP(A224,Orders!A:A,Orders!B:B,"not found")</f>
        <v>BONAP</v>
      </c>
      <c r="G224" s="13">
        <f>_xlfn.XLOOKUP(OrderDetails[[#This Row],[OrderID]],Orders!A:A,Orders!C:C,"Not Found")</f>
        <v>35354</v>
      </c>
      <c r="H224" s="16">
        <f>(OrderDetails[[#This Row],[UnitPrice]]*OrderDetails[[#This Row],[Quantity]])*(1-OrderDetails[[#This Row],[Discount]])</f>
        <v>88.5</v>
      </c>
      <c r="I224" s="15" t="str">
        <f>_xlfn.XLOOKUP(OrderDetails[[#This Row],[ProductID]],Product!A:A,Product!G:G,"Not Found")</f>
        <v>Meat/Poultry</v>
      </c>
      <c r="J224" s="15" t="str">
        <f>LOOKUP(MONTH(G224),{1,4,7,10},{"Winter","Spring","Summer","Autumn"})</f>
        <v>Autumn</v>
      </c>
      <c r="K224" s="15" t="str">
        <f>_xlfn.XLOOKUP(OrderDetails[[#This Row],[ProductID]],Product!A:A,Product!B:B,"Not Found")</f>
        <v>Tourtière</v>
      </c>
    </row>
    <row r="225" spans="1:11">
      <c r="A225" s="2">
        <v>10332</v>
      </c>
      <c r="B225" s="2">
        <v>18</v>
      </c>
      <c r="C225" s="2">
        <v>50</v>
      </c>
      <c r="D225" s="2">
        <v>40</v>
      </c>
      <c r="E225" s="4">
        <v>0.20000000298023224</v>
      </c>
      <c r="F225" s="1" t="str">
        <f>_xlfn.XLOOKUP(A225,Orders!A:A,Orders!B:B,"not found")</f>
        <v>MEREP</v>
      </c>
      <c r="G225" s="13">
        <f>_xlfn.XLOOKUP(OrderDetails[[#This Row],[OrderID]],Orders!A:A,Orders!C:C,"Not Found")</f>
        <v>35355</v>
      </c>
      <c r="H225" s="16">
        <f>(OrderDetails[[#This Row],[UnitPrice]]*OrderDetails[[#This Row],[Quantity]])*(1-OrderDetails[[#This Row],[Discount]])</f>
        <v>1599.9999940395355</v>
      </c>
      <c r="I225" s="15" t="str">
        <f>_xlfn.XLOOKUP(OrderDetails[[#This Row],[ProductID]],Product!A:A,Product!G:G,"Not Found")</f>
        <v>Seafood</v>
      </c>
      <c r="J225" s="15" t="str">
        <f>LOOKUP(MONTH(G225),{1,4,7,10},{"Winter","Spring","Summer","Autumn"})</f>
        <v>Autumn</v>
      </c>
      <c r="K225" s="15" t="str">
        <f>_xlfn.XLOOKUP(OrderDetails[[#This Row],[ProductID]],Product!A:A,Product!B:B,"Not Found")</f>
        <v>Carnarvon Tigers</v>
      </c>
    </row>
    <row r="226" spans="1:11">
      <c r="A226" s="1">
        <v>10332</v>
      </c>
      <c r="B226" s="1">
        <v>42</v>
      </c>
      <c r="C226" s="1">
        <v>11.2</v>
      </c>
      <c r="D226" s="1">
        <v>10</v>
      </c>
      <c r="E226" s="3">
        <v>0.20000000298023224</v>
      </c>
      <c r="F226" s="1" t="str">
        <f>_xlfn.XLOOKUP(A226,Orders!A:A,Orders!B:B,"not found")</f>
        <v>MEREP</v>
      </c>
      <c r="G226" s="13">
        <f>_xlfn.XLOOKUP(OrderDetails[[#This Row],[OrderID]],Orders!A:A,Orders!C:C,"Not Found")</f>
        <v>35355</v>
      </c>
      <c r="H226" s="16">
        <f>(OrderDetails[[#This Row],[UnitPrice]]*OrderDetails[[#This Row],[Quantity]])*(1-OrderDetails[[#This Row],[Discount]])</f>
        <v>89.599999666213989</v>
      </c>
      <c r="I226" s="15" t="str">
        <f>_xlfn.XLOOKUP(OrderDetails[[#This Row],[ProductID]],Product!A:A,Product!G:G,"Not Found")</f>
        <v>Grains/Cereals</v>
      </c>
      <c r="J226" s="15" t="str">
        <f>LOOKUP(MONTH(G226),{1,4,7,10},{"Winter","Spring","Summer","Autumn"})</f>
        <v>Autumn</v>
      </c>
      <c r="K226" s="15" t="str">
        <f>_xlfn.XLOOKUP(OrderDetails[[#This Row],[ProductID]],Product!A:A,Product!B:B,"Not Found")</f>
        <v>Singaporean Hokkien Fried Mee</v>
      </c>
    </row>
    <row r="227" spans="1:11">
      <c r="A227" s="2">
        <v>10332</v>
      </c>
      <c r="B227" s="2">
        <v>47</v>
      </c>
      <c r="C227" s="2">
        <v>7.6</v>
      </c>
      <c r="D227" s="2">
        <v>16</v>
      </c>
      <c r="E227" s="4">
        <v>0.20000000298023224</v>
      </c>
      <c r="F227" s="1" t="str">
        <f>_xlfn.XLOOKUP(A227,Orders!A:A,Orders!B:B,"not found")</f>
        <v>MEREP</v>
      </c>
      <c r="G227" s="13">
        <f>_xlfn.XLOOKUP(OrderDetails[[#This Row],[OrderID]],Orders!A:A,Orders!C:C,"Not Found")</f>
        <v>35355</v>
      </c>
      <c r="H227" s="16">
        <f>(OrderDetails[[#This Row],[UnitPrice]]*OrderDetails[[#This Row],[Quantity]])*(1-OrderDetails[[#This Row],[Discount]])</f>
        <v>97.279999637603751</v>
      </c>
      <c r="I227" s="15" t="str">
        <f>_xlfn.XLOOKUP(OrderDetails[[#This Row],[ProductID]],Product!A:A,Product!G:G,"Not Found")</f>
        <v>Confections</v>
      </c>
      <c r="J227" s="15" t="str">
        <f>LOOKUP(MONTH(G227),{1,4,7,10},{"Winter","Spring","Summer","Autumn"})</f>
        <v>Autumn</v>
      </c>
      <c r="K227" s="15" t="str">
        <f>_xlfn.XLOOKUP(OrderDetails[[#This Row],[ProductID]],Product!A:A,Product!B:B,"Not Found")</f>
        <v>Zaanse koeken</v>
      </c>
    </row>
    <row r="228" spans="1:11">
      <c r="A228" s="1">
        <v>10333</v>
      </c>
      <c r="B228" s="1">
        <v>14</v>
      </c>
      <c r="C228" s="1">
        <v>18.600000000000001</v>
      </c>
      <c r="D228" s="1">
        <v>10</v>
      </c>
      <c r="E228" s="3">
        <v>0</v>
      </c>
      <c r="F228" s="1" t="str">
        <f>_xlfn.XLOOKUP(A228,Orders!A:A,Orders!B:B,"not found")</f>
        <v>WARTH</v>
      </c>
      <c r="G228" s="13">
        <f>_xlfn.XLOOKUP(OrderDetails[[#This Row],[OrderID]],Orders!A:A,Orders!C:C,"Not Found")</f>
        <v>35356</v>
      </c>
      <c r="H228" s="16">
        <f>(OrderDetails[[#This Row],[UnitPrice]]*OrderDetails[[#This Row],[Quantity]])*(1-OrderDetails[[#This Row],[Discount]])</f>
        <v>186</v>
      </c>
      <c r="I228" s="15" t="str">
        <f>_xlfn.XLOOKUP(OrderDetails[[#This Row],[ProductID]],Product!A:A,Product!G:G,"Not Found")</f>
        <v>Produce</v>
      </c>
      <c r="J228" s="15" t="str">
        <f>LOOKUP(MONTH(G228),{1,4,7,10},{"Winter","Spring","Summer","Autumn"})</f>
        <v>Autumn</v>
      </c>
      <c r="K228" s="15" t="str">
        <f>_xlfn.XLOOKUP(OrderDetails[[#This Row],[ProductID]],Product!A:A,Product!B:B,"Not Found")</f>
        <v>Tofu</v>
      </c>
    </row>
    <row r="229" spans="1:11">
      <c r="A229" s="2">
        <v>10333</v>
      </c>
      <c r="B229" s="2">
        <v>21</v>
      </c>
      <c r="C229" s="2">
        <v>8</v>
      </c>
      <c r="D229" s="2">
        <v>10</v>
      </c>
      <c r="E229" s="4">
        <v>0.10000000149011612</v>
      </c>
      <c r="F229" s="1" t="str">
        <f>_xlfn.XLOOKUP(A229,Orders!A:A,Orders!B:B,"not found")</f>
        <v>WARTH</v>
      </c>
      <c r="G229" s="13">
        <f>_xlfn.XLOOKUP(OrderDetails[[#This Row],[OrderID]],Orders!A:A,Orders!C:C,"Not Found")</f>
        <v>35356</v>
      </c>
      <c r="H229" s="16">
        <f>(OrderDetails[[#This Row],[UnitPrice]]*OrderDetails[[#This Row],[Quantity]])*(1-OrderDetails[[#This Row],[Discount]])</f>
        <v>71.99999988079071</v>
      </c>
      <c r="I229" s="15" t="str">
        <f>_xlfn.XLOOKUP(OrderDetails[[#This Row],[ProductID]],Product!A:A,Product!G:G,"Not Found")</f>
        <v>Confections</v>
      </c>
      <c r="J229" s="15" t="str">
        <f>LOOKUP(MONTH(G229),{1,4,7,10},{"Winter","Spring","Summer","Autumn"})</f>
        <v>Autumn</v>
      </c>
      <c r="K229" s="15" t="str">
        <f>_xlfn.XLOOKUP(OrderDetails[[#This Row],[ProductID]],Product!A:A,Product!B:B,"Not Found")</f>
        <v>Sir Rodney's Scones</v>
      </c>
    </row>
    <row r="230" spans="1:11">
      <c r="A230" s="1">
        <v>10333</v>
      </c>
      <c r="B230" s="1">
        <v>71</v>
      </c>
      <c r="C230" s="1">
        <v>17.2</v>
      </c>
      <c r="D230" s="1">
        <v>40</v>
      </c>
      <c r="E230" s="3">
        <v>0.10000000149011612</v>
      </c>
      <c r="F230" s="1" t="str">
        <f>_xlfn.XLOOKUP(A230,Orders!A:A,Orders!B:B,"not found")</f>
        <v>WARTH</v>
      </c>
      <c r="G230" s="13">
        <f>_xlfn.XLOOKUP(OrderDetails[[#This Row],[OrderID]],Orders!A:A,Orders!C:C,"Not Found")</f>
        <v>35356</v>
      </c>
      <c r="H230" s="16">
        <f>(OrderDetails[[#This Row],[UnitPrice]]*OrderDetails[[#This Row],[Quantity]])*(1-OrderDetails[[#This Row],[Discount]])</f>
        <v>619.19999897480011</v>
      </c>
      <c r="I230" s="15" t="str">
        <f>_xlfn.XLOOKUP(OrderDetails[[#This Row],[ProductID]],Product!A:A,Product!G:G,"Not Found")</f>
        <v>Dairy Products</v>
      </c>
      <c r="J230" s="15" t="str">
        <f>LOOKUP(MONTH(G230),{1,4,7,10},{"Winter","Spring","Summer","Autumn"})</f>
        <v>Autumn</v>
      </c>
      <c r="K230" s="15" t="str">
        <f>_xlfn.XLOOKUP(OrderDetails[[#This Row],[ProductID]],Product!A:A,Product!B:B,"Not Found")</f>
        <v>Flotemysost</v>
      </c>
    </row>
    <row r="231" spans="1:11">
      <c r="A231" s="2">
        <v>10334</v>
      </c>
      <c r="B231" s="2">
        <v>52</v>
      </c>
      <c r="C231" s="2">
        <v>5.6</v>
      </c>
      <c r="D231" s="2">
        <v>8</v>
      </c>
      <c r="E231" s="4">
        <v>0</v>
      </c>
      <c r="F231" s="1" t="str">
        <f>_xlfn.XLOOKUP(A231,Orders!A:A,Orders!B:B,"not found")</f>
        <v>VICTE</v>
      </c>
      <c r="G231" s="13">
        <f>_xlfn.XLOOKUP(OrderDetails[[#This Row],[OrderID]],Orders!A:A,Orders!C:C,"Not Found")</f>
        <v>35359</v>
      </c>
      <c r="H231" s="16">
        <f>(OrderDetails[[#This Row],[UnitPrice]]*OrderDetails[[#This Row],[Quantity]])*(1-OrderDetails[[#This Row],[Discount]])</f>
        <v>44.8</v>
      </c>
      <c r="I231" s="15" t="str">
        <f>_xlfn.XLOOKUP(OrderDetails[[#This Row],[ProductID]],Product!A:A,Product!G:G,"Not Found")</f>
        <v>Grains/Cereals</v>
      </c>
      <c r="J231" s="15" t="str">
        <f>LOOKUP(MONTH(G231),{1,4,7,10},{"Winter","Spring","Summer","Autumn"})</f>
        <v>Autumn</v>
      </c>
      <c r="K231" s="15" t="str">
        <f>_xlfn.XLOOKUP(OrderDetails[[#This Row],[ProductID]],Product!A:A,Product!B:B,"Not Found")</f>
        <v>Filo Mix</v>
      </c>
    </row>
    <row r="232" spans="1:11">
      <c r="A232" s="1">
        <v>10334</v>
      </c>
      <c r="B232" s="1">
        <v>68</v>
      </c>
      <c r="C232" s="1">
        <v>10</v>
      </c>
      <c r="D232" s="1">
        <v>10</v>
      </c>
      <c r="E232" s="3">
        <v>0</v>
      </c>
      <c r="F232" s="1" t="str">
        <f>_xlfn.XLOOKUP(A232,Orders!A:A,Orders!B:B,"not found")</f>
        <v>VICTE</v>
      </c>
      <c r="G232" s="13">
        <f>_xlfn.XLOOKUP(OrderDetails[[#This Row],[OrderID]],Orders!A:A,Orders!C:C,"Not Found")</f>
        <v>35359</v>
      </c>
      <c r="H232" s="16">
        <f>(OrderDetails[[#This Row],[UnitPrice]]*OrderDetails[[#This Row],[Quantity]])*(1-OrderDetails[[#This Row],[Discount]])</f>
        <v>100</v>
      </c>
      <c r="I232" s="15" t="str">
        <f>_xlfn.XLOOKUP(OrderDetails[[#This Row],[ProductID]],Product!A:A,Product!G:G,"Not Found")</f>
        <v>Confections</v>
      </c>
      <c r="J232" s="15" t="str">
        <f>LOOKUP(MONTH(G232),{1,4,7,10},{"Winter","Spring","Summer","Autumn"})</f>
        <v>Autumn</v>
      </c>
      <c r="K232" s="15" t="str">
        <f>_xlfn.XLOOKUP(OrderDetails[[#This Row],[ProductID]],Product!A:A,Product!B:B,"Not Found")</f>
        <v>Scottish Longbreads</v>
      </c>
    </row>
    <row r="233" spans="1:11">
      <c r="A233" s="2">
        <v>10335</v>
      </c>
      <c r="B233" s="2">
        <v>2</v>
      </c>
      <c r="C233" s="2">
        <v>15.2</v>
      </c>
      <c r="D233" s="2">
        <v>7</v>
      </c>
      <c r="E233" s="4">
        <v>0.20000000298023224</v>
      </c>
      <c r="F233" s="1" t="str">
        <f>_xlfn.XLOOKUP(A233,Orders!A:A,Orders!B:B,"not found")</f>
        <v>HUNGO</v>
      </c>
      <c r="G233" s="13">
        <f>_xlfn.XLOOKUP(OrderDetails[[#This Row],[OrderID]],Orders!A:A,Orders!C:C,"Not Found")</f>
        <v>35360</v>
      </c>
      <c r="H233" s="16">
        <f>(OrderDetails[[#This Row],[UnitPrice]]*OrderDetails[[#This Row],[Quantity]])*(1-OrderDetails[[#This Row],[Discount]])</f>
        <v>85.119999682903284</v>
      </c>
      <c r="I233" s="15" t="str">
        <f>_xlfn.XLOOKUP(OrderDetails[[#This Row],[ProductID]],Product!A:A,Product!G:G,"Not Found")</f>
        <v>Beverages</v>
      </c>
      <c r="J233" s="15" t="str">
        <f>LOOKUP(MONTH(G233),{1,4,7,10},{"Winter","Spring","Summer","Autumn"})</f>
        <v>Autumn</v>
      </c>
      <c r="K233" s="15" t="str">
        <f>_xlfn.XLOOKUP(OrderDetails[[#This Row],[ProductID]],Product!A:A,Product!B:B,"Not Found")</f>
        <v>Chang</v>
      </c>
    </row>
    <row r="234" spans="1:11">
      <c r="A234" s="1">
        <v>10335</v>
      </c>
      <c r="B234" s="1">
        <v>31</v>
      </c>
      <c r="C234" s="1">
        <v>10</v>
      </c>
      <c r="D234" s="1">
        <v>25</v>
      </c>
      <c r="E234" s="3">
        <v>0.20000000298023224</v>
      </c>
      <c r="F234" s="1" t="str">
        <f>_xlfn.XLOOKUP(A234,Orders!A:A,Orders!B:B,"not found")</f>
        <v>HUNGO</v>
      </c>
      <c r="G234" s="13">
        <f>_xlfn.XLOOKUP(OrderDetails[[#This Row],[OrderID]],Orders!A:A,Orders!C:C,"Not Found")</f>
        <v>35360</v>
      </c>
      <c r="H234" s="16">
        <f>(OrderDetails[[#This Row],[UnitPrice]]*OrderDetails[[#This Row],[Quantity]])*(1-OrderDetails[[#This Row],[Discount]])</f>
        <v>199.99999925494194</v>
      </c>
      <c r="I234" s="15" t="str">
        <f>_xlfn.XLOOKUP(OrderDetails[[#This Row],[ProductID]],Product!A:A,Product!G:G,"Not Found")</f>
        <v>Dairy Products</v>
      </c>
      <c r="J234" s="15" t="str">
        <f>LOOKUP(MONTH(G234),{1,4,7,10},{"Winter","Spring","Summer","Autumn"})</f>
        <v>Autumn</v>
      </c>
      <c r="K234" s="15" t="str">
        <f>_xlfn.XLOOKUP(OrderDetails[[#This Row],[ProductID]],Product!A:A,Product!B:B,"Not Found")</f>
        <v>Gorgonzola Telino</v>
      </c>
    </row>
    <row r="235" spans="1:11">
      <c r="A235" s="2">
        <v>10335</v>
      </c>
      <c r="B235" s="2">
        <v>32</v>
      </c>
      <c r="C235" s="2">
        <v>25.6</v>
      </c>
      <c r="D235" s="2">
        <v>6</v>
      </c>
      <c r="E235" s="4">
        <v>0.20000000298023224</v>
      </c>
      <c r="F235" s="1" t="str">
        <f>_xlfn.XLOOKUP(A235,Orders!A:A,Orders!B:B,"not found")</f>
        <v>HUNGO</v>
      </c>
      <c r="G235" s="13">
        <f>_xlfn.XLOOKUP(OrderDetails[[#This Row],[OrderID]],Orders!A:A,Orders!C:C,"Not Found")</f>
        <v>35360</v>
      </c>
      <c r="H235" s="16">
        <f>(OrderDetails[[#This Row],[UnitPrice]]*OrderDetails[[#This Row],[Quantity]])*(1-OrderDetails[[#This Row],[Discount]])</f>
        <v>122.87999954223635</v>
      </c>
      <c r="I235" s="15" t="str">
        <f>_xlfn.XLOOKUP(OrderDetails[[#This Row],[ProductID]],Product!A:A,Product!G:G,"Not Found")</f>
        <v>Dairy Products</v>
      </c>
      <c r="J235" s="15" t="str">
        <f>LOOKUP(MONTH(G235),{1,4,7,10},{"Winter","Spring","Summer","Autumn"})</f>
        <v>Autumn</v>
      </c>
      <c r="K235" s="15" t="str">
        <f>_xlfn.XLOOKUP(OrderDetails[[#This Row],[ProductID]],Product!A:A,Product!B:B,"Not Found")</f>
        <v>Mascarpone Fabioli</v>
      </c>
    </row>
    <row r="236" spans="1:11">
      <c r="A236" s="1">
        <v>10335</v>
      </c>
      <c r="B236" s="1">
        <v>51</v>
      </c>
      <c r="C236" s="1">
        <v>42.4</v>
      </c>
      <c r="D236" s="1">
        <v>48</v>
      </c>
      <c r="E236" s="3">
        <v>0.20000000298023224</v>
      </c>
      <c r="F236" s="1" t="str">
        <f>_xlfn.XLOOKUP(A236,Orders!A:A,Orders!B:B,"not found")</f>
        <v>HUNGO</v>
      </c>
      <c r="G236" s="13">
        <f>_xlfn.XLOOKUP(OrderDetails[[#This Row],[OrderID]],Orders!A:A,Orders!C:C,"Not Found")</f>
        <v>35360</v>
      </c>
      <c r="H236" s="16">
        <f>(OrderDetails[[#This Row],[UnitPrice]]*OrderDetails[[#This Row],[Quantity]])*(1-OrderDetails[[#This Row],[Discount]])</f>
        <v>1628.1599939346313</v>
      </c>
      <c r="I236" s="15" t="str">
        <f>_xlfn.XLOOKUP(OrderDetails[[#This Row],[ProductID]],Product!A:A,Product!G:G,"Not Found")</f>
        <v>Produce</v>
      </c>
      <c r="J236" s="15" t="str">
        <f>LOOKUP(MONTH(G236),{1,4,7,10},{"Winter","Spring","Summer","Autumn"})</f>
        <v>Autumn</v>
      </c>
      <c r="K236" s="15" t="str">
        <f>_xlfn.XLOOKUP(OrderDetails[[#This Row],[ProductID]],Product!A:A,Product!B:B,"Not Found")</f>
        <v>Manjimup Dried Apples</v>
      </c>
    </row>
    <row r="237" spans="1:11">
      <c r="A237" s="2">
        <v>10336</v>
      </c>
      <c r="B237" s="2">
        <v>4</v>
      </c>
      <c r="C237" s="2">
        <v>17.600000000000001</v>
      </c>
      <c r="D237" s="2">
        <v>18</v>
      </c>
      <c r="E237" s="4">
        <v>0.10000000149011612</v>
      </c>
      <c r="F237" s="1" t="str">
        <f>_xlfn.XLOOKUP(A237,Orders!A:A,Orders!B:B,"not found")</f>
        <v>PRINI</v>
      </c>
      <c r="G237" s="13">
        <f>_xlfn.XLOOKUP(OrderDetails[[#This Row],[OrderID]],Orders!A:A,Orders!C:C,"Not Found")</f>
        <v>35361</v>
      </c>
      <c r="H237" s="16">
        <f>(OrderDetails[[#This Row],[UnitPrice]]*OrderDetails[[#This Row],[Quantity]])*(1-OrderDetails[[#This Row],[Discount]])</f>
        <v>285.11999952793121</v>
      </c>
      <c r="I237" s="15" t="str">
        <f>_xlfn.XLOOKUP(OrderDetails[[#This Row],[ProductID]],Product!A:A,Product!G:G,"Not Found")</f>
        <v>Condiments</v>
      </c>
      <c r="J237" s="15" t="str">
        <f>LOOKUP(MONTH(G237),{1,4,7,10},{"Winter","Spring","Summer","Autumn"})</f>
        <v>Autumn</v>
      </c>
      <c r="K237" s="15" t="str">
        <f>_xlfn.XLOOKUP(OrderDetails[[#This Row],[ProductID]],Product!A:A,Product!B:B,"Not Found")</f>
        <v>Chef Anton's Cajun Seasoning</v>
      </c>
    </row>
    <row r="238" spans="1:11">
      <c r="A238" s="1">
        <v>10337</v>
      </c>
      <c r="B238" s="1">
        <v>23</v>
      </c>
      <c r="C238" s="1">
        <v>7.2</v>
      </c>
      <c r="D238" s="1">
        <v>40</v>
      </c>
      <c r="E238" s="3">
        <v>0</v>
      </c>
      <c r="F238" s="1" t="str">
        <f>_xlfn.XLOOKUP(A238,Orders!A:A,Orders!B:B,"not found")</f>
        <v>FRANK</v>
      </c>
      <c r="G238" s="13">
        <f>_xlfn.XLOOKUP(OrderDetails[[#This Row],[OrderID]],Orders!A:A,Orders!C:C,"Not Found")</f>
        <v>35362</v>
      </c>
      <c r="H238" s="16">
        <f>(OrderDetails[[#This Row],[UnitPrice]]*OrderDetails[[#This Row],[Quantity]])*(1-OrderDetails[[#This Row],[Discount]])</f>
        <v>288</v>
      </c>
      <c r="I238" s="15" t="str">
        <f>_xlfn.XLOOKUP(OrderDetails[[#This Row],[ProductID]],Product!A:A,Product!G:G,"Not Found")</f>
        <v>Grains/Cereals</v>
      </c>
      <c r="J238" s="15" t="str">
        <f>LOOKUP(MONTH(G238),{1,4,7,10},{"Winter","Spring","Summer","Autumn"})</f>
        <v>Autumn</v>
      </c>
      <c r="K238" s="15" t="str">
        <f>_xlfn.XLOOKUP(OrderDetails[[#This Row],[ProductID]],Product!A:A,Product!B:B,"Not Found")</f>
        <v>Tunnbröd</v>
      </c>
    </row>
    <row r="239" spans="1:11">
      <c r="A239" s="2">
        <v>10337</v>
      </c>
      <c r="B239" s="2">
        <v>26</v>
      </c>
      <c r="C239" s="2">
        <v>24.9</v>
      </c>
      <c r="D239" s="2">
        <v>24</v>
      </c>
      <c r="E239" s="4">
        <v>0</v>
      </c>
      <c r="F239" s="1" t="str">
        <f>_xlfn.XLOOKUP(A239,Orders!A:A,Orders!B:B,"not found")</f>
        <v>FRANK</v>
      </c>
      <c r="G239" s="13">
        <f>_xlfn.XLOOKUP(OrderDetails[[#This Row],[OrderID]],Orders!A:A,Orders!C:C,"Not Found")</f>
        <v>35362</v>
      </c>
      <c r="H239" s="16">
        <f>(OrderDetails[[#This Row],[UnitPrice]]*OrderDetails[[#This Row],[Quantity]])*(1-OrderDetails[[#This Row],[Discount]])</f>
        <v>597.59999999999991</v>
      </c>
      <c r="I239" s="15" t="str">
        <f>_xlfn.XLOOKUP(OrderDetails[[#This Row],[ProductID]],Product!A:A,Product!G:G,"Not Found")</f>
        <v>Confections</v>
      </c>
      <c r="J239" s="15" t="str">
        <f>LOOKUP(MONTH(G239),{1,4,7,10},{"Winter","Spring","Summer","Autumn"})</f>
        <v>Autumn</v>
      </c>
      <c r="K239" s="15" t="str">
        <f>_xlfn.XLOOKUP(OrderDetails[[#This Row],[ProductID]],Product!A:A,Product!B:B,"Not Found")</f>
        <v>Gumbär Gummibärchen</v>
      </c>
    </row>
    <row r="240" spans="1:11">
      <c r="A240" s="1">
        <v>10337</v>
      </c>
      <c r="B240" s="1">
        <v>36</v>
      </c>
      <c r="C240" s="1">
        <v>15.2</v>
      </c>
      <c r="D240" s="1">
        <v>20</v>
      </c>
      <c r="E240" s="3">
        <v>0</v>
      </c>
      <c r="F240" s="1" t="str">
        <f>_xlfn.XLOOKUP(A240,Orders!A:A,Orders!B:B,"not found")</f>
        <v>FRANK</v>
      </c>
      <c r="G240" s="13">
        <f>_xlfn.XLOOKUP(OrderDetails[[#This Row],[OrderID]],Orders!A:A,Orders!C:C,"Not Found")</f>
        <v>35362</v>
      </c>
      <c r="H240" s="16">
        <f>(OrderDetails[[#This Row],[UnitPrice]]*OrderDetails[[#This Row],[Quantity]])*(1-OrderDetails[[#This Row],[Discount]])</f>
        <v>304</v>
      </c>
      <c r="I240" s="15" t="str">
        <f>_xlfn.XLOOKUP(OrderDetails[[#This Row],[ProductID]],Product!A:A,Product!G:G,"Not Found")</f>
        <v>Seafood</v>
      </c>
      <c r="J240" s="15" t="str">
        <f>LOOKUP(MONTH(G240),{1,4,7,10},{"Winter","Spring","Summer","Autumn"})</f>
        <v>Autumn</v>
      </c>
      <c r="K240" s="15" t="str">
        <f>_xlfn.XLOOKUP(OrderDetails[[#This Row],[ProductID]],Product!A:A,Product!B:B,"Not Found")</f>
        <v>Inlagd Sill</v>
      </c>
    </row>
    <row r="241" spans="1:11">
      <c r="A241" s="2">
        <v>10337</v>
      </c>
      <c r="B241" s="2">
        <v>37</v>
      </c>
      <c r="C241" s="2">
        <v>20.8</v>
      </c>
      <c r="D241" s="2">
        <v>28</v>
      </c>
      <c r="E241" s="4">
        <v>0</v>
      </c>
      <c r="F241" s="1" t="str">
        <f>_xlfn.XLOOKUP(A241,Orders!A:A,Orders!B:B,"not found")</f>
        <v>FRANK</v>
      </c>
      <c r="G241" s="13">
        <f>_xlfn.XLOOKUP(OrderDetails[[#This Row],[OrderID]],Orders!A:A,Orders!C:C,"Not Found")</f>
        <v>35362</v>
      </c>
      <c r="H241" s="16">
        <f>(OrderDetails[[#This Row],[UnitPrice]]*OrderDetails[[#This Row],[Quantity]])*(1-OrderDetails[[#This Row],[Discount]])</f>
        <v>582.4</v>
      </c>
      <c r="I241" s="15" t="str">
        <f>_xlfn.XLOOKUP(OrderDetails[[#This Row],[ProductID]],Product!A:A,Product!G:G,"Not Found")</f>
        <v>Seafood</v>
      </c>
      <c r="J241" s="15" t="str">
        <f>LOOKUP(MONTH(G241),{1,4,7,10},{"Winter","Spring","Summer","Autumn"})</f>
        <v>Autumn</v>
      </c>
      <c r="K241" s="15" t="str">
        <f>_xlfn.XLOOKUP(OrderDetails[[#This Row],[ProductID]],Product!A:A,Product!B:B,"Not Found")</f>
        <v>Gravad lax</v>
      </c>
    </row>
    <row r="242" spans="1:11">
      <c r="A242" s="1">
        <v>10337</v>
      </c>
      <c r="B242" s="1">
        <v>72</v>
      </c>
      <c r="C242" s="1">
        <v>27.8</v>
      </c>
      <c r="D242" s="1">
        <v>25</v>
      </c>
      <c r="E242" s="3">
        <v>0</v>
      </c>
      <c r="F242" s="1" t="str">
        <f>_xlfn.XLOOKUP(A242,Orders!A:A,Orders!B:B,"not found")</f>
        <v>FRANK</v>
      </c>
      <c r="G242" s="13">
        <f>_xlfn.XLOOKUP(OrderDetails[[#This Row],[OrderID]],Orders!A:A,Orders!C:C,"Not Found")</f>
        <v>35362</v>
      </c>
      <c r="H242" s="16">
        <f>(OrderDetails[[#This Row],[UnitPrice]]*OrderDetails[[#This Row],[Quantity]])*(1-OrderDetails[[#This Row],[Discount]])</f>
        <v>695</v>
      </c>
      <c r="I242" s="15" t="str">
        <f>_xlfn.XLOOKUP(OrderDetails[[#This Row],[ProductID]],Product!A:A,Product!G:G,"Not Found")</f>
        <v>Dairy Products</v>
      </c>
      <c r="J242" s="15" t="str">
        <f>LOOKUP(MONTH(G242),{1,4,7,10},{"Winter","Spring","Summer","Autumn"})</f>
        <v>Autumn</v>
      </c>
      <c r="K242" s="15" t="str">
        <f>_xlfn.XLOOKUP(OrderDetails[[#This Row],[ProductID]],Product!A:A,Product!B:B,"Not Found")</f>
        <v>Mozzarella di Giovanni</v>
      </c>
    </row>
    <row r="243" spans="1:11">
      <c r="A243" s="2">
        <v>10338</v>
      </c>
      <c r="B243" s="2">
        <v>17</v>
      </c>
      <c r="C243" s="2">
        <v>31.2</v>
      </c>
      <c r="D243" s="2">
        <v>20</v>
      </c>
      <c r="E243" s="4">
        <v>0</v>
      </c>
      <c r="F243" s="1" t="str">
        <f>_xlfn.XLOOKUP(A243,Orders!A:A,Orders!B:B,"not found")</f>
        <v>OLDWO</v>
      </c>
      <c r="G243" s="13">
        <f>_xlfn.XLOOKUP(OrderDetails[[#This Row],[OrderID]],Orders!A:A,Orders!C:C,"Not Found")</f>
        <v>35363</v>
      </c>
      <c r="H243" s="16">
        <f>(OrderDetails[[#This Row],[UnitPrice]]*OrderDetails[[#This Row],[Quantity]])*(1-OrderDetails[[#This Row],[Discount]])</f>
        <v>624</v>
      </c>
      <c r="I243" s="15" t="str">
        <f>_xlfn.XLOOKUP(OrderDetails[[#This Row],[ProductID]],Product!A:A,Product!G:G,"Not Found")</f>
        <v>Meat/Poultry</v>
      </c>
      <c r="J243" s="15" t="str">
        <f>LOOKUP(MONTH(G243),{1,4,7,10},{"Winter","Spring","Summer","Autumn"})</f>
        <v>Autumn</v>
      </c>
      <c r="K243" s="15" t="str">
        <f>_xlfn.XLOOKUP(OrderDetails[[#This Row],[ProductID]],Product!A:A,Product!B:B,"Not Found")</f>
        <v>Alice Mutton</v>
      </c>
    </row>
    <row r="244" spans="1:11">
      <c r="A244" s="1">
        <v>10338</v>
      </c>
      <c r="B244" s="1">
        <v>30</v>
      </c>
      <c r="C244" s="1">
        <v>20.7</v>
      </c>
      <c r="D244" s="1">
        <v>15</v>
      </c>
      <c r="E244" s="3">
        <v>0</v>
      </c>
      <c r="F244" s="1" t="str">
        <f>_xlfn.XLOOKUP(A244,Orders!A:A,Orders!B:B,"not found")</f>
        <v>OLDWO</v>
      </c>
      <c r="G244" s="13">
        <f>_xlfn.XLOOKUP(OrderDetails[[#This Row],[OrderID]],Orders!A:A,Orders!C:C,"Not Found")</f>
        <v>35363</v>
      </c>
      <c r="H244" s="16">
        <f>(OrderDetails[[#This Row],[UnitPrice]]*OrderDetails[[#This Row],[Quantity]])*(1-OrderDetails[[#This Row],[Discount]])</f>
        <v>310.5</v>
      </c>
      <c r="I244" s="15" t="str">
        <f>_xlfn.XLOOKUP(OrderDetails[[#This Row],[ProductID]],Product!A:A,Product!G:G,"Not Found")</f>
        <v>Seafood</v>
      </c>
      <c r="J244" s="15" t="str">
        <f>LOOKUP(MONTH(G244),{1,4,7,10},{"Winter","Spring","Summer","Autumn"})</f>
        <v>Autumn</v>
      </c>
      <c r="K244" s="15" t="str">
        <f>_xlfn.XLOOKUP(OrderDetails[[#This Row],[ProductID]],Product!A:A,Product!B:B,"Not Found")</f>
        <v>Nord-Ost Matjeshering</v>
      </c>
    </row>
    <row r="245" spans="1:11">
      <c r="A245" s="2">
        <v>10339</v>
      </c>
      <c r="B245" s="2">
        <v>4</v>
      </c>
      <c r="C245" s="2">
        <v>17.600000000000001</v>
      </c>
      <c r="D245" s="2">
        <v>10</v>
      </c>
      <c r="E245" s="4">
        <v>0</v>
      </c>
      <c r="F245" s="1" t="str">
        <f>_xlfn.XLOOKUP(A245,Orders!A:A,Orders!B:B,"not found")</f>
        <v>MEREP</v>
      </c>
      <c r="G245" s="13">
        <f>_xlfn.XLOOKUP(OrderDetails[[#This Row],[OrderID]],Orders!A:A,Orders!C:C,"Not Found")</f>
        <v>35366</v>
      </c>
      <c r="H245" s="16">
        <f>(OrderDetails[[#This Row],[UnitPrice]]*OrderDetails[[#This Row],[Quantity]])*(1-OrderDetails[[#This Row],[Discount]])</f>
        <v>176</v>
      </c>
      <c r="I245" s="15" t="str">
        <f>_xlfn.XLOOKUP(OrderDetails[[#This Row],[ProductID]],Product!A:A,Product!G:G,"Not Found")</f>
        <v>Condiments</v>
      </c>
      <c r="J245" s="15" t="str">
        <f>LOOKUP(MONTH(G245),{1,4,7,10},{"Winter","Spring","Summer","Autumn"})</f>
        <v>Autumn</v>
      </c>
      <c r="K245" s="15" t="str">
        <f>_xlfn.XLOOKUP(OrderDetails[[#This Row],[ProductID]],Product!A:A,Product!B:B,"Not Found")</f>
        <v>Chef Anton's Cajun Seasoning</v>
      </c>
    </row>
    <row r="246" spans="1:11">
      <c r="A246" s="1">
        <v>10339</v>
      </c>
      <c r="B246" s="1">
        <v>17</v>
      </c>
      <c r="C246" s="1">
        <v>31.2</v>
      </c>
      <c r="D246" s="1">
        <v>70</v>
      </c>
      <c r="E246" s="3">
        <v>5.000000074505806E-2</v>
      </c>
      <c r="F246" s="1" t="str">
        <f>_xlfn.XLOOKUP(A246,Orders!A:A,Orders!B:B,"not found")</f>
        <v>MEREP</v>
      </c>
      <c r="G246" s="13">
        <f>_xlfn.XLOOKUP(OrderDetails[[#This Row],[OrderID]],Orders!A:A,Orders!C:C,"Not Found")</f>
        <v>35366</v>
      </c>
      <c r="H246" s="16">
        <f>(OrderDetails[[#This Row],[UnitPrice]]*OrderDetails[[#This Row],[Quantity]])*(1-OrderDetails[[#This Row],[Discount]])</f>
        <v>2074.7999983727932</v>
      </c>
      <c r="I246" s="15" t="str">
        <f>_xlfn.XLOOKUP(OrderDetails[[#This Row],[ProductID]],Product!A:A,Product!G:G,"Not Found")</f>
        <v>Meat/Poultry</v>
      </c>
      <c r="J246" s="15" t="str">
        <f>LOOKUP(MONTH(G246),{1,4,7,10},{"Winter","Spring","Summer","Autumn"})</f>
        <v>Autumn</v>
      </c>
      <c r="K246" s="15" t="str">
        <f>_xlfn.XLOOKUP(OrderDetails[[#This Row],[ProductID]],Product!A:A,Product!B:B,"Not Found")</f>
        <v>Alice Mutton</v>
      </c>
    </row>
    <row r="247" spans="1:11">
      <c r="A247" s="2">
        <v>10339</v>
      </c>
      <c r="B247" s="2">
        <v>62</v>
      </c>
      <c r="C247" s="2">
        <v>39.4</v>
      </c>
      <c r="D247" s="2">
        <v>28</v>
      </c>
      <c r="E247" s="4">
        <v>0</v>
      </c>
      <c r="F247" s="1" t="str">
        <f>_xlfn.XLOOKUP(A247,Orders!A:A,Orders!B:B,"not found")</f>
        <v>MEREP</v>
      </c>
      <c r="G247" s="13">
        <f>_xlfn.XLOOKUP(OrderDetails[[#This Row],[OrderID]],Orders!A:A,Orders!C:C,"Not Found")</f>
        <v>35366</v>
      </c>
      <c r="H247" s="16">
        <f>(OrderDetails[[#This Row],[UnitPrice]]*OrderDetails[[#This Row],[Quantity]])*(1-OrderDetails[[#This Row],[Discount]])</f>
        <v>1103.2</v>
      </c>
      <c r="I247" s="15" t="str">
        <f>_xlfn.XLOOKUP(OrderDetails[[#This Row],[ProductID]],Product!A:A,Product!G:G,"Not Found")</f>
        <v>Confections</v>
      </c>
      <c r="J247" s="15" t="str">
        <f>LOOKUP(MONTH(G247),{1,4,7,10},{"Winter","Spring","Summer","Autumn"})</f>
        <v>Autumn</v>
      </c>
      <c r="K247" s="15" t="str">
        <f>_xlfn.XLOOKUP(OrderDetails[[#This Row],[ProductID]],Product!A:A,Product!B:B,"Not Found")</f>
        <v>Tarte au sucre</v>
      </c>
    </row>
    <row r="248" spans="1:11">
      <c r="A248" s="1">
        <v>10340</v>
      </c>
      <c r="B248" s="1">
        <v>18</v>
      </c>
      <c r="C248" s="1">
        <v>50</v>
      </c>
      <c r="D248" s="1">
        <v>20</v>
      </c>
      <c r="E248" s="3">
        <v>5.000000074505806E-2</v>
      </c>
      <c r="F248" s="1" t="str">
        <f>_xlfn.XLOOKUP(A248,Orders!A:A,Orders!B:B,"not found")</f>
        <v>BONAP</v>
      </c>
      <c r="G248" s="13">
        <f>_xlfn.XLOOKUP(OrderDetails[[#This Row],[OrderID]],Orders!A:A,Orders!C:C,"Not Found")</f>
        <v>35367</v>
      </c>
      <c r="H248" s="16">
        <f>(OrderDetails[[#This Row],[UnitPrice]]*OrderDetails[[#This Row],[Quantity]])*(1-OrderDetails[[#This Row],[Discount]])</f>
        <v>949.99999925494194</v>
      </c>
      <c r="I248" s="15" t="str">
        <f>_xlfn.XLOOKUP(OrderDetails[[#This Row],[ProductID]],Product!A:A,Product!G:G,"Not Found")</f>
        <v>Seafood</v>
      </c>
      <c r="J248" s="15" t="str">
        <f>LOOKUP(MONTH(G248),{1,4,7,10},{"Winter","Spring","Summer","Autumn"})</f>
        <v>Autumn</v>
      </c>
      <c r="K248" s="15" t="str">
        <f>_xlfn.XLOOKUP(OrderDetails[[#This Row],[ProductID]],Product!A:A,Product!B:B,"Not Found")</f>
        <v>Carnarvon Tigers</v>
      </c>
    </row>
    <row r="249" spans="1:11">
      <c r="A249" s="2">
        <v>10340</v>
      </c>
      <c r="B249" s="2">
        <v>41</v>
      </c>
      <c r="C249" s="2">
        <v>7.7</v>
      </c>
      <c r="D249" s="2">
        <v>12</v>
      </c>
      <c r="E249" s="4">
        <v>5.000000074505806E-2</v>
      </c>
      <c r="F249" s="1" t="str">
        <f>_xlfn.XLOOKUP(A249,Orders!A:A,Orders!B:B,"not found")</f>
        <v>BONAP</v>
      </c>
      <c r="G249" s="13">
        <f>_xlfn.XLOOKUP(OrderDetails[[#This Row],[OrderID]],Orders!A:A,Orders!C:C,"Not Found")</f>
        <v>35367</v>
      </c>
      <c r="H249" s="16">
        <f>(OrderDetails[[#This Row],[UnitPrice]]*OrderDetails[[#This Row],[Quantity]])*(1-OrderDetails[[#This Row],[Discount]])</f>
        <v>87.779999931156638</v>
      </c>
      <c r="I249" s="15" t="str">
        <f>_xlfn.XLOOKUP(OrderDetails[[#This Row],[ProductID]],Product!A:A,Product!G:G,"Not Found")</f>
        <v>Seafood</v>
      </c>
      <c r="J249" s="15" t="str">
        <f>LOOKUP(MONTH(G249),{1,4,7,10},{"Winter","Spring","Summer","Autumn"})</f>
        <v>Autumn</v>
      </c>
      <c r="K249" s="15" t="str">
        <f>_xlfn.XLOOKUP(OrderDetails[[#This Row],[ProductID]],Product!A:A,Product!B:B,"Not Found")</f>
        <v>Jack's New England Clam Chowder</v>
      </c>
    </row>
    <row r="250" spans="1:11">
      <c r="A250" s="1">
        <v>10340</v>
      </c>
      <c r="B250" s="1">
        <v>43</v>
      </c>
      <c r="C250" s="1">
        <v>36.799999999999997</v>
      </c>
      <c r="D250" s="1">
        <v>40</v>
      </c>
      <c r="E250" s="3">
        <v>5.000000074505806E-2</v>
      </c>
      <c r="F250" s="1" t="str">
        <f>_xlfn.XLOOKUP(A250,Orders!A:A,Orders!B:B,"not found")</f>
        <v>BONAP</v>
      </c>
      <c r="G250" s="13">
        <f>_xlfn.XLOOKUP(OrderDetails[[#This Row],[OrderID]],Orders!A:A,Orders!C:C,"Not Found")</f>
        <v>35367</v>
      </c>
      <c r="H250" s="16">
        <f>(OrderDetails[[#This Row],[UnitPrice]]*OrderDetails[[#This Row],[Quantity]])*(1-OrderDetails[[#This Row],[Discount]])</f>
        <v>1398.3999989032745</v>
      </c>
      <c r="I250" s="15" t="str">
        <f>_xlfn.XLOOKUP(OrderDetails[[#This Row],[ProductID]],Product!A:A,Product!G:G,"Not Found")</f>
        <v>Beverages</v>
      </c>
      <c r="J250" s="15" t="str">
        <f>LOOKUP(MONTH(G250),{1,4,7,10},{"Winter","Spring","Summer","Autumn"})</f>
        <v>Autumn</v>
      </c>
      <c r="K250" s="15" t="str">
        <f>_xlfn.XLOOKUP(OrderDetails[[#This Row],[ProductID]],Product!A:A,Product!B:B,"Not Found")</f>
        <v>Ipoh Coffee</v>
      </c>
    </row>
    <row r="251" spans="1:11">
      <c r="A251" s="2">
        <v>10341</v>
      </c>
      <c r="B251" s="2">
        <v>33</v>
      </c>
      <c r="C251" s="2">
        <v>2</v>
      </c>
      <c r="D251" s="2">
        <v>8</v>
      </c>
      <c r="E251" s="4">
        <v>0</v>
      </c>
      <c r="F251" s="1" t="str">
        <f>_xlfn.XLOOKUP(A251,Orders!A:A,Orders!B:B,"not found")</f>
        <v>SIMOB</v>
      </c>
      <c r="G251" s="13">
        <f>_xlfn.XLOOKUP(OrderDetails[[#This Row],[OrderID]],Orders!A:A,Orders!C:C,"Not Found")</f>
        <v>35367</v>
      </c>
      <c r="H251" s="16">
        <f>(OrderDetails[[#This Row],[UnitPrice]]*OrderDetails[[#This Row],[Quantity]])*(1-OrderDetails[[#This Row],[Discount]])</f>
        <v>16</v>
      </c>
      <c r="I251" s="15" t="str">
        <f>_xlfn.XLOOKUP(OrderDetails[[#This Row],[ProductID]],Product!A:A,Product!G:G,"Not Found")</f>
        <v>Dairy Products</v>
      </c>
      <c r="J251" s="15" t="str">
        <f>LOOKUP(MONTH(G251),{1,4,7,10},{"Winter","Spring","Summer","Autumn"})</f>
        <v>Autumn</v>
      </c>
      <c r="K251" s="15" t="str">
        <f>_xlfn.XLOOKUP(OrderDetails[[#This Row],[ProductID]],Product!A:A,Product!B:B,"Not Found")</f>
        <v>Geitost</v>
      </c>
    </row>
    <row r="252" spans="1:11">
      <c r="A252" s="1">
        <v>10341</v>
      </c>
      <c r="B252" s="1">
        <v>59</v>
      </c>
      <c r="C252" s="1">
        <v>44</v>
      </c>
      <c r="D252" s="1">
        <v>9</v>
      </c>
      <c r="E252" s="3">
        <v>0.15000000596046448</v>
      </c>
      <c r="F252" s="1" t="str">
        <f>_xlfn.XLOOKUP(A252,Orders!A:A,Orders!B:B,"not found")</f>
        <v>SIMOB</v>
      </c>
      <c r="G252" s="13">
        <f>_xlfn.XLOOKUP(OrderDetails[[#This Row],[OrderID]],Orders!A:A,Orders!C:C,"Not Found")</f>
        <v>35367</v>
      </c>
      <c r="H252" s="16">
        <f>(OrderDetails[[#This Row],[UnitPrice]]*OrderDetails[[#This Row],[Quantity]])*(1-OrderDetails[[#This Row],[Discount]])</f>
        <v>336.59999763965607</v>
      </c>
      <c r="I252" s="15" t="str">
        <f>_xlfn.XLOOKUP(OrderDetails[[#This Row],[ProductID]],Product!A:A,Product!G:G,"Not Found")</f>
        <v>Dairy Products</v>
      </c>
      <c r="J252" s="15" t="str">
        <f>LOOKUP(MONTH(G252),{1,4,7,10},{"Winter","Spring","Summer","Autumn"})</f>
        <v>Autumn</v>
      </c>
      <c r="K252" s="15" t="str">
        <f>_xlfn.XLOOKUP(OrderDetails[[#This Row],[ProductID]],Product!A:A,Product!B:B,"Not Found")</f>
        <v>Raclette Courdavault</v>
      </c>
    </row>
    <row r="253" spans="1:11">
      <c r="A253" s="2">
        <v>10342</v>
      </c>
      <c r="B253" s="2">
        <v>2</v>
      </c>
      <c r="C253" s="2">
        <v>15.2</v>
      </c>
      <c r="D253" s="2">
        <v>24</v>
      </c>
      <c r="E253" s="4">
        <v>0.20000000298023224</v>
      </c>
      <c r="F253" s="1" t="str">
        <f>_xlfn.XLOOKUP(A253,Orders!A:A,Orders!B:B,"not found")</f>
        <v>FRANK</v>
      </c>
      <c r="G253" s="13">
        <f>_xlfn.XLOOKUP(OrderDetails[[#This Row],[OrderID]],Orders!A:A,Orders!C:C,"Not Found")</f>
        <v>35368</v>
      </c>
      <c r="H253" s="16">
        <f>(OrderDetails[[#This Row],[UnitPrice]]*OrderDetails[[#This Row],[Quantity]])*(1-OrderDetails[[#This Row],[Discount]])</f>
        <v>291.83999891281127</v>
      </c>
      <c r="I253" s="15" t="str">
        <f>_xlfn.XLOOKUP(OrderDetails[[#This Row],[ProductID]],Product!A:A,Product!G:G,"Not Found")</f>
        <v>Beverages</v>
      </c>
      <c r="J253" s="15" t="str">
        <f>LOOKUP(MONTH(G253),{1,4,7,10},{"Winter","Spring","Summer","Autumn"})</f>
        <v>Autumn</v>
      </c>
      <c r="K253" s="15" t="str">
        <f>_xlfn.XLOOKUP(OrderDetails[[#This Row],[ProductID]],Product!A:A,Product!B:B,"Not Found")</f>
        <v>Chang</v>
      </c>
    </row>
    <row r="254" spans="1:11">
      <c r="A254" s="1">
        <v>10342</v>
      </c>
      <c r="B254" s="1">
        <v>31</v>
      </c>
      <c r="C254" s="1">
        <v>10</v>
      </c>
      <c r="D254" s="1">
        <v>56</v>
      </c>
      <c r="E254" s="3">
        <v>0.20000000298023224</v>
      </c>
      <c r="F254" s="1" t="str">
        <f>_xlfn.XLOOKUP(A254,Orders!A:A,Orders!B:B,"not found")</f>
        <v>FRANK</v>
      </c>
      <c r="G254" s="13">
        <f>_xlfn.XLOOKUP(OrderDetails[[#This Row],[OrderID]],Orders!A:A,Orders!C:C,"Not Found")</f>
        <v>35368</v>
      </c>
      <c r="H254" s="16">
        <f>(OrderDetails[[#This Row],[UnitPrice]]*OrderDetails[[#This Row],[Quantity]])*(1-OrderDetails[[#This Row],[Discount]])</f>
        <v>447.99999833106995</v>
      </c>
      <c r="I254" s="15" t="str">
        <f>_xlfn.XLOOKUP(OrderDetails[[#This Row],[ProductID]],Product!A:A,Product!G:G,"Not Found")</f>
        <v>Dairy Products</v>
      </c>
      <c r="J254" s="15" t="str">
        <f>LOOKUP(MONTH(G254),{1,4,7,10},{"Winter","Spring","Summer","Autumn"})</f>
        <v>Autumn</v>
      </c>
      <c r="K254" s="15" t="str">
        <f>_xlfn.XLOOKUP(OrderDetails[[#This Row],[ProductID]],Product!A:A,Product!B:B,"Not Found")</f>
        <v>Gorgonzola Telino</v>
      </c>
    </row>
    <row r="255" spans="1:11">
      <c r="A255" s="2">
        <v>10342</v>
      </c>
      <c r="B255" s="2">
        <v>36</v>
      </c>
      <c r="C255" s="2">
        <v>15.2</v>
      </c>
      <c r="D255" s="2">
        <v>40</v>
      </c>
      <c r="E255" s="4">
        <v>0.20000000298023224</v>
      </c>
      <c r="F255" s="1" t="str">
        <f>_xlfn.XLOOKUP(A255,Orders!A:A,Orders!B:B,"not found")</f>
        <v>FRANK</v>
      </c>
      <c r="G255" s="13">
        <f>_xlfn.XLOOKUP(OrderDetails[[#This Row],[OrderID]],Orders!A:A,Orders!C:C,"Not Found")</f>
        <v>35368</v>
      </c>
      <c r="H255" s="16">
        <f>(OrderDetails[[#This Row],[UnitPrice]]*OrderDetails[[#This Row],[Quantity]])*(1-OrderDetails[[#This Row],[Discount]])</f>
        <v>486.3999981880188</v>
      </c>
      <c r="I255" s="15" t="str">
        <f>_xlfn.XLOOKUP(OrderDetails[[#This Row],[ProductID]],Product!A:A,Product!G:G,"Not Found")</f>
        <v>Seafood</v>
      </c>
      <c r="J255" s="15" t="str">
        <f>LOOKUP(MONTH(G255),{1,4,7,10},{"Winter","Spring","Summer","Autumn"})</f>
        <v>Autumn</v>
      </c>
      <c r="K255" s="15" t="str">
        <f>_xlfn.XLOOKUP(OrderDetails[[#This Row],[ProductID]],Product!A:A,Product!B:B,"Not Found")</f>
        <v>Inlagd Sill</v>
      </c>
    </row>
    <row r="256" spans="1:11">
      <c r="A256" s="1">
        <v>10342</v>
      </c>
      <c r="B256" s="1">
        <v>55</v>
      </c>
      <c r="C256" s="1">
        <v>19.2</v>
      </c>
      <c r="D256" s="1">
        <v>40</v>
      </c>
      <c r="E256" s="3">
        <v>0.20000000298023224</v>
      </c>
      <c r="F256" s="1" t="str">
        <f>_xlfn.XLOOKUP(A256,Orders!A:A,Orders!B:B,"not found")</f>
        <v>FRANK</v>
      </c>
      <c r="G256" s="13">
        <f>_xlfn.XLOOKUP(OrderDetails[[#This Row],[OrderID]],Orders!A:A,Orders!C:C,"Not Found")</f>
        <v>35368</v>
      </c>
      <c r="H256" s="16">
        <f>(OrderDetails[[#This Row],[UnitPrice]]*OrderDetails[[#This Row],[Quantity]])*(1-OrderDetails[[#This Row],[Discount]])</f>
        <v>614.39999771118164</v>
      </c>
      <c r="I256" s="15" t="str">
        <f>_xlfn.XLOOKUP(OrderDetails[[#This Row],[ProductID]],Product!A:A,Product!G:G,"Not Found")</f>
        <v>Meat/Poultry</v>
      </c>
      <c r="J256" s="15" t="str">
        <f>LOOKUP(MONTH(G256),{1,4,7,10},{"Winter","Spring","Summer","Autumn"})</f>
        <v>Autumn</v>
      </c>
      <c r="K256" s="15" t="str">
        <f>_xlfn.XLOOKUP(OrderDetails[[#This Row],[ProductID]],Product!A:A,Product!B:B,"Not Found")</f>
        <v>Pâté chinois</v>
      </c>
    </row>
    <row r="257" spans="1:11">
      <c r="A257" s="2">
        <v>10343</v>
      </c>
      <c r="B257" s="2">
        <v>64</v>
      </c>
      <c r="C257" s="2">
        <v>26.6</v>
      </c>
      <c r="D257" s="2">
        <v>50</v>
      </c>
      <c r="E257" s="4">
        <v>0</v>
      </c>
      <c r="F257" s="1" t="str">
        <f>_xlfn.XLOOKUP(A257,Orders!A:A,Orders!B:B,"not found")</f>
        <v>LEHMS</v>
      </c>
      <c r="G257" s="13">
        <f>_xlfn.XLOOKUP(OrderDetails[[#This Row],[OrderID]],Orders!A:A,Orders!C:C,"Not Found")</f>
        <v>35369</v>
      </c>
      <c r="H257" s="16">
        <f>(OrderDetails[[#This Row],[UnitPrice]]*OrderDetails[[#This Row],[Quantity]])*(1-OrderDetails[[#This Row],[Discount]])</f>
        <v>1330</v>
      </c>
      <c r="I257" s="15" t="str">
        <f>_xlfn.XLOOKUP(OrderDetails[[#This Row],[ProductID]],Product!A:A,Product!G:G,"Not Found")</f>
        <v>Grains/Cereals</v>
      </c>
      <c r="J257" s="15" t="str">
        <f>LOOKUP(MONTH(G257),{1,4,7,10},{"Winter","Spring","Summer","Autumn"})</f>
        <v>Autumn</v>
      </c>
      <c r="K257" s="15" t="str">
        <f>_xlfn.XLOOKUP(OrderDetails[[#This Row],[ProductID]],Product!A:A,Product!B:B,"Not Found")</f>
        <v>Wimmers gute Semmelknödel</v>
      </c>
    </row>
    <row r="258" spans="1:11">
      <c r="A258" s="1">
        <v>10343</v>
      </c>
      <c r="B258" s="1">
        <v>68</v>
      </c>
      <c r="C258" s="1">
        <v>10</v>
      </c>
      <c r="D258" s="1">
        <v>4</v>
      </c>
      <c r="E258" s="3">
        <v>5.000000074505806E-2</v>
      </c>
      <c r="F258" s="1" t="str">
        <f>_xlfn.XLOOKUP(A258,Orders!A:A,Orders!B:B,"not found")</f>
        <v>LEHMS</v>
      </c>
      <c r="G258" s="13">
        <f>_xlfn.XLOOKUP(OrderDetails[[#This Row],[OrderID]],Orders!A:A,Orders!C:C,"Not Found")</f>
        <v>35369</v>
      </c>
      <c r="H258" s="16">
        <f>(OrderDetails[[#This Row],[UnitPrice]]*OrderDetails[[#This Row],[Quantity]])*(1-OrderDetails[[#This Row],[Discount]])</f>
        <v>37.999999970197678</v>
      </c>
      <c r="I258" s="15" t="str">
        <f>_xlfn.XLOOKUP(OrderDetails[[#This Row],[ProductID]],Product!A:A,Product!G:G,"Not Found")</f>
        <v>Confections</v>
      </c>
      <c r="J258" s="15" t="str">
        <f>LOOKUP(MONTH(G258),{1,4,7,10},{"Winter","Spring","Summer","Autumn"})</f>
        <v>Autumn</v>
      </c>
      <c r="K258" s="15" t="str">
        <f>_xlfn.XLOOKUP(OrderDetails[[#This Row],[ProductID]],Product!A:A,Product!B:B,"Not Found")</f>
        <v>Scottish Longbreads</v>
      </c>
    </row>
    <row r="259" spans="1:11">
      <c r="A259" s="2">
        <v>10343</v>
      </c>
      <c r="B259" s="2">
        <v>76</v>
      </c>
      <c r="C259" s="2">
        <v>14.4</v>
      </c>
      <c r="D259" s="2">
        <v>15</v>
      </c>
      <c r="E259" s="4">
        <v>0</v>
      </c>
      <c r="F259" s="1" t="str">
        <f>_xlfn.XLOOKUP(A259,Orders!A:A,Orders!B:B,"not found")</f>
        <v>LEHMS</v>
      </c>
      <c r="G259" s="13">
        <f>_xlfn.XLOOKUP(OrderDetails[[#This Row],[OrderID]],Orders!A:A,Orders!C:C,"Not Found")</f>
        <v>35369</v>
      </c>
      <c r="H259" s="16">
        <f>(OrderDetails[[#This Row],[UnitPrice]]*OrderDetails[[#This Row],[Quantity]])*(1-OrderDetails[[#This Row],[Discount]])</f>
        <v>216</v>
      </c>
      <c r="I259" s="15" t="str">
        <f>_xlfn.XLOOKUP(OrderDetails[[#This Row],[ProductID]],Product!A:A,Product!G:G,"Not Found")</f>
        <v>Beverages</v>
      </c>
      <c r="J259" s="15" t="str">
        <f>LOOKUP(MONTH(G259),{1,4,7,10},{"Winter","Spring","Summer","Autumn"})</f>
        <v>Autumn</v>
      </c>
      <c r="K259" s="15" t="str">
        <f>_xlfn.XLOOKUP(OrderDetails[[#This Row],[ProductID]],Product!A:A,Product!B:B,"Not Found")</f>
        <v>Lakkalikööri</v>
      </c>
    </row>
    <row r="260" spans="1:11">
      <c r="A260" s="1">
        <v>10344</v>
      </c>
      <c r="B260" s="1">
        <v>4</v>
      </c>
      <c r="C260" s="1">
        <v>17.600000000000001</v>
      </c>
      <c r="D260" s="1">
        <v>35</v>
      </c>
      <c r="E260" s="3">
        <v>0</v>
      </c>
      <c r="F260" s="1" t="str">
        <f>_xlfn.XLOOKUP(A260,Orders!A:A,Orders!B:B,"not found")</f>
        <v>WHITC</v>
      </c>
      <c r="G260" s="13">
        <f>_xlfn.XLOOKUP(OrderDetails[[#This Row],[OrderID]],Orders!A:A,Orders!C:C,"Not Found")</f>
        <v>35370</v>
      </c>
      <c r="H260" s="16">
        <f>(OrderDetails[[#This Row],[UnitPrice]]*OrderDetails[[#This Row],[Quantity]])*(1-OrderDetails[[#This Row],[Discount]])</f>
        <v>616</v>
      </c>
      <c r="I260" s="15" t="str">
        <f>_xlfn.XLOOKUP(OrderDetails[[#This Row],[ProductID]],Product!A:A,Product!G:G,"Not Found")</f>
        <v>Condiments</v>
      </c>
      <c r="J260" s="15" t="str">
        <f>LOOKUP(MONTH(G260),{1,4,7,10},{"Winter","Spring","Summer","Autumn"})</f>
        <v>Autumn</v>
      </c>
      <c r="K260" s="15" t="str">
        <f>_xlfn.XLOOKUP(OrderDetails[[#This Row],[ProductID]],Product!A:A,Product!B:B,"Not Found")</f>
        <v>Chef Anton's Cajun Seasoning</v>
      </c>
    </row>
    <row r="261" spans="1:11">
      <c r="A261" s="2">
        <v>10344</v>
      </c>
      <c r="B261" s="2">
        <v>8</v>
      </c>
      <c r="C261" s="2">
        <v>32</v>
      </c>
      <c r="D261" s="2">
        <v>70</v>
      </c>
      <c r="E261" s="4">
        <v>0.25</v>
      </c>
      <c r="F261" s="1" t="str">
        <f>_xlfn.XLOOKUP(A261,Orders!A:A,Orders!B:B,"not found")</f>
        <v>WHITC</v>
      </c>
      <c r="G261" s="13">
        <f>_xlfn.XLOOKUP(OrderDetails[[#This Row],[OrderID]],Orders!A:A,Orders!C:C,"Not Found")</f>
        <v>35370</v>
      </c>
      <c r="H261" s="16">
        <f>(OrderDetails[[#This Row],[UnitPrice]]*OrderDetails[[#This Row],[Quantity]])*(1-OrderDetails[[#This Row],[Discount]])</f>
        <v>1680</v>
      </c>
      <c r="I261" s="15" t="str">
        <f>_xlfn.XLOOKUP(OrderDetails[[#This Row],[ProductID]],Product!A:A,Product!G:G,"Not Found")</f>
        <v>Condiments</v>
      </c>
      <c r="J261" s="15" t="str">
        <f>LOOKUP(MONTH(G261),{1,4,7,10},{"Winter","Spring","Summer","Autumn"})</f>
        <v>Autumn</v>
      </c>
      <c r="K261" s="15" t="str">
        <f>_xlfn.XLOOKUP(OrderDetails[[#This Row],[ProductID]],Product!A:A,Product!B:B,"Not Found")</f>
        <v>Northwoods Cranberry Sauce</v>
      </c>
    </row>
    <row r="262" spans="1:11">
      <c r="A262" s="1">
        <v>10345</v>
      </c>
      <c r="B262" s="1">
        <v>8</v>
      </c>
      <c r="C262" s="1">
        <v>32</v>
      </c>
      <c r="D262" s="1">
        <v>70</v>
      </c>
      <c r="E262" s="3">
        <v>0</v>
      </c>
      <c r="F262" s="1" t="str">
        <f>_xlfn.XLOOKUP(A262,Orders!A:A,Orders!B:B,"not found")</f>
        <v>QUICK</v>
      </c>
      <c r="G262" s="13">
        <f>_xlfn.XLOOKUP(OrderDetails[[#This Row],[OrderID]],Orders!A:A,Orders!C:C,"Not Found")</f>
        <v>35373</v>
      </c>
      <c r="H262" s="16">
        <f>(OrderDetails[[#This Row],[UnitPrice]]*OrderDetails[[#This Row],[Quantity]])*(1-OrderDetails[[#This Row],[Discount]])</f>
        <v>2240</v>
      </c>
      <c r="I262" s="15" t="str">
        <f>_xlfn.XLOOKUP(OrderDetails[[#This Row],[ProductID]],Product!A:A,Product!G:G,"Not Found")</f>
        <v>Condiments</v>
      </c>
      <c r="J262" s="15" t="str">
        <f>LOOKUP(MONTH(G262),{1,4,7,10},{"Winter","Spring","Summer","Autumn"})</f>
        <v>Autumn</v>
      </c>
      <c r="K262" s="15" t="str">
        <f>_xlfn.XLOOKUP(OrderDetails[[#This Row],[ProductID]],Product!A:A,Product!B:B,"Not Found")</f>
        <v>Northwoods Cranberry Sauce</v>
      </c>
    </row>
    <row r="263" spans="1:11">
      <c r="A263" s="2">
        <v>10345</v>
      </c>
      <c r="B263" s="2">
        <v>19</v>
      </c>
      <c r="C263" s="2">
        <v>7.3</v>
      </c>
      <c r="D263" s="2">
        <v>80</v>
      </c>
      <c r="E263" s="4">
        <v>0</v>
      </c>
      <c r="F263" s="1" t="str">
        <f>_xlfn.XLOOKUP(A263,Orders!A:A,Orders!B:B,"not found")</f>
        <v>QUICK</v>
      </c>
      <c r="G263" s="13">
        <f>_xlfn.XLOOKUP(OrderDetails[[#This Row],[OrderID]],Orders!A:A,Orders!C:C,"Not Found")</f>
        <v>35373</v>
      </c>
      <c r="H263" s="16">
        <f>(OrderDetails[[#This Row],[UnitPrice]]*OrderDetails[[#This Row],[Quantity]])*(1-OrderDetails[[#This Row],[Discount]])</f>
        <v>584</v>
      </c>
      <c r="I263" s="15" t="str">
        <f>_xlfn.XLOOKUP(OrderDetails[[#This Row],[ProductID]],Product!A:A,Product!G:G,"Not Found")</f>
        <v>Confections</v>
      </c>
      <c r="J263" s="15" t="str">
        <f>LOOKUP(MONTH(G263),{1,4,7,10},{"Winter","Spring","Summer","Autumn"})</f>
        <v>Autumn</v>
      </c>
      <c r="K263" s="15" t="str">
        <f>_xlfn.XLOOKUP(OrderDetails[[#This Row],[ProductID]],Product!A:A,Product!B:B,"Not Found")</f>
        <v>Teatime Chocolate Biscuits</v>
      </c>
    </row>
    <row r="264" spans="1:11">
      <c r="A264" s="1">
        <v>10345</v>
      </c>
      <c r="B264" s="1">
        <v>42</v>
      </c>
      <c r="C264" s="1">
        <v>11.2</v>
      </c>
      <c r="D264" s="1">
        <v>9</v>
      </c>
      <c r="E264" s="3">
        <v>0</v>
      </c>
      <c r="F264" s="1" t="str">
        <f>_xlfn.XLOOKUP(A264,Orders!A:A,Orders!B:B,"not found")</f>
        <v>QUICK</v>
      </c>
      <c r="G264" s="13">
        <f>_xlfn.XLOOKUP(OrderDetails[[#This Row],[OrderID]],Orders!A:A,Orders!C:C,"Not Found")</f>
        <v>35373</v>
      </c>
      <c r="H264" s="16">
        <f>(OrderDetails[[#This Row],[UnitPrice]]*OrderDetails[[#This Row],[Quantity]])*(1-OrderDetails[[#This Row],[Discount]])</f>
        <v>100.8</v>
      </c>
      <c r="I264" s="15" t="str">
        <f>_xlfn.XLOOKUP(OrderDetails[[#This Row],[ProductID]],Product!A:A,Product!G:G,"Not Found")</f>
        <v>Grains/Cereals</v>
      </c>
      <c r="J264" s="15" t="str">
        <f>LOOKUP(MONTH(G264),{1,4,7,10},{"Winter","Spring","Summer","Autumn"})</f>
        <v>Autumn</v>
      </c>
      <c r="K264" s="15" t="str">
        <f>_xlfn.XLOOKUP(OrderDetails[[#This Row],[ProductID]],Product!A:A,Product!B:B,"Not Found")</f>
        <v>Singaporean Hokkien Fried Mee</v>
      </c>
    </row>
    <row r="265" spans="1:11">
      <c r="A265" s="2">
        <v>10346</v>
      </c>
      <c r="B265" s="2">
        <v>17</v>
      </c>
      <c r="C265" s="2">
        <v>31.2</v>
      </c>
      <c r="D265" s="2">
        <v>36</v>
      </c>
      <c r="E265" s="4">
        <v>0.10000000149011612</v>
      </c>
      <c r="F265" s="1" t="str">
        <f>_xlfn.XLOOKUP(A265,Orders!A:A,Orders!B:B,"not found")</f>
        <v>RATTC</v>
      </c>
      <c r="G265" s="13">
        <f>_xlfn.XLOOKUP(OrderDetails[[#This Row],[OrderID]],Orders!A:A,Orders!C:C,"Not Found")</f>
        <v>35374</v>
      </c>
      <c r="H265" s="16">
        <f>(OrderDetails[[#This Row],[UnitPrice]]*OrderDetails[[#This Row],[Quantity]])*(1-OrderDetails[[#This Row],[Discount]])</f>
        <v>1010.8799983263016</v>
      </c>
      <c r="I265" s="15" t="str">
        <f>_xlfn.XLOOKUP(OrderDetails[[#This Row],[ProductID]],Product!A:A,Product!G:G,"Not Found")</f>
        <v>Meat/Poultry</v>
      </c>
      <c r="J265" s="15" t="str">
        <f>LOOKUP(MONTH(G265),{1,4,7,10},{"Winter","Spring","Summer","Autumn"})</f>
        <v>Autumn</v>
      </c>
      <c r="K265" s="15" t="str">
        <f>_xlfn.XLOOKUP(OrderDetails[[#This Row],[ProductID]],Product!A:A,Product!B:B,"Not Found")</f>
        <v>Alice Mutton</v>
      </c>
    </row>
    <row r="266" spans="1:11">
      <c r="A266" s="1">
        <v>10346</v>
      </c>
      <c r="B266" s="1">
        <v>56</v>
      </c>
      <c r="C266" s="1">
        <v>30.4</v>
      </c>
      <c r="D266" s="1">
        <v>20</v>
      </c>
      <c r="E266" s="3">
        <v>0</v>
      </c>
      <c r="F266" s="1" t="str">
        <f>_xlfn.XLOOKUP(A266,Orders!A:A,Orders!B:B,"not found")</f>
        <v>RATTC</v>
      </c>
      <c r="G266" s="13">
        <f>_xlfn.XLOOKUP(OrderDetails[[#This Row],[OrderID]],Orders!A:A,Orders!C:C,"Not Found")</f>
        <v>35374</v>
      </c>
      <c r="H266" s="16">
        <f>(OrderDetails[[#This Row],[UnitPrice]]*OrderDetails[[#This Row],[Quantity]])*(1-OrderDetails[[#This Row],[Discount]])</f>
        <v>608</v>
      </c>
      <c r="I266" s="15" t="str">
        <f>_xlfn.XLOOKUP(OrderDetails[[#This Row],[ProductID]],Product!A:A,Product!G:G,"Not Found")</f>
        <v>Grains/Cereals</v>
      </c>
      <c r="J266" s="15" t="str">
        <f>LOOKUP(MONTH(G266),{1,4,7,10},{"Winter","Spring","Summer","Autumn"})</f>
        <v>Autumn</v>
      </c>
      <c r="K266" s="15" t="str">
        <f>_xlfn.XLOOKUP(OrderDetails[[#This Row],[ProductID]],Product!A:A,Product!B:B,"Not Found")</f>
        <v>Gnocchi di nonna Alice</v>
      </c>
    </row>
    <row r="267" spans="1:11">
      <c r="A267" s="2">
        <v>10347</v>
      </c>
      <c r="B267" s="2">
        <v>25</v>
      </c>
      <c r="C267" s="2">
        <v>11.2</v>
      </c>
      <c r="D267" s="2">
        <v>10</v>
      </c>
      <c r="E267" s="4">
        <v>0</v>
      </c>
      <c r="F267" s="1" t="str">
        <f>_xlfn.XLOOKUP(A267,Orders!A:A,Orders!B:B,"not found")</f>
        <v>FAMIA</v>
      </c>
      <c r="G267" s="13">
        <f>_xlfn.XLOOKUP(OrderDetails[[#This Row],[OrderID]],Orders!A:A,Orders!C:C,"Not Found")</f>
        <v>35375</v>
      </c>
      <c r="H267" s="16">
        <f>(OrderDetails[[#This Row],[UnitPrice]]*OrderDetails[[#This Row],[Quantity]])*(1-OrderDetails[[#This Row],[Discount]])</f>
        <v>112</v>
      </c>
      <c r="I267" s="15" t="str">
        <f>_xlfn.XLOOKUP(OrderDetails[[#This Row],[ProductID]],Product!A:A,Product!G:G,"Not Found")</f>
        <v>Confections</v>
      </c>
      <c r="J267" s="15" t="str">
        <f>LOOKUP(MONTH(G267),{1,4,7,10},{"Winter","Spring","Summer","Autumn"})</f>
        <v>Autumn</v>
      </c>
      <c r="K267" s="15" t="str">
        <f>_xlfn.XLOOKUP(OrderDetails[[#This Row],[ProductID]],Product!A:A,Product!B:B,"Not Found")</f>
        <v>NuNuCa Nuß-Nougat-Creme</v>
      </c>
    </row>
    <row r="268" spans="1:11">
      <c r="A268" s="1">
        <v>10347</v>
      </c>
      <c r="B268" s="1">
        <v>39</v>
      </c>
      <c r="C268" s="1">
        <v>14.4</v>
      </c>
      <c r="D268" s="1">
        <v>50</v>
      </c>
      <c r="E268" s="3">
        <v>0.15000000596046448</v>
      </c>
      <c r="F268" s="1" t="str">
        <f>_xlfn.XLOOKUP(A268,Orders!A:A,Orders!B:B,"not found")</f>
        <v>FAMIA</v>
      </c>
      <c r="G268" s="13">
        <f>_xlfn.XLOOKUP(OrderDetails[[#This Row],[OrderID]],Orders!A:A,Orders!C:C,"Not Found")</f>
        <v>35375</v>
      </c>
      <c r="H268" s="16">
        <f>(OrderDetails[[#This Row],[UnitPrice]]*OrderDetails[[#This Row],[Quantity]])*(1-OrderDetails[[#This Row],[Discount]])</f>
        <v>611.99999570846558</v>
      </c>
      <c r="I268" s="15" t="str">
        <f>_xlfn.XLOOKUP(OrderDetails[[#This Row],[ProductID]],Product!A:A,Product!G:G,"Not Found")</f>
        <v>Beverages</v>
      </c>
      <c r="J268" s="15" t="str">
        <f>LOOKUP(MONTH(G268),{1,4,7,10},{"Winter","Spring","Summer","Autumn"})</f>
        <v>Autumn</v>
      </c>
      <c r="K268" s="15" t="str">
        <f>_xlfn.XLOOKUP(OrderDetails[[#This Row],[ProductID]],Product!A:A,Product!B:B,"Not Found")</f>
        <v>Chartreuse verte</v>
      </c>
    </row>
    <row r="269" spans="1:11">
      <c r="A269" s="2">
        <v>10347</v>
      </c>
      <c r="B269" s="2">
        <v>40</v>
      </c>
      <c r="C269" s="2">
        <v>14.7</v>
      </c>
      <c r="D269" s="2">
        <v>4</v>
      </c>
      <c r="E269" s="4">
        <v>0</v>
      </c>
      <c r="F269" s="1" t="str">
        <f>_xlfn.XLOOKUP(A269,Orders!A:A,Orders!B:B,"not found")</f>
        <v>FAMIA</v>
      </c>
      <c r="G269" s="13">
        <f>_xlfn.XLOOKUP(OrderDetails[[#This Row],[OrderID]],Orders!A:A,Orders!C:C,"Not Found")</f>
        <v>35375</v>
      </c>
      <c r="H269" s="16">
        <f>(OrderDetails[[#This Row],[UnitPrice]]*OrderDetails[[#This Row],[Quantity]])*(1-OrderDetails[[#This Row],[Discount]])</f>
        <v>58.8</v>
      </c>
      <c r="I269" s="15" t="str">
        <f>_xlfn.XLOOKUP(OrderDetails[[#This Row],[ProductID]],Product!A:A,Product!G:G,"Not Found")</f>
        <v>Seafood</v>
      </c>
      <c r="J269" s="15" t="str">
        <f>LOOKUP(MONTH(G269),{1,4,7,10},{"Winter","Spring","Summer","Autumn"})</f>
        <v>Autumn</v>
      </c>
      <c r="K269" s="15" t="str">
        <f>_xlfn.XLOOKUP(OrderDetails[[#This Row],[ProductID]],Product!A:A,Product!B:B,"Not Found")</f>
        <v>Boston Crab Meat</v>
      </c>
    </row>
    <row r="270" spans="1:11">
      <c r="A270" s="1">
        <v>10347</v>
      </c>
      <c r="B270" s="1">
        <v>75</v>
      </c>
      <c r="C270" s="1">
        <v>6.2</v>
      </c>
      <c r="D270" s="1">
        <v>6</v>
      </c>
      <c r="E270" s="3">
        <v>0.15000000596046448</v>
      </c>
      <c r="F270" s="1" t="str">
        <f>_xlfn.XLOOKUP(A270,Orders!A:A,Orders!B:B,"not found")</f>
        <v>FAMIA</v>
      </c>
      <c r="G270" s="13">
        <f>_xlfn.XLOOKUP(OrderDetails[[#This Row],[OrderID]],Orders!A:A,Orders!C:C,"Not Found")</f>
        <v>35375</v>
      </c>
      <c r="H270" s="16">
        <f>(OrderDetails[[#This Row],[UnitPrice]]*OrderDetails[[#This Row],[Quantity]])*(1-OrderDetails[[#This Row],[Discount]])</f>
        <v>31.619999778270724</v>
      </c>
      <c r="I270" s="15" t="str">
        <f>_xlfn.XLOOKUP(OrderDetails[[#This Row],[ProductID]],Product!A:A,Product!G:G,"Not Found")</f>
        <v>Beverages</v>
      </c>
      <c r="J270" s="15" t="str">
        <f>LOOKUP(MONTH(G270),{1,4,7,10},{"Winter","Spring","Summer","Autumn"})</f>
        <v>Autumn</v>
      </c>
      <c r="K270" s="15" t="str">
        <f>_xlfn.XLOOKUP(OrderDetails[[#This Row],[ProductID]],Product!A:A,Product!B:B,"Not Found")</f>
        <v>Rhönbräu Klosterbier</v>
      </c>
    </row>
    <row r="271" spans="1:11">
      <c r="A271" s="2">
        <v>10348</v>
      </c>
      <c r="B271" s="2">
        <v>1</v>
      </c>
      <c r="C271" s="2">
        <v>14.4</v>
      </c>
      <c r="D271" s="2">
        <v>15</v>
      </c>
      <c r="E271" s="4">
        <v>0.15000000596046448</v>
      </c>
      <c r="F271" s="1" t="str">
        <f>_xlfn.XLOOKUP(A271,Orders!A:A,Orders!B:B,"not found")</f>
        <v>WANDK</v>
      </c>
      <c r="G271" s="13">
        <f>_xlfn.XLOOKUP(OrderDetails[[#This Row],[OrderID]],Orders!A:A,Orders!C:C,"Not Found")</f>
        <v>35376</v>
      </c>
      <c r="H271" s="16">
        <f>(OrderDetails[[#This Row],[UnitPrice]]*OrderDetails[[#This Row],[Quantity]])*(1-OrderDetails[[#This Row],[Discount]])</f>
        <v>183.59999871253967</v>
      </c>
      <c r="I271" s="15" t="str">
        <f>_xlfn.XLOOKUP(OrderDetails[[#This Row],[ProductID]],Product!A:A,Product!G:G,"Not Found")</f>
        <v>Beverages</v>
      </c>
      <c r="J271" s="15" t="str">
        <f>LOOKUP(MONTH(G271),{1,4,7,10},{"Winter","Spring","Summer","Autumn"})</f>
        <v>Autumn</v>
      </c>
      <c r="K271" s="15" t="str">
        <f>_xlfn.XLOOKUP(OrderDetails[[#This Row],[ProductID]],Product!A:A,Product!B:B,"Not Found")</f>
        <v>Chai</v>
      </c>
    </row>
    <row r="272" spans="1:11">
      <c r="A272" s="1">
        <v>10348</v>
      </c>
      <c r="B272" s="1">
        <v>23</v>
      </c>
      <c r="C272" s="1">
        <v>7.2</v>
      </c>
      <c r="D272" s="1">
        <v>25</v>
      </c>
      <c r="E272" s="3">
        <v>0</v>
      </c>
      <c r="F272" s="1" t="str">
        <f>_xlfn.XLOOKUP(A272,Orders!A:A,Orders!B:B,"not found")</f>
        <v>WANDK</v>
      </c>
      <c r="G272" s="13">
        <f>_xlfn.XLOOKUP(OrderDetails[[#This Row],[OrderID]],Orders!A:A,Orders!C:C,"Not Found")</f>
        <v>35376</v>
      </c>
      <c r="H272" s="16">
        <f>(OrderDetails[[#This Row],[UnitPrice]]*OrderDetails[[#This Row],[Quantity]])*(1-OrderDetails[[#This Row],[Discount]])</f>
        <v>180</v>
      </c>
      <c r="I272" s="15" t="str">
        <f>_xlfn.XLOOKUP(OrderDetails[[#This Row],[ProductID]],Product!A:A,Product!G:G,"Not Found")</f>
        <v>Grains/Cereals</v>
      </c>
      <c r="J272" s="15" t="str">
        <f>LOOKUP(MONTH(G272),{1,4,7,10},{"Winter","Spring","Summer","Autumn"})</f>
        <v>Autumn</v>
      </c>
      <c r="K272" s="15" t="str">
        <f>_xlfn.XLOOKUP(OrderDetails[[#This Row],[ProductID]],Product!A:A,Product!B:B,"Not Found")</f>
        <v>Tunnbröd</v>
      </c>
    </row>
    <row r="273" spans="1:11">
      <c r="A273" s="2">
        <v>10349</v>
      </c>
      <c r="B273" s="2">
        <v>54</v>
      </c>
      <c r="C273" s="2">
        <v>5.9</v>
      </c>
      <c r="D273" s="2">
        <v>24</v>
      </c>
      <c r="E273" s="4">
        <v>0</v>
      </c>
      <c r="F273" s="1" t="str">
        <f>_xlfn.XLOOKUP(A273,Orders!A:A,Orders!B:B,"not found")</f>
        <v>SPLIR</v>
      </c>
      <c r="G273" s="13">
        <f>_xlfn.XLOOKUP(OrderDetails[[#This Row],[OrderID]],Orders!A:A,Orders!C:C,"Not Found")</f>
        <v>35377</v>
      </c>
      <c r="H273" s="16">
        <f>(OrderDetails[[#This Row],[UnitPrice]]*OrderDetails[[#This Row],[Quantity]])*(1-OrderDetails[[#This Row],[Discount]])</f>
        <v>141.60000000000002</v>
      </c>
      <c r="I273" s="15" t="str">
        <f>_xlfn.XLOOKUP(OrderDetails[[#This Row],[ProductID]],Product!A:A,Product!G:G,"Not Found")</f>
        <v>Meat/Poultry</v>
      </c>
      <c r="J273" s="15" t="str">
        <f>LOOKUP(MONTH(G273),{1,4,7,10},{"Winter","Spring","Summer","Autumn"})</f>
        <v>Autumn</v>
      </c>
      <c r="K273" s="15" t="str">
        <f>_xlfn.XLOOKUP(OrderDetails[[#This Row],[ProductID]],Product!A:A,Product!B:B,"Not Found")</f>
        <v>Tourtière</v>
      </c>
    </row>
    <row r="274" spans="1:11">
      <c r="A274" s="1">
        <v>10350</v>
      </c>
      <c r="B274" s="1">
        <v>50</v>
      </c>
      <c r="C274" s="1">
        <v>13</v>
      </c>
      <c r="D274" s="1">
        <v>15</v>
      </c>
      <c r="E274" s="3">
        <v>0.10000000149011612</v>
      </c>
      <c r="F274" s="1" t="str">
        <f>_xlfn.XLOOKUP(A274,Orders!A:A,Orders!B:B,"not found")</f>
        <v>LAMAI</v>
      </c>
      <c r="G274" s="13">
        <f>_xlfn.XLOOKUP(OrderDetails[[#This Row],[OrderID]],Orders!A:A,Orders!C:C,"Not Found")</f>
        <v>35380</v>
      </c>
      <c r="H274" s="16">
        <f>(OrderDetails[[#This Row],[UnitPrice]]*OrderDetails[[#This Row],[Quantity]])*(1-OrderDetails[[#This Row],[Discount]])</f>
        <v>175.49999970942736</v>
      </c>
      <c r="I274" s="15" t="str">
        <f>_xlfn.XLOOKUP(OrderDetails[[#This Row],[ProductID]],Product!A:A,Product!G:G,"Not Found")</f>
        <v>Confections</v>
      </c>
      <c r="J274" s="15" t="str">
        <f>LOOKUP(MONTH(G274),{1,4,7,10},{"Winter","Spring","Summer","Autumn"})</f>
        <v>Autumn</v>
      </c>
      <c r="K274" s="15" t="str">
        <f>_xlfn.XLOOKUP(OrderDetails[[#This Row],[ProductID]],Product!A:A,Product!B:B,"Not Found")</f>
        <v>Valkoinen suklaa</v>
      </c>
    </row>
    <row r="275" spans="1:11">
      <c r="A275" s="2">
        <v>10350</v>
      </c>
      <c r="B275" s="2">
        <v>69</v>
      </c>
      <c r="C275" s="2">
        <v>28.8</v>
      </c>
      <c r="D275" s="2">
        <v>18</v>
      </c>
      <c r="E275" s="4">
        <v>0.10000000149011612</v>
      </c>
      <c r="F275" s="1" t="str">
        <f>_xlfn.XLOOKUP(A275,Orders!A:A,Orders!B:B,"not found")</f>
        <v>LAMAI</v>
      </c>
      <c r="G275" s="13">
        <f>_xlfn.XLOOKUP(OrderDetails[[#This Row],[OrderID]],Orders!A:A,Orders!C:C,"Not Found")</f>
        <v>35380</v>
      </c>
      <c r="H275" s="16">
        <f>(OrderDetails[[#This Row],[UnitPrice]]*OrderDetails[[#This Row],[Quantity]])*(1-OrderDetails[[#This Row],[Discount]])</f>
        <v>466.5599992275238</v>
      </c>
      <c r="I275" s="15" t="str">
        <f>_xlfn.XLOOKUP(OrderDetails[[#This Row],[ProductID]],Product!A:A,Product!G:G,"Not Found")</f>
        <v>Dairy Products</v>
      </c>
      <c r="J275" s="15" t="str">
        <f>LOOKUP(MONTH(G275),{1,4,7,10},{"Winter","Spring","Summer","Autumn"})</f>
        <v>Autumn</v>
      </c>
      <c r="K275" s="15" t="str">
        <f>_xlfn.XLOOKUP(OrderDetails[[#This Row],[ProductID]],Product!A:A,Product!B:B,"Not Found")</f>
        <v>Gudbrandsdalsost</v>
      </c>
    </row>
    <row r="276" spans="1:11">
      <c r="A276" s="1">
        <v>10351</v>
      </c>
      <c r="B276" s="1">
        <v>38</v>
      </c>
      <c r="C276" s="1">
        <v>210.8</v>
      </c>
      <c r="D276" s="1">
        <v>20</v>
      </c>
      <c r="E276" s="3">
        <v>5.000000074505806E-2</v>
      </c>
      <c r="F276" s="1" t="str">
        <f>_xlfn.XLOOKUP(A276,Orders!A:A,Orders!B:B,"not found")</f>
        <v>ERNSH</v>
      </c>
      <c r="G276" s="13">
        <f>_xlfn.XLOOKUP(OrderDetails[[#This Row],[OrderID]],Orders!A:A,Orders!C:C,"Not Found")</f>
        <v>35380</v>
      </c>
      <c r="H276" s="16">
        <f>(OrderDetails[[#This Row],[UnitPrice]]*OrderDetails[[#This Row],[Quantity]])*(1-OrderDetails[[#This Row],[Discount]])</f>
        <v>4005.1999968588352</v>
      </c>
      <c r="I276" s="15" t="str">
        <f>_xlfn.XLOOKUP(OrderDetails[[#This Row],[ProductID]],Product!A:A,Product!G:G,"Not Found")</f>
        <v>Beverages</v>
      </c>
      <c r="J276" s="15" t="str">
        <f>LOOKUP(MONTH(G276),{1,4,7,10},{"Winter","Spring","Summer","Autumn"})</f>
        <v>Autumn</v>
      </c>
      <c r="K276" s="15" t="str">
        <f>_xlfn.XLOOKUP(OrderDetails[[#This Row],[ProductID]],Product!A:A,Product!B:B,"Not Found")</f>
        <v>Côte de Blaye</v>
      </c>
    </row>
    <row r="277" spans="1:11">
      <c r="A277" s="2">
        <v>10351</v>
      </c>
      <c r="B277" s="2">
        <v>41</v>
      </c>
      <c r="C277" s="2">
        <v>7.7</v>
      </c>
      <c r="D277" s="2">
        <v>13</v>
      </c>
      <c r="E277" s="4">
        <v>0</v>
      </c>
      <c r="F277" s="1" t="str">
        <f>_xlfn.XLOOKUP(A277,Orders!A:A,Orders!B:B,"not found")</f>
        <v>ERNSH</v>
      </c>
      <c r="G277" s="13">
        <f>_xlfn.XLOOKUP(OrderDetails[[#This Row],[OrderID]],Orders!A:A,Orders!C:C,"Not Found")</f>
        <v>35380</v>
      </c>
      <c r="H277" s="16">
        <f>(OrderDetails[[#This Row],[UnitPrice]]*OrderDetails[[#This Row],[Quantity]])*(1-OrderDetails[[#This Row],[Discount]])</f>
        <v>100.10000000000001</v>
      </c>
      <c r="I277" s="15" t="str">
        <f>_xlfn.XLOOKUP(OrderDetails[[#This Row],[ProductID]],Product!A:A,Product!G:G,"Not Found")</f>
        <v>Seafood</v>
      </c>
      <c r="J277" s="15" t="str">
        <f>LOOKUP(MONTH(G277),{1,4,7,10},{"Winter","Spring","Summer","Autumn"})</f>
        <v>Autumn</v>
      </c>
      <c r="K277" s="15" t="str">
        <f>_xlfn.XLOOKUP(OrderDetails[[#This Row],[ProductID]],Product!A:A,Product!B:B,"Not Found")</f>
        <v>Jack's New England Clam Chowder</v>
      </c>
    </row>
    <row r="278" spans="1:11">
      <c r="A278" s="1">
        <v>10351</v>
      </c>
      <c r="B278" s="1">
        <v>44</v>
      </c>
      <c r="C278" s="1">
        <v>15.5</v>
      </c>
      <c r="D278" s="1">
        <v>77</v>
      </c>
      <c r="E278" s="3">
        <v>5.000000074505806E-2</v>
      </c>
      <c r="F278" s="1" t="str">
        <f>_xlfn.XLOOKUP(A278,Orders!A:A,Orders!B:B,"not found")</f>
        <v>ERNSH</v>
      </c>
      <c r="G278" s="13">
        <f>_xlfn.XLOOKUP(OrderDetails[[#This Row],[OrderID]],Orders!A:A,Orders!C:C,"Not Found")</f>
        <v>35380</v>
      </c>
      <c r="H278" s="16">
        <f>(OrderDetails[[#This Row],[UnitPrice]]*OrderDetails[[#This Row],[Quantity]])*(1-OrderDetails[[#This Row],[Discount]])</f>
        <v>1133.8249991107732</v>
      </c>
      <c r="I278" s="15" t="str">
        <f>_xlfn.XLOOKUP(OrderDetails[[#This Row],[ProductID]],Product!A:A,Product!G:G,"Not Found")</f>
        <v>Condiments</v>
      </c>
      <c r="J278" s="15" t="str">
        <f>LOOKUP(MONTH(G278),{1,4,7,10},{"Winter","Spring","Summer","Autumn"})</f>
        <v>Autumn</v>
      </c>
      <c r="K278" s="15" t="str">
        <f>_xlfn.XLOOKUP(OrderDetails[[#This Row],[ProductID]],Product!A:A,Product!B:B,"Not Found")</f>
        <v>Gula Malacca</v>
      </c>
    </row>
    <row r="279" spans="1:11">
      <c r="A279" s="2">
        <v>10351</v>
      </c>
      <c r="B279" s="2">
        <v>65</v>
      </c>
      <c r="C279" s="2">
        <v>16.8</v>
      </c>
      <c r="D279" s="2">
        <v>10</v>
      </c>
      <c r="E279" s="4">
        <v>5.000000074505806E-2</v>
      </c>
      <c r="F279" s="1" t="str">
        <f>_xlfn.XLOOKUP(A279,Orders!A:A,Orders!B:B,"not found")</f>
        <v>ERNSH</v>
      </c>
      <c r="G279" s="13">
        <f>_xlfn.XLOOKUP(OrderDetails[[#This Row],[OrderID]],Orders!A:A,Orders!C:C,"Not Found")</f>
        <v>35380</v>
      </c>
      <c r="H279" s="16">
        <f>(OrderDetails[[#This Row],[UnitPrice]]*OrderDetails[[#This Row],[Quantity]])*(1-OrderDetails[[#This Row],[Discount]])</f>
        <v>159.59999987483025</v>
      </c>
      <c r="I279" s="15" t="str">
        <f>_xlfn.XLOOKUP(OrderDetails[[#This Row],[ProductID]],Product!A:A,Product!G:G,"Not Found")</f>
        <v>Condiments</v>
      </c>
      <c r="J279" s="15" t="str">
        <f>LOOKUP(MONTH(G279),{1,4,7,10},{"Winter","Spring","Summer","Autumn"})</f>
        <v>Autumn</v>
      </c>
      <c r="K279" s="15" t="str">
        <f>_xlfn.XLOOKUP(OrderDetails[[#This Row],[ProductID]],Product!A:A,Product!B:B,"Not Found")</f>
        <v>Louisiana Fiery Hot Pepper Sauce</v>
      </c>
    </row>
    <row r="280" spans="1:11">
      <c r="A280" s="1">
        <v>10352</v>
      </c>
      <c r="B280" s="1">
        <v>24</v>
      </c>
      <c r="C280" s="1">
        <v>3.6</v>
      </c>
      <c r="D280" s="1">
        <v>10</v>
      </c>
      <c r="E280" s="3">
        <v>0</v>
      </c>
      <c r="F280" s="1" t="str">
        <f>_xlfn.XLOOKUP(A280,Orders!A:A,Orders!B:B,"not found")</f>
        <v>FURIB</v>
      </c>
      <c r="G280" s="13">
        <f>_xlfn.XLOOKUP(OrderDetails[[#This Row],[OrderID]],Orders!A:A,Orders!C:C,"Not Found")</f>
        <v>35381</v>
      </c>
      <c r="H280" s="16">
        <f>(OrderDetails[[#This Row],[UnitPrice]]*OrderDetails[[#This Row],[Quantity]])*(1-OrderDetails[[#This Row],[Discount]])</f>
        <v>36</v>
      </c>
      <c r="I280" s="15" t="str">
        <f>_xlfn.XLOOKUP(OrderDetails[[#This Row],[ProductID]],Product!A:A,Product!G:G,"Not Found")</f>
        <v>Beverages</v>
      </c>
      <c r="J280" s="15" t="str">
        <f>LOOKUP(MONTH(G280),{1,4,7,10},{"Winter","Spring","Summer","Autumn"})</f>
        <v>Autumn</v>
      </c>
      <c r="K280" s="15" t="str">
        <f>_xlfn.XLOOKUP(OrderDetails[[#This Row],[ProductID]],Product!A:A,Product!B:B,"Not Found")</f>
        <v>Guaraná Fantástica</v>
      </c>
    </row>
    <row r="281" spans="1:11">
      <c r="A281" s="2">
        <v>10352</v>
      </c>
      <c r="B281" s="2">
        <v>54</v>
      </c>
      <c r="C281" s="2">
        <v>5.9</v>
      </c>
      <c r="D281" s="2">
        <v>20</v>
      </c>
      <c r="E281" s="4">
        <v>0.15000000596046448</v>
      </c>
      <c r="F281" s="1" t="str">
        <f>_xlfn.XLOOKUP(A281,Orders!A:A,Orders!B:B,"not found")</f>
        <v>FURIB</v>
      </c>
      <c r="G281" s="13">
        <f>_xlfn.XLOOKUP(OrderDetails[[#This Row],[OrderID]],Orders!A:A,Orders!C:C,"Not Found")</f>
        <v>35381</v>
      </c>
      <c r="H281" s="16">
        <f>(OrderDetails[[#This Row],[UnitPrice]]*OrderDetails[[#This Row],[Quantity]])*(1-OrderDetails[[#This Row],[Discount]])</f>
        <v>100.29999929666519</v>
      </c>
      <c r="I281" s="15" t="str">
        <f>_xlfn.XLOOKUP(OrderDetails[[#This Row],[ProductID]],Product!A:A,Product!G:G,"Not Found")</f>
        <v>Meat/Poultry</v>
      </c>
      <c r="J281" s="15" t="str">
        <f>LOOKUP(MONTH(G281),{1,4,7,10},{"Winter","Spring","Summer","Autumn"})</f>
        <v>Autumn</v>
      </c>
      <c r="K281" s="15" t="str">
        <f>_xlfn.XLOOKUP(OrderDetails[[#This Row],[ProductID]],Product!A:A,Product!B:B,"Not Found")</f>
        <v>Tourtière</v>
      </c>
    </row>
    <row r="282" spans="1:11">
      <c r="A282" s="1">
        <v>10353</v>
      </c>
      <c r="B282" s="1">
        <v>11</v>
      </c>
      <c r="C282" s="1">
        <v>16.8</v>
      </c>
      <c r="D282" s="1">
        <v>12</v>
      </c>
      <c r="E282" s="3">
        <v>0.20000000298023224</v>
      </c>
      <c r="F282" s="1" t="str">
        <f>_xlfn.XLOOKUP(A282,Orders!A:A,Orders!B:B,"not found")</f>
        <v>PICCO</v>
      </c>
      <c r="G282" s="13">
        <f>_xlfn.XLOOKUP(OrderDetails[[#This Row],[OrderID]],Orders!A:A,Orders!C:C,"Not Found")</f>
        <v>35382</v>
      </c>
      <c r="H282" s="16">
        <f>(OrderDetails[[#This Row],[UnitPrice]]*OrderDetails[[#This Row],[Quantity]])*(1-OrderDetails[[#This Row],[Discount]])</f>
        <v>161.27999939918519</v>
      </c>
      <c r="I282" s="15" t="str">
        <f>_xlfn.XLOOKUP(OrderDetails[[#This Row],[ProductID]],Product!A:A,Product!G:G,"Not Found")</f>
        <v>Dairy Products</v>
      </c>
      <c r="J282" s="15" t="str">
        <f>LOOKUP(MONTH(G282),{1,4,7,10},{"Winter","Spring","Summer","Autumn"})</f>
        <v>Autumn</v>
      </c>
      <c r="K282" s="15" t="str">
        <f>_xlfn.XLOOKUP(OrderDetails[[#This Row],[ProductID]],Product!A:A,Product!B:B,"Not Found")</f>
        <v>Queso Cabrales</v>
      </c>
    </row>
    <row r="283" spans="1:11">
      <c r="A283" s="2">
        <v>10353</v>
      </c>
      <c r="B283" s="2">
        <v>38</v>
      </c>
      <c r="C283" s="2">
        <v>210.8</v>
      </c>
      <c r="D283" s="2">
        <v>50</v>
      </c>
      <c r="E283" s="4">
        <v>0.20000000298023224</v>
      </c>
      <c r="F283" s="1" t="str">
        <f>_xlfn.XLOOKUP(A283,Orders!A:A,Orders!B:B,"not found")</f>
        <v>PICCO</v>
      </c>
      <c r="G283" s="13">
        <f>_xlfn.XLOOKUP(OrderDetails[[#This Row],[OrderID]],Orders!A:A,Orders!C:C,"Not Found")</f>
        <v>35382</v>
      </c>
      <c r="H283" s="16">
        <f>(OrderDetails[[#This Row],[UnitPrice]]*OrderDetails[[#This Row],[Quantity]])*(1-OrderDetails[[#This Row],[Discount]])</f>
        <v>8431.9999685883522</v>
      </c>
      <c r="I283" s="15" t="str">
        <f>_xlfn.XLOOKUP(OrderDetails[[#This Row],[ProductID]],Product!A:A,Product!G:G,"Not Found")</f>
        <v>Beverages</v>
      </c>
      <c r="J283" s="15" t="str">
        <f>LOOKUP(MONTH(G283),{1,4,7,10},{"Winter","Spring","Summer","Autumn"})</f>
        <v>Autumn</v>
      </c>
      <c r="K283" s="15" t="str">
        <f>_xlfn.XLOOKUP(OrderDetails[[#This Row],[ProductID]],Product!A:A,Product!B:B,"Not Found")</f>
        <v>Côte de Blaye</v>
      </c>
    </row>
    <row r="284" spans="1:11">
      <c r="A284" s="1">
        <v>10354</v>
      </c>
      <c r="B284" s="1">
        <v>1</v>
      </c>
      <c r="C284" s="1">
        <v>14.4</v>
      </c>
      <c r="D284" s="1">
        <v>12</v>
      </c>
      <c r="E284" s="3">
        <v>0</v>
      </c>
      <c r="F284" s="1" t="str">
        <f>_xlfn.XLOOKUP(A284,Orders!A:A,Orders!B:B,"not found")</f>
        <v>PERIC</v>
      </c>
      <c r="G284" s="13">
        <f>_xlfn.XLOOKUP(OrderDetails[[#This Row],[OrderID]],Orders!A:A,Orders!C:C,"Not Found")</f>
        <v>35383</v>
      </c>
      <c r="H284" s="16">
        <f>(OrderDetails[[#This Row],[UnitPrice]]*OrderDetails[[#This Row],[Quantity]])*(1-OrderDetails[[#This Row],[Discount]])</f>
        <v>172.8</v>
      </c>
      <c r="I284" s="15" t="str">
        <f>_xlfn.XLOOKUP(OrderDetails[[#This Row],[ProductID]],Product!A:A,Product!G:G,"Not Found")</f>
        <v>Beverages</v>
      </c>
      <c r="J284" s="15" t="str">
        <f>LOOKUP(MONTH(G284),{1,4,7,10},{"Winter","Spring","Summer","Autumn"})</f>
        <v>Autumn</v>
      </c>
      <c r="K284" s="15" t="str">
        <f>_xlfn.XLOOKUP(OrderDetails[[#This Row],[ProductID]],Product!A:A,Product!B:B,"Not Found")</f>
        <v>Chai</v>
      </c>
    </row>
    <row r="285" spans="1:11">
      <c r="A285" s="2">
        <v>10354</v>
      </c>
      <c r="B285" s="2">
        <v>29</v>
      </c>
      <c r="C285" s="2">
        <v>99</v>
      </c>
      <c r="D285" s="2">
        <v>4</v>
      </c>
      <c r="E285" s="4">
        <v>0</v>
      </c>
      <c r="F285" s="1" t="str">
        <f>_xlfn.XLOOKUP(A285,Orders!A:A,Orders!B:B,"not found")</f>
        <v>PERIC</v>
      </c>
      <c r="G285" s="13">
        <f>_xlfn.XLOOKUP(OrderDetails[[#This Row],[OrderID]],Orders!A:A,Orders!C:C,"Not Found")</f>
        <v>35383</v>
      </c>
      <c r="H285" s="16">
        <f>(OrderDetails[[#This Row],[UnitPrice]]*OrderDetails[[#This Row],[Quantity]])*(1-OrderDetails[[#This Row],[Discount]])</f>
        <v>396</v>
      </c>
      <c r="I285" s="15" t="str">
        <f>_xlfn.XLOOKUP(OrderDetails[[#This Row],[ProductID]],Product!A:A,Product!G:G,"Not Found")</f>
        <v>Meat/Poultry</v>
      </c>
      <c r="J285" s="15" t="str">
        <f>LOOKUP(MONTH(G285),{1,4,7,10},{"Winter","Spring","Summer","Autumn"})</f>
        <v>Autumn</v>
      </c>
      <c r="K285" s="15" t="str">
        <f>_xlfn.XLOOKUP(OrderDetails[[#This Row],[ProductID]],Product!A:A,Product!B:B,"Not Found")</f>
        <v>Thüringer Rostbratwurst</v>
      </c>
    </row>
    <row r="286" spans="1:11">
      <c r="A286" s="1">
        <v>10355</v>
      </c>
      <c r="B286" s="1">
        <v>24</v>
      </c>
      <c r="C286" s="1">
        <v>3.6</v>
      </c>
      <c r="D286" s="1">
        <v>25</v>
      </c>
      <c r="E286" s="3">
        <v>0</v>
      </c>
      <c r="F286" s="1" t="str">
        <f>_xlfn.XLOOKUP(A286,Orders!A:A,Orders!B:B,"not found")</f>
        <v>AROUT</v>
      </c>
      <c r="G286" s="13">
        <f>_xlfn.XLOOKUP(OrderDetails[[#This Row],[OrderID]],Orders!A:A,Orders!C:C,"Not Found")</f>
        <v>35384</v>
      </c>
      <c r="H286" s="16">
        <f>(OrderDetails[[#This Row],[UnitPrice]]*OrderDetails[[#This Row],[Quantity]])*(1-OrderDetails[[#This Row],[Discount]])</f>
        <v>90</v>
      </c>
      <c r="I286" s="15" t="str">
        <f>_xlfn.XLOOKUP(OrderDetails[[#This Row],[ProductID]],Product!A:A,Product!G:G,"Not Found")</f>
        <v>Beverages</v>
      </c>
      <c r="J286" s="15" t="str">
        <f>LOOKUP(MONTH(G286),{1,4,7,10},{"Winter","Spring","Summer","Autumn"})</f>
        <v>Autumn</v>
      </c>
      <c r="K286" s="15" t="str">
        <f>_xlfn.XLOOKUP(OrderDetails[[#This Row],[ProductID]],Product!A:A,Product!B:B,"Not Found")</f>
        <v>Guaraná Fantástica</v>
      </c>
    </row>
    <row r="287" spans="1:11">
      <c r="A287" s="2">
        <v>10355</v>
      </c>
      <c r="B287" s="2">
        <v>57</v>
      </c>
      <c r="C287" s="2">
        <v>15.6</v>
      </c>
      <c r="D287" s="2">
        <v>25</v>
      </c>
      <c r="E287" s="4">
        <v>0</v>
      </c>
      <c r="F287" s="1" t="str">
        <f>_xlfn.XLOOKUP(A287,Orders!A:A,Orders!B:B,"not found")</f>
        <v>AROUT</v>
      </c>
      <c r="G287" s="13">
        <f>_xlfn.XLOOKUP(OrderDetails[[#This Row],[OrderID]],Orders!A:A,Orders!C:C,"Not Found")</f>
        <v>35384</v>
      </c>
      <c r="H287" s="16">
        <f>(OrderDetails[[#This Row],[UnitPrice]]*OrderDetails[[#This Row],[Quantity]])*(1-OrderDetails[[#This Row],[Discount]])</f>
        <v>390</v>
      </c>
      <c r="I287" s="15" t="str">
        <f>_xlfn.XLOOKUP(OrderDetails[[#This Row],[ProductID]],Product!A:A,Product!G:G,"Not Found")</f>
        <v>Grains/Cereals</v>
      </c>
      <c r="J287" s="15" t="str">
        <f>LOOKUP(MONTH(G287),{1,4,7,10},{"Winter","Spring","Summer","Autumn"})</f>
        <v>Autumn</v>
      </c>
      <c r="K287" s="15" t="str">
        <f>_xlfn.XLOOKUP(OrderDetails[[#This Row],[ProductID]],Product!A:A,Product!B:B,"Not Found")</f>
        <v>Ravioli Angelo</v>
      </c>
    </row>
    <row r="288" spans="1:11">
      <c r="A288" s="1">
        <v>10356</v>
      </c>
      <c r="B288" s="1">
        <v>31</v>
      </c>
      <c r="C288" s="1">
        <v>10</v>
      </c>
      <c r="D288" s="1">
        <v>30</v>
      </c>
      <c r="E288" s="3">
        <v>0</v>
      </c>
      <c r="F288" s="1" t="str">
        <f>_xlfn.XLOOKUP(A288,Orders!A:A,Orders!B:B,"not found")</f>
        <v>WANDK</v>
      </c>
      <c r="G288" s="13">
        <f>_xlfn.XLOOKUP(OrderDetails[[#This Row],[OrderID]],Orders!A:A,Orders!C:C,"Not Found")</f>
        <v>35387</v>
      </c>
      <c r="H288" s="16">
        <f>(OrderDetails[[#This Row],[UnitPrice]]*OrderDetails[[#This Row],[Quantity]])*(1-OrderDetails[[#This Row],[Discount]])</f>
        <v>300</v>
      </c>
      <c r="I288" s="15" t="str">
        <f>_xlfn.XLOOKUP(OrderDetails[[#This Row],[ProductID]],Product!A:A,Product!G:G,"Not Found")</f>
        <v>Dairy Products</v>
      </c>
      <c r="J288" s="15" t="str">
        <f>LOOKUP(MONTH(G288),{1,4,7,10},{"Winter","Spring","Summer","Autumn"})</f>
        <v>Autumn</v>
      </c>
      <c r="K288" s="15" t="str">
        <f>_xlfn.XLOOKUP(OrderDetails[[#This Row],[ProductID]],Product!A:A,Product!B:B,"Not Found")</f>
        <v>Gorgonzola Telino</v>
      </c>
    </row>
    <row r="289" spans="1:11">
      <c r="A289" s="2">
        <v>10356</v>
      </c>
      <c r="B289" s="2">
        <v>55</v>
      </c>
      <c r="C289" s="2">
        <v>19.2</v>
      </c>
      <c r="D289" s="2">
        <v>12</v>
      </c>
      <c r="E289" s="4">
        <v>0</v>
      </c>
      <c r="F289" s="1" t="str">
        <f>_xlfn.XLOOKUP(A289,Orders!A:A,Orders!B:B,"not found")</f>
        <v>WANDK</v>
      </c>
      <c r="G289" s="13">
        <f>_xlfn.XLOOKUP(OrderDetails[[#This Row],[OrderID]],Orders!A:A,Orders!C:C,"Not Found")</f>
        <v>35387</v>
      </c>
      <c r="H289" s="16">
        <f>(OrderDetails[[#This Row],[UnitPrice]]*OrderDetails[[#This Row],[Quantity]])*(1-OrderDetails[[#This Row],[Discount]])</f>
        <v>230.39999999999998</v>
      </c>
      <c r="I289" s="15" t="str">
        <f>_xlfn.XLOOKUP(OrderDetails[[#This Row],[ProductID]],Product!A:A,Product!G:G,"Not Found")</f>
        <v>Meat/Poultry</v>
      </c>
      <c r="J289" s="15" t="str">
        <f>LOOKUP(MONTH(G289),{1,4,7,10},{"Winter","Spring","Summer","Autumn"})</f>
        <v>Autumn</v>
      </c>
      <c r="K289" s="15" t="str">
        <f>_xlfn.XLOOKUP(OrderDetails[[#This Row],[ProductID]],Product!A:A,Product!B:B,"Not Found")</f>
        <v>Pâté chinois</v>
      </c>
    </row>
    <row r="290" spans="1:11">
      <c r="A290" s="1">
        <v>10356</v>
      </c>
      <c r="B290" s="1">
        <v>69</v>
      </c>
      <c r="C290" s="1">
        <v>28.8</v>
      </c>
      <c r="D290" s="1">
        <v>20</v>
      </c>
      <c r="E290" s="3">
        <v>0</v>
      </c>
      <c r="F290" s="1" t="str">
        <f>_xlfn.XLOOKUP(A290,Orders!A:A,Orders!B:B,"not found")</f>
        <v>WANDK</v>
      </c>
      <c r="G290" s="13">
        <f>_xlfn.XLOOKUP(OrderDetails[[#This Row],[OrderID]],Orders!A:A,Orders!C:C,"Not Found")</f>
        <v>35387</v>
      </c>
      <c r="H290" s="16">
        <f>(OrderDetails[[#This Row],[UnitPrice]]*OrderDetails[[#This Row],[Quantity]])*(1-OrderDetails[[#This Row],[Discount]])</f>
        <v>576</v>
      </c>
      <c r="I290" s="15" t="str">
        <f>_xlfn.XLOOKUP(OrderDetails[[#This Row],[ProductID]],Product!A:A,Product!G:G,"Not Found")</f>
        <v>Dairy Products</v>
      </c>
      <c r="J290" s="15" t="str">
        <f>LOOKUP(MONTH(G290),{1,4,7,10},{"Winter","Spring","Summer","Autumn"})</f>
        <v>Autumn</v>
      </c>
      <c r="K290" s="15" t="str">
        <f>_xlfn.XLOOKUP(OrderDetails[[#This Row],[ProductID]],Product!A:A,Product!B:B,"Not Found")</f>
        <v>Gudbrandsdalsost</v>
      </c>
    </row>
    <row r="291" spans="1:11">
      <c r="A291" s="2">
        <v>10357</v>
      </c>
      <c r="B291" s="2">
        <v>10</v>
      </c>
      <c r="C291" s="2">
        <v>24.8</v>
      </c>
      <c r="D291" s="2">
        <v>30</v>
      </c>
      <c r="E291" s="4">
        <v>0.20000000298023224</v>
      </c>
      <c r="F291" s="1" t="str">
        <f>_xlfn.XLOOKUP(A291,Orders!A:A,Orders!B:B,"not found")</f>
        <v>LILAS</v>
      </c>
      <c r="G291" s="13">
        <f>_xlfn.XLOOKUP(OrderDetails[[#This Row],[OrderID]],Orders!A:A,Orders!C:C,"Not Found")</f>
        <v>35388</v>
      </c>
      <c r="H291" s="16">
        <f>(OrderDetails[[#This Row],[UnitPrice]]*OrderDetails[[#This Row],[Quantity]])*(1-OrderDetails[[#This Row],[Discount]])</f>
        <v>595.19999778270721</v>
      </c>
      <c r="I291" s="15" t="str">
        <f>_xlfn.XLOOKUP(OrderDetails[[#This Row],[ProductID]],Product!A:A,Product!G:G,"Not Found")</f>
        <v>Seafood</v>
      </c>
      <c r="J291" s="15" t="str">
        <f>LOOKUP(MONTH(G291),{1,4,7,10},{"Winter","Spring","Summer","Autumn"})</f>
        <v>Autumn</v>
      </c>
      <c r="K291" s="15" t="str">
        <f>_xlfn.XLOOKUP(OrderDetails[[#This Row],[ProductID]],Product!A:A,Product!B:B,"Not Found")</f>
        <v>Ikura</v>
      </c>
    </row>
    <row r="292" spans="1:11">
      <c r="A292" s="1">
        <v>10357</v>
      </c>
      <c r="B292" s="1">
        <v>26</v>
      </c>
      <c r="C292" s="1">
        <v>24.9</v>
      </c>
      <c r="D292" s="1">
        <v>16</v>
      </c>
      <c r="E292" s="3">
        <v>0</v>
      </c>
      <c r="F292" s="1" t="str">
        <f>_xlfn.XLOOKUP(A292,Orders!A:A,Orders!B:B,"not found")</f>
        <v>LILAS</v>
      </c>
      <c r="G292" s="13">
        <f>_xlfn.XLOOKUP(OrderDetails[[#This Row],[OrderID]],Orders!A:A,Orders!C:C,"Not Found")</f>
        <v>35388</v>
      </c>
      <c r="H292" s="16">
        <f>(OrderDetails[[#This Row],[UnitPrice]]*OrderDetails[[#This Row],[Quantity]])*(1-OrderDetails[[#This Row],[Discount]])</f>
        <v>398.4</v>
      </c>
      <c r="I292" s="15" t="str">
        <f>_xlfn.XLOOKUP(OrderDetails[[#This Row],[ProductID]],Product!A:A,Product!G:G,"Not Found")</f>
        <v>Confections</v>
      </c>
      <c r="J292" s="15" t="str">
        <f>LOOKUP(MONTH(G292),{1,4,7,10},{"Winter","Spring","Summer","Autumn"})</f>
        <v>Autumn</v>
      </c>
      <c r="K292" s="15" t="str">
        <f>_xlfn.XLOOKUP(OrderDetails[[#This Row],[ProductID]],Product!A:A,Product!B:B,"Not Found")</f>
        <v>Gumbär Gummibärchen</v>
      </c>
    </row>
    <row r="293" spans="1:11">
      <c r="A293" s="2">
        <v>10357</v>
      </c>
      <c r="B293" s="2">
        <v>60</v>
      </c>
      <c r="C293" s="2">
        <v>27.2</v>
      </c>
      <c r="D293" s="2">
        <v>8</v>
      </c>
      <c r="E293" s="4">
        <v>0.20000000298023224</v>
      </c>
      <c r="F293" s="1" t="str">
        <f>_xlfn.XLOOKUP(A293,Orders!A:A,Orders!B:B,"not found")</f>
        <v>LILAS</v>
      </c>
      <c r="G293" s="13">
        <f>_xlfn.XLOOKUP(OrderDetails[[#This Row],[OrderID]],Orders!A:A,Orders!C:C,"Not Found")</f>
        <v>35388</v>
      </c>
      <c r="H293" s="16">
        <f>(OrderDetails[[#This Row],[UnitPrice]]*OrderDetails[[#This Row],[Quantity]])*(1-OrderDetails[[#This Row],[Discount]])</f>
        <v>174.07999935150147</v>
      </c>
      <c r="I293" s="15" t="str">
        <f>_xlfn.XLOOKUP(OrderDetails[[#This Row],[ProductID]],Product!A:A,Product!G:G,"Not Found")</f>
        <v>Dairy Products</v>
      </c>
      <c r="J293" s="15" t="str">
        <f>LOOKUP(MONTH(G293),{1,4,7,10},{"Winter","Spring","Summer","Autumn"})</f>
        <v>Autumn</v>
      </c>
      <c r="K293" s="15" t="str">
        <f>_xlfn.XLOOKUP(OrderDetails[[#This Row],[ProductID]],Product!A:A,Product!B:B,"Not Found")</f>
        <v>Camembert Pierrot</v>
      </c>
    </row>
    <row r="294" spans="1:11">
      <c r="A294" s="1">
        <v>10358</v>
      </c>
      <c r="B294" s="1">
        <v>24</v>
      </c>
      <c r="C294" s="1">
        <v>3.6</v>
      </c>
      <c r="D294" s="1">
        <v>10</v>
      </c>
      <c r="E294" s="3">
        <v>5.000000074505806E-2</v>
      </c>
      <c r="F294" s="1" t="str">
        <f>_xlfn.XLOOKUP(A294,Orders!A:A,Orders!B:B,"not found")</f>
        <v>LAMAI</v>
      </c>
      <c r="G294" s="13">
        <f>_xlfn.XLOOKUP(OrderDetails[[#This Row],[OrderID]],Orders!A:A,Orders!C:C,"Not Found")</f>
        <v>35389</v>
      </c>
      <c r="H294" s="16">
        <f>(OrderDetails[[#This Row],[UnitPrice]]*OrderDetails[[#This Row],[Quantity]])*(1-OrderDetails[[#This Row],[Discount]])</f>
        <v>34.19999997317791</v>
      </c>
      <c r="I294" s="15" t="str">
        <f>_xlfn.XLOOKUP(OrderDetails[[#This Row],[ProductID]],Product!A:A,Product!G:G,"Not Found")</f>
        <v>Beverages</v>
      </c>
      <c r="J294" s="15" t="str">
        <f>LOOKUP(MONTH(G294),{1,4,7,10},{"Winter","Spring","Summer","Autumn"})</f>
        <v>Autumn</v>
      </c>
      <c r="K294" s="15" t="str">
        <f>_xlfn.XLOOKUP(OrderDetails[[#This Row],[ProductID]],Product!A:A,Product!B:B,"Not Found")</f>
        <v>Guaraná Fantástica</v>
      </c>
    </row>
    <row r="295" spans="1:11">
      <c r="A295" s="2">
        <v>10358</v>
      </c>
      <c r="B295" s="2">
        <v>34</v>
      </c>
      <c r="C295" s="2">
        <v>11.2</v>
      </c>
      <c r="D295" s="2">
        <v>10</v>
      </c>
      <c r="E295" s="4">
        <v>5.000000074505806E-2</v>
      </c>
      <c r="F295" s="1" t="str">
        <f>_xlfn.XLOOKUP(A295,Orders!A:A,Orders!B:B,"not found")</f>
        <v>LAMAI</v>
      </c>
      <c r="G295" s="13">
        <f>_xlfn.XLOOKUP(OrderDetails[[#This Row],[OrderID]],Orders!A:A,Orders!C:C,"Not Found")</f>
        <v>35389</v>
      </c>
      <c r="H295" s="16">
        <f>(OrderDetails[[#This Row],[UnitPrice]]*OrderDetails[[#This Row],[Quantity]])*(1-OrderDetails[[#This Row],[Discount]])</f>
        <v>106.3999999165535</v>
      </c>
      <c r="I295" s="15" t="str">
        <f>_xlfn.XLOOKUP(OrderDetails[[#This Row],[ProductID]],Product!A:A,Product!G:G,"Not Found")</f>
        <v>Beverages</v>
      </c>
      <c r="J295" s="15" t="str">
        <f>LOOKUP(MONTH(G295),{1,4,7,10},{"Winter","Spring","Summer","Autumn"})</f>
        <v>Autumn</v>
      </c>
      <c r="K295" s="15" t="str">
        <f>_xlfn.XLOOKUP(OrderDetails[[#This Row],[ProductID]],Product!A:A,Product!B:B,"Not Found")</f>
        <v>Sasquatch Ale</v>
      </c>
    </row>
    <row r="296" spans="1:11">
      <c r="A296" s="1">
        <v>10358</v>
      </c>
      <c r="B296" s="1">
        <v>36</v>
      </c>
      <c r="C296" s="1">
        <v>15.2</v>
      </c>
      <c r="D296" s="1">
        <v>20</v>
      </c>
      <c r="E296" s="3">
        <v>5.000000074505806E-2</v>
      </c>
      <c r="F296" s="1" t="str">
        <f>_xlfn.XLOOKUP(A296,Orders!A:A,Orders!B:B,"not found")</f>
        <v>LAMAI</v>
      </c>
      <c r="G296" s="13">
        <f>_xlfn.XLOOKUP(OrderDetails[[#This Row],[OrderID]],Orders!A:A,Orders!C:C,"Not Found")</f>
        <v>35389</v>
      </c>
      <c r="H296" s="16">
        <f>(OrderDetails[[#This Row],[UnitPrice]]*OrderDetails[[#This Row],[Quantity]])*(1-OrderDetails[[#This Row],[Discount]])</f>
        <v>288.79999977350235</v>
      </c>
      <c r="I296" s="15" t="str">
        <f>_xlfn.XLOOKUP(OrderDetails[[#This Row],[ProductID]],Product!A:A,Product!G:G,"Not Found")</f>
        <v>Seafood</v>
      </c>
      <c r="J296" s="15" t="str">
        <f>LOOKUP(MONTH(G296),{1,4,7,10},{"Winter","Spring","Summer","Autumn"})</f>
        <v>Autumn</v>
      </c>
      <c r="K296" s="15" t="str">
        <f>_xlfn.XLOOKUP(OrderDetails[[#This Row],[ProductID]],Product!A:A,Product!B:B,"Not Found")</f>
        <v>Inlagd Sill</v>
      </c>
    </row>
    <row r="297" spans="1:11">
      <c r="A297" s="2">
        <v>10359</v>
      </c>
      <c r="B297" s="2">
        <v>16</v>
      </c>
      <c r="C297" s="2">
        <v>13.9</v>
      </c>
      <c r="D297" s="2">
        <v>56</v>
      </c>
      <c r="E297" s="4">
        <v>5.000000074505806E-2</v>
      </c>
      <c r="F297" s="1" t="str">
        <f>_xlfn.XLOOKUP(A297,Orders!A:A,Orders!B:B,"not found")</f>
        <v>SEVES</v>
      </c>
      <c r="G297" s="13">
        <f>_xlfn.XLOOKUP(OrderDetails[[#This Row],[OrderID]],Orders!A:A,Orders!C:C,"Not Found")</f>
        <v>35390</v>
      </c>
      <c r="H297" s="16">
        <f>(OrderDetails[[#This Row],[UnitPrice]]*OrderDetails[[#This Row],[Quantity]])*(1-OrderDetails[[#This Row],[Discount]])</f>
        <v>739.47999942004674</v>
      </c>
      <c r="I297" s="15" t="str">
        <f>_xlfn.XLOOKUP(OrderDetails[[#This Row],[ProductID]],Product!A:A,Product!G:G,"Not Found")</f>
        <v>Confections</v>
      </c>
      <c r="J297" s="15" t="str">
        <f>LOOKUP(MONTH(G297),{1,4,7,10},{"Winter","Spring","Summer","Autumn"})</f>
        <v>Autumn</v>
      </c>
      <c r="K297" s="15" t="str">
        <f>_xlfn.XLOOKUP(OrderDetails[[#This Row],[ProductID]],Product!A:A,Product!B:B,"Not Found")</f>
        <v>Pavlova</v>
      </c>
    </row>
    <row r="298" spans="1:11">
      <c r="A298" s="1">
        <v>10359</v>
      </c>
      <c r="B298" s="1">
        <v>31</v>
      </c>
      <c r="C298" s="1">
        <v>10</v>
      </c>
      <c r="D298" s="1">
        <v>70</v>
      </c>
      <c r="E298" s="3">
        <v>5.000000074505806E-2</v>
      </c>
      <c r="F298" s="1" t="str">
        <f>_xlfn.XLOOKUP(A298,Orders!A:A,Orders!B:B,"not found")</f>
        <v>SEVES</v>
      </c>
      <c r="G298" s="13">
        <f>_xlfn.XLOOKUP(OrderDetails[[#This Row],[OrderID]],Orders!A:A,Orders!C:C,"Not Found")</f>
        <v>35390</v>
      </c>
      <c r="H298" s="16">
        <f>(OrderDetails[[#This Row],[UnitPrice]]*OrderDetails[[#This Row],[Quantity]])*(1-OrderDetails[[#This Row],[Discount]])</f>
        <v>664.99999947845936</v>
      </c>
      <c r="I298" s="15" t="str">
        <f>_xlfn.XLOOKUP(OrderDetails[[#This Row],[ProductID]],Product!A:A,Product!G:G,"Not Found")</f>
        <v>Dairy Products</v>
      </c>
      <c r="J298" s="15" t="str">
        <f>LOOKUP(MONTH(G298),{1,4,7,10},{"Winter","Spring","Summer","Autumn"})</f>
        <v>Autumn</v>
      </c>
      <c r="K298" s="15" t="str">
        <f>_xlfn.XLOOKUP(OrderDetails[[#This Row],[ProductID]],Product!A:A,Product!B:B,"Not Found")</f>
        <v>Gorgonzola Telino</v>
      </c>
    </row>
    <row r="299" spans="1:11">
      <c r="A299" s="2">
        <v>10359</v>
      </c>
      <c r="B299" s="2">
        <v>60</v>
      </c>
      <c r="C299" s="2">
        <v>27.2</v>
      </c>
      <c r="D299" s="2">
        <v>80</v>
      </c>
      <c r="E299" s="4">
        <v>5.000000074505806E-2</v>
      </c>
      <c r="F299" s="1" t="str">
        <f>_xlfn.XLOOKUP(A299,Orders!A:A,Orders!B:B,"not found")</f>
        <v>SEVES</v>
      </c>
      <c r="G299" s="13">
        <f>_xlfn.XLOOKUP(OrderDetails[[#This Row],[OrderID]],Orders!A:A,Orders!C:C,"Not Found")</f>
        <v>35390</v>
      </c>
      <c r="H299" s="16">
        <f>(OrderDetails[[#This Row],[UnitPrice]]*OrderDetails[[#This Row],[Quantity]])*(1-OrderDetails[[#This Row],[Discount]])</f>
        <v>2067.1999983787537</v>
      </c>
      <c r="I299" s="15" t="str">
        <f>_xlfn.XLOOKUP(OrderDetails[[#This Row],[ProductID]],Product!A:A,Product!G:G,"Not Found")</f>
        <v>Dairy Products</v>
      </c>
      <c r="J299" s="15" t="str">
        <f>LOOKUP(MONTH(G299),{1,4,7,10},{"Winter","Spring","Summer","Autumn"})</f>
        <v>Autumn</v>
      </c>
      <c r="K299" s="15" t="str">
        <f>_xlfn.XLOOKUP(OrderDetails[[#This Row],[ProductID]],Product!A:A,Product!B:B,"Not Found")</f>
        <v>Camembert Pierrot</v>
      </c>
    </row>
    <row r="300" spans="1:11">
      <c r="A300" s="1">
        <v>10360</v>
      </c>
      <c r="B300" s="1">
        <v>28</v>
      </c>
      <c r="C300" s="1">
        <v>36.4</v>
      </c>
      <c r="D300" s="1">
        <v>30</v>
      </c>
      <c r="E300" s="3">
        <v>0</v>
      </c>
      <c r="F300" s="1" t="str">
        <f>_xlfn.XLOOKUP(A300,Orders!A:A,Orders!B:B,"not found")</f>
        <v>BLONP</v>
      </c>
      <c r="G300" s="13">
        <f>_xlfn.XLOOKUP(OrderDetails[[#This Row],[OrderID]],Orders!A:A,Orders!C:C,"Not Found")</f>
        <v>35391</v>
      </c>
      <c r="H300" s="16">
        <f>(OrderDetails[[#This Row],[UnitPrice]]*OrderDetails[[#This Row],[Quantity]])*(1-OrderDetails[[#This Row],[Discount]])</f>
        <v>1092</v>
      </c>
      <c r="I300" s="15" t="str">
        <f>_xlfn.XLOOKUP(OrderDetails[[#This Row],[ProductID]],Product!A:A,Product!G:G,"Not Found")</f>
        <v>Produce</v>
      </c>
      <c r="J300" s="15" t="str">
        <f>LOOKUP(MONTH(G300),{1,4,7,10},{"Winter","Spring","Summer","Autumn"})</f>
        <v>Autumn</v>
      </c>
      <c r="K300" s="15" t="str">
        <f>_xlfn.XLOOKUP(OrderDetails[[#This Row],[ProductID]],Product!A:A,Product!B:B,"Not Found")</f>
        <v>Rössle Sauerkraut</v>
      </c>
    </row>
    <row r="301" spans="1:11">
      <c r="A301" s="2">
        <v>10360</v>
      </c>
      <c r="B301" s="2">
        <v>29</v>
      </c>
      <c r="C301" s="2">
        <v>99</v>
      </c>
      <c r="D301" s="2">
        <v>35</v>
      </c>
      <c r="E301" s="4">
        <v>0</v>
      </c>
      <c r="F301" s="1" t="str">
        <f>_xlfn.XLOOKUP(A301,Orders!A:A,Orders!B:B,"not found")</f>
        <v>BLONP</v>
      </c>
      <c r="G301" s="13">
        <f>_xlfn.XLOOKUP(OrderDetails[[#This Row],[OrderID]],Orders!A:A,Orders!C:C,"Not Found")</f>
        <v>35391</v>
      </c>
      <c r="H301" s="16">
        <f>(OrderDetails[[#This Row],[UnitPrice]]*OrderDetails[[#This Row],[Quantity]])*(1-OrderDetails[[#This Row],[Discount]])</f>
        <v>3465</v>
      </c>
      <c r="I301" s="15" t="str">
        <f>_xlfn.XLOOKUP(OrderDetails[[#This Row],[ProductID]],Product!A:A,Product!G:G,"Not Found")</f>
        <v>Meat/Poultry</v>
      </c>
      <c r="J301" s="15" t="str">
        <f>LOOKUP(MONTH(G301),{1,4,7,10},{"Winter","Spring","Summer","Autumn"})</f>
        <v>Autumn</v>
      </c>
      <c r="K301" s="15" t="str">
        <f>_xlfn.XLOOKUP(OrderDetails[[#This Row],[ProductID]],Product!A:A,Product!B:B,"Not Found")</f>
        <v>Thüringer Rostbratwurst</v>
      </c>
    </row>
    <row r="302" spans="1:11">
      <c r="A302" s="1">
        <v>10360</v>
      </c>
      <c r="B302" s="1">
        <v>38</v>
      </c>
      <c r="C302" s="1">
        <v>210.8</v>
      </c>
      <c r="D302" s="1">
        <v>10</v>
      </c>
      <c r="E302" s="3">
        <v>0</v>
      </c>
      <c r="F302" s="1" t="str">
        <f>_xlfn.XLOOKUP(A302,Orders!A:A,Orders!B:B,"not found")</f>
        <v>BLONP</v>
      </c>
      <c r="G302" s="13">
        <f>_xlfn.XLOOKUP(OrderDetails[[#This Row],[OrderID]],Orders!A:A,Orders!C:C,"Not Found")</f>
        <v>35391</v>
      </c>
      <c r="H302" s="16">
        <f>(OrderDetails[[#This Row],[UnitPrice]]*OrderDetails[[#This Row],[Quantity]])*(1-OrderDetails[[#This Row],[Discount]])</f>
        <v>2108</v>
      </c>
      <c r="I302" s="15" t="str">
        <f>_xlfn.XLOOKUP(OrderDetails[[#This Row],[ProductID]],Product!A:A,Product!G:G,"Not Found")</f>
        <v>Beverages</v>
      </c>
      <c r="J302" s="15" t="str">
        <f>LOOKUP(MONTH(G302),{1,4,7,10},{"Winter","Spring","Summer","Autumn"})</f>
        <v>Autumn</v>
      </c>
      <c r="K302" s="15" t="str">
        <f>_xlfn.XLOOKUP(OrderDetails[[#This Row],[ProductID]],Product!A:A,Product!B:B,"Not Found")</f>
        <v>Côte de Blaye</v>
      </c>
    </row>
    <row r="303" spans="1:11">
      <c r="A303" s="2">
        <v>10360</v>
      </c>
      <c r="B303" s="2">
        <v>49</v>
      </c>
      <c r="C303" s="2">
        <v>16</v>
      </c>
      <c r="D303" s="2">
        <v>35</v>
      </c>
      <c r="E303" s="4">
        <v>0</v>
      </c>
      <c r="F303" s="1" t="str">
        <f>_xlfn.XLOOKUP(A303,Orders!A:A,Orders!B:B,"not found")</f>
        <v>BLONP</v>
      </c>
      <c r="G303" s="13">
        <f>_xlfn.XLOOKUP(OrderDetails[[#This Row],[OrderID]],Orders!A:A,Orders!C:C,"Not Found")</f>
        <v>35391</v>
      </c>
      <c r="H303" s="16">
        <f>(OrderDetails[[#This Row],[UnitPrice]]*OrderDetails[[#This Row],[Quantity]])*(1-OrderDetails[[#This Row],[Discount]])</f>
        <v>560</v>
      </c>
      <c r="I303" s="15" t="str">
        <f>_xlfn.XLOOKUP(OrderDetails[[#This Row],[ProductID]],Product!A:A,Product!G:G,"Not Found")</f>
        <v>Confections</v>
      </c>
      <c r="J303" s="15" t="str">
        <f>LOOKUP(MONTH(G303),{1,4,7,10},{"Winter","Spring","Summer","Autumn"})</f>
        <v>Autumn</v>
      </c>
      <c r="K303" s="15" t="str">
        <f>_xlfn.XLOOKUP(OrderDetails[[#This Row],[ProductID]],Product!A:A,Product!B:B,"Not Found")</f>
        <v>Maxilaku</v>
      </c>
    </row>
    <row r="304" spans="1:11">
      <c r="A304" s="1">
        <v>10360</v>
      </c>
      <c r="B304" s="1">
        <v>54</v>
      </c>
      <c r="C304" s="1">
        <v>5.9</v>
      </c>
      <c r="D304" s="1">
        <v>28</v>
      </c>
      <c r="E304" s="3">
        <v>0</v>
      </c>
      <c r="F304" s="1" t="str">
        <f>_xlfn.XLOOKUP(A304,Orders!A:A,Orders!B:B,"not found")</f>
        <v>BLONP</v>
      </c>
      <c r="G304" s="13">
        <f>_xlfn.XLOOKUP(OrderDetails[[#This Row],[OrderID]],Orders!A:A,Orders!C:C,"Not Found")</f>
        <v>35391</v>
      </c>
      <c r="H304" s="16">
        <f>(OrderDetails[[#This Row],[UnitPrice]]*OrderDetails[[#This Row],[Quantity]])*(1-OrderDetails[[#This Row],[Discount]])</f>
        <v>165.20000000000002</v>
      </c>
      <c r="I304" s="15" t="str">
        <f>_xlfn.XLOOKUP(OrderDetails[[#This Row],[ProductID]],Product!A:A,Product!G:G,"Not Found")</f>
        <v>Meat/Poultry</v>
      </c>
      <c r="J304" s="15" t="str">
        <f>LOOKUP(MONTH(G304),{1,4,7,10},{"Winter","Spring","Summer","Autumn"})</f>
        <v>Autumn</v>
      </c>
      <c r="K304" s="15" t="str">
        <f>_xlfn.XLOOKUP(OrderDetails[[#This Row],[ProductID]],Product!A:A,Product!B:B,"Not Found")</f>
        <v>Tourtière</v>
      </c>
    </row>
    <row r="305" spans="1:11">
      <c r="A305" s="2">
        <v>10361</v>
      </c>
      <c r="B305" s="2">
        <v>39</v>
      </c>
      <c r="C305" s="2">
        <v>14.4</v>
      </c>
      <c r="D305" s="2">
        <v>54</v>
      </c>
      <c r="E305" s="4">
        <v>0.10000000149011612</v>
      </c>
      <c r="F305" s="1" t="str">
        <f>_xlfn.XLOOKUP(A305,Orders!A:A,Orders!B:B,"not found")</f>
        <v>QUICK</v>
      </c>
      <c r="G305" s="13">
        <f>_xlfn.XLOOKUP(OrderDetails[[#This Row],[OrderID]],Orders!A:A,Orders!C:C,"Not Found")</f>
        <v>35391</v>
      </c>
      <c r="H305" s="16">
        <f>(OrderDetails[[#This Row],[UnitPrice]]*OrderDetails[[#This Row],[Quantity]])*(1-OrderDetails[[#This Row],[Discount]])</f>
        <v>699.83999884128571</v>
      </c>
      <c r="I305" s="15" t="str">
        <f>_xlfn.XLOOKUP(OrderDetails[[#This Row],[ProductID]],Product!A:A,Product!G:G,"Not Found")</f>
        <v>Beverages</v>
      </c>
      <c r="J305" s="15" t="str">
        <f>LOOKUP(MONTH(G305),{1,4,7,10},{"Winter","Spring","Summer","Autumn"})</f>
        <v>Autumn</v>
      </c>
      <c r="K305" s="15" t="str">
        <f>_xlfn.XLOOKUP(OrderDetails[[#This Row],[ProductID]],Product!A:A,Product!B:B,"Not Found")</f>
        <v>Chartreuse verte</v>
      </c>
    </row>
    <row r="306" spans="1:11">
      <c r="A306" s="1">
        <v>10361</v>
      </c>
      <c r="B306" s="1">
        <v>60</v>
      </c>
      <c r="C306" s="1">
        <v>27.2</v>
      </c>
      <c r="D306" s="1">
        <v>55</v>
      </c>
      <c r="E306" s="3">
        <v>0.10000000149011612</v>
      </c>
      <c r="F306" s="1" t="str">
        <f>_xlfn.XLOOKUP(A306,Orders!A:A,Orders!B:B,"not found")</f>
        <v>QUICK</v>
      </c>
      <c r="G306" s="13">
        <f>_xlfn.XLOOKUP(OrderDetails[[#This Row],[OrderID]],Orders!A:A,Orders!C:C,"Not Found")</f>
        <v>35391</v>
      </c>
      <c r="H306" s="16">
        <f>(OrderDetails[[#This Row],[UnitPrice]]*OrderDetails[[#This Row],[Quantity]])*(1-OrderDetails[[#This Row],[Discount]])</f>
        <v>1346.3999977707863</v>
      </c>
      <c r="I306" s="15" t="str">
        <f>_xlfn.XLOOKUP(OrderDetails[[#This Row],[ProductID]],Product!A:A,Product!G:G,"Not Found")</f>
        <v>Dairy Products</v>
      </c>
      <c r="J306" s="15" t="str">
        <f>LOOKUP(MONTH(G306),{1,4,7,10},{"Winter","Spring","Summer","Autumn"})</f>
        <v>Autumn</v>
      </c>
      <c r="K306" s="15" t="str">
        <f>_xlfn.XLOOKUP(OrderDetails[[#This Row],[ProductID]],Product!A:A,Product!B:B,"Not Found")</f>
        <v>Camembert Pierrot</v>
      </c>
    </row>
    <row r="307" spans="1:11">
      <c r="A307" s="2">
        <v>10362</v>
      </c>
      <c r="B307" s="2">
        <v>25</v>
      </c>
      <c r="C307" s="2">
        <v>11.2</v>
      </c>
      <c r="D307" s="2">
        <v>50</v>
      </c>
      <c r="E307" s="4">
        <v>0</v>
      </c>
      <c r="F307" s="1" t="str">
        <f>_xlfn.XLOOKUP(A307,Orders!A:A,Orders!B:B,"not found")</f>
        <v>BONAP</v>
      </c>
      <c r="G307" s="13">
        <f>_xlfn.XLOOKUP(OrderDetails[[#This Row],[OrderID]],Orders!A:A,Orders!C:C,"Not Found")</f>
        <v>35394</v>
      </c>
      <c r="H307" s="16">
        <f>(OrderDetails[[#This Row],[UnitPrice]]*OrderDetails[[#This Row],[Quantity]])*(1-OrderDetails[[#This Row],[Discount]])</f>
        <v>560</v>
      </c>
      <c r="I307" s="15" t="str">
        <f>_xlfn.XLOOKUP(OrderDetails[[#This Row],[ProductID]],Product!A:A,Product!G:G,"Not Found")</f>
        <v>Confections</v>
      </c>
      <c r="J307" s="15" t="str">
        <f>LOOKUP(MONTH(G307),{1,4,7,10},{"Winter","Spring","Summer","Autumn"})</f>
        <v>Autumn</v>
      </c>
      <c r="K307" s="15" t="str">
        <f>_xlfn.XLOOKUP(OrderDetails[[#This Row],[ProductID]],Product!A:A,Product!B:B,"Not Found")</f>
        <v>NuNuCa Nuß-Nougat-Creme</v>
      </c>
    </row>
    <row r="308" spans="1:11">
      <c r="A308" s="1">
        <v>10362</v>
      </c>
      <c r="B308" s="1">
        <v>51</v>
      </c>
      <c r="C308" s="1">
        <v>42.4</v>
      </c>
      <c r="D308" s="1">
        <v>20</v>
      </c>
      <c r="E308" s="3">
        <v>0</v>
      </c>
      <c r="F308" s="1" t="str">
        <f>_xlfn.XLOOKUP(A308,Orders!A:A,Orders!B:B,"not found")</f>
        <v>BONAP</v>
      </c>
      <c r="G308" s="13">
        <f>_xlfn.XLOOKUP(OrderDetails[[#This Row],[OrderID]],Orders!A:A,Orders!C:C,"Not Found")</f>
        <v>35394</v>
      </c>
      <c r="H308" s="16">
        <f>(OrderDetails[[#This Row],[UnitPrice]]*OrderDetails[[#This Row],[Quantity]])*(1-OrderDetails[[#This Row],[Discount]])</f>
        <v>848</v>
      </c>
      <c r="I308" s="15" t="str">
        <f>_xlfn.XLOOKUP(OrderDetails[[#This Row],[ProductID]],Product!A:A,Product!G:G,"Not Found")</f>
        <v>Produce</v>
      </c>
      <c r="J308" s="15" t="str">
        <f>LOOKUP(MONTH(G308),{1,4,7,10},{"Winter","Spring","Summer","Autumn"})</f>
        <v>Autumn</v>
      </c>
      <c r="K308" s="15" t="str">
        <f>_xlfn.XLOOKUP(OrderDetails[[#This Row],[ProductID]],Product!A:A,Product!B:B,"Not Found")</f>
        <v>Manjimup Dried Apples</v>
      </c>
    </row>
    <row r="309" spans="1:11">
      <c r="A309" s="2">
        <v>10362</v>
      </c>
      <c r="B309" s="2">
        <v>54</v>
      </c>
      <c r="C309" s="2">
        <v>5.9</v>
      </c>
      <c r="D309" s="2">
        <v>24</v>
      </c>
      <c r="E309" s="4">
        <v>0</v>
      </c>
      <c r="F309" s="1" t="str">
        <f>_xlfn.XLOOKUP(A309,Orders!A:A,Orders!B:B,"not found")</f>
        <v>BONAP</v>
      </c>
      <c r="G309" s="13">
        <f>_xlfn.XLOOKUP(OrderDetails[[#This Row],[OrderID]],Orders!A:A,Orders!C:C,"Not Found")</f>
        <v>35394</v>
      </c>
      <c r="H309" s="16">
        <f>(OrderDetails[[#This Row],[UnitPrice]]*OrderDetails[[#This Row],[Quantity]])*(1-OrderDetails[[#This Row],[Discount]])</f>
        <v>141.60000000000002</v>
      </c>
      <c r="I309" s="15" t="str">
        <f>_xlfn.XLOOKUP(OrderDetails[[#This Row],[ProductID]],Product!A:A,Product!G:G,"Not Found")</f>
        <v>Meat/Poultry</v>
      </c>
      <c r="J309" s="15" t="str">
        <f>LOOKUP(MONTH(G309),{1,4,7,10},{"Winter","Spring","Summer","Autumn"})</f>
        <v>Autumn</v>
      </c>
      <c r="K309" s="15" t="str">
        <f>_xlfn.XLOOKUP(OrderDetails[[#This Row],[ProductID]],Product!A:A,Product!B:B,"Not Found")</f>
        <v>Tourtière</v>
      </c>
    </row>
    <row r="310" spans="1:11">
      <c r="A310" s="1">
        <v>10363</v>
      </c>
      <c r="B310" s="1">
        <v>31</v>
      </c>
      <c r="C310" s="1">
        <v>10</v>
      </c>
      <c r="D310" s="1">
        <v>20</v>
      </c>
      <c r="E310" s="3">
        <v>0</v>
      </c>
      <c r="F310" s="1" t="str">
        <f>_xlfn.XLOOKUP(A310,Orders!A:A,Orders!B:B,"not found")</f>
        <v>DRACD</v>
      </c>
      <c r="G310" s="13">
        <f>_xlfn.XLOOKUP(OrderDetails[[#This Row],[OrderID]],Orders!A:A,Orders!C:C,"Not Found")</f>
        <v>35395</v>
      </c>
      <c r="H310" s="16">
        <f>(OrderDetails[[#This Row],[UnitPrice]]*OrderDetails[[#This Row],[Quantity]])*(1-OrderDetails[[#This Row],[Discount]])</f>
        <v>200</v>
      </c>
      <c r="I310" s="15" t="str">
        <f>_xlfn.XLOOKUP(OrderDetails[[#This Row],[ProductID]],Product!A:A,Product!G:G,"Not Found")</f>
        <v>Dairy Products</v>
      </c>
      <c r="J310" s="15" t="str">
        <f>LOOKUP(MONTH(G310),{1,4,7,10},{"Winter","Spring","Summer","Autumn"})</f>
        <v>Autumn</v>
      </c>
      <c r="K310" s="15" t="str">
        <f>_xlfn.XLOOKUP(OrderDetails[[#This Row],[ProductID]],Product!A:A,Product!B:B,"Not Found")</f>
        <v>Gorgonzola Telino</v>
      </c>
    </row>
    <row r="311" spans="1:11">
      <c r="A311" s="2">
        <v>10363</v>
      </c>
      <c r="B311" s="2">
        <v>75</v>
      </c>
      <c r="C311" s="2">
        <v>6.2</v>
      </c>
      <c r="D311" s="2">
        <v>12</v>
      </c>
      <c r="E311" s="4">
        <v>0</v>
      </c>
      <c r="F311" s="1" t="str">
        <f>_xlfn.XLOOKUP(A311,Orders!A:A,Orders!B:B,"not found")</f>
        <v>DRACD</v>
      </c>
      <c r="G311" s="13">
        <f>_xlfn.XLOOKUP(OrderDetails[[#This Row],[OrderID]],Orders!A:A,Orders!C:C,"Not Found")</f>
        <v>35395</v>
      </c>
      <c r="H311" s="16">
        <f>(OrderDetails[[#This Row],[UnitPrice]]*OrderDetails[[#This Row],[Quantity]])*(1-OrderDetails[[#This Row],[Discount]])</f>
        <v>74.400000000000006</v>
      </c>
      <c r="I311" s="15" t="str">
        <f>_xlfn.XLOOKUP(OrderDetails[[#This Row],[ProductID]],Product!A:A,Product!G:G,"Not Found")</f>
        <v>Beverages</v>
      </c>
      <c r="J311" s="15" t="str">
        <f>LOOKUP(MONTH(G311),{1,4,7,10},{"Winter","Spring","Summer","Autumn"})</f>
        <v>Autumn</v>
      </c>
      <c r="K311" s="15" t="str">
        <f>_xlfn.XLOOKUP(OrderDetails[[#This Row],[ProductID]],Product!A:A,Product!B:B,"Not Found")</f>
        <v>Rhönbräu Klosterbier</v>
      </c>
    </row>
    <row r="312" spans="1:11">
      <c r="A312" s="1">
        <v>10363</v>
      </c>
      <c r="B312" s="1">
        <v>76</v>
      </c>
      <c r="C312" s="1">
        <v>14.4</v>
      </c>
      <c r="D312" s="1">
        <v>12</v>
      </c>
      <c r="E312" s="3">
        <v>0</v>
      </c>
      <c r="F312" s="1" t="str">
        <f>_xlfn.XLOOKUP(A312,Orders!A:A,Orders!B:B,"not found")</f>
        <v>DRACD</v>
      </c>
      <c r="G312" s="13">
        <f>_xlfn.XLOOKUP(OrderDetails[[#This Row],[OrderID]],Orders!A:A,Orders!C:C,"Not Found")</f>
        <v>35395</v>
      </c>
      <c r="H312" s="16">
        <f>(OrderDetails[[#This Row],[UnitPrice]]*OrderDetails[[#This Row],[Quantity]])*(1-OrderDetails[[#This Row],[Discount]])</f>
        <v>172.8</v>
      </c>
      <c r="I312" s="15" t="str">
        <f>_xlfn.XLOOKUP(OrderDetails[[#This Row],[ProductID]],Product!A:A,Product!G:G,"Not Found")</f>
        <v>Beverages</v>
      </c>
      <c r="J312" s="15" t="str">
        <f>LOOKUP(MONTH(G312),{1,4,7,10},{"Winter","Spring","Summer","Autumn"})</f>
        <v>Autumn</v>
      </c>
      <c r="K312" s="15" t="str">
        <f>_xlfn.XLOOKUP(OrderDetails[[#This Row],[ProductID]],Product!A:A,Product!B:B,"Not Found")</f>
        <v>Lakkalikööri</v>
      </c>
    </row>
    <row r="313" spans="1:11">
      <c r="A313" s="2">
        <v>10364</v>
      </c>
      <c r="B313" s="2">
        <v>69</v>
      </c>
      <c r="C313" s="2">
        <v>28.8</v>
      </c>
      <c r="D313" s="2">
        <v>30</v>
      </c>
      <c r="E313" s="4">
        <v>0</v>
      </c>
      <c r="F313" s="1" t="str">
        <f>_xlfn.XLOOKUP(A313,Orders!A:A,Orders!B:B,"not found")</f>
        <v>EASTC</v>
      </c>
      <c r="G313" s="13">
        <f>_xlfn.XLOOKUP(OrderDetails[[#This Row],[OrderID]],Orders!A:A,Orders!C:C,"Not Found")</f>
        <v>35395</v>
      </c>
      <c r="H313" s="16">
        <f>(OrderDetails[[#This Row],[UnitPrice]]*OrderDetails[[#This Row],[Quantity]])*(1-OrderDetails[[#This Row],[Discount]])</f>
        <v>864</v>
      </c>
      <c r="I313" s="15" t="str">
        <f>_xlfn.XLOOKUP(OrderDetails[[#This Row],[ProductID]],Product!A:A,Product!G:G,"Not Found")</f>
        <v>Dairy Products</v>
      </c>
      <c r="J313" s="15" t="str">
        <f>LOOKUP(MONTH(G313),{1,4,7,10},{"Winter","Spring","Summer","Autumn"})</f>
        <v>Autumn</v>
      </c>
      <c r="K313" s="15" t="str">
        <f>_xlfn.XLOOKUP(OrderDetails[[#This Row],[ProductID]],Product!A:A,Product!B:B,"Not Found")</f>
        <v>Gudbrandsdalsost</v>
      </c>
    </row>
    <row r="314" spans="1:11">
      <c r="A314" s="1">
        <v>10364</v>
      </c>
      <c r="B314" s="1">
        <v>71</v>
      </c>
      <c r="C314" s="1">
        <v>17.2</v>
      </c>
      <c r="D314" s="1">
        <v>5</v>
      </c>
      <c r="E314" s="3">
        <v>0</v>
      </c>
      <c r="F314" s="1" t="str">
        <f>_xlfn.XLOOKUP(A314,Orders!A:A,Orders!B:B,"not found")</f>
        <v>EASTC</v>
      </c>
      <c r="G314" s="13">
        <f>_xlfn.XLOOKUP(OrderDetails[[#This Row],[OrderID]],Orders!A:A,Orders!C:C,"Not Found")</f>
        <v>35395</v>
      </c>
      <c r="H314" s="16">
        <f>(OrderDetails[[#This Row],[UnitPrice]]*OrderDetails[[#This Row],[Quantity]])*(1-OrderDetails[[#This Row],[Discount]])</f>
        <v>86</v>
      </c>
      <c r="I314" s="15" t="str">
        <f>_xlfn.XLOOKUP(OrderDetails[[#This Row],[ProductID]],Product!A:A,Product!G:G,"Not Found")</f>
        <v>Dairy Products</v>
      </c>
      <c r="J314" s="15" t="str">
        <f>LOOKUP(MONTH(G314),{1,4,7,10},{"Winter","Spring","Summer","Autumn"})</f>
        <v>Autumn</v>
      </c>
      <c r="K314" s="15" t="str">
        <f>_xlfn.XLOOKUP(OrderDetails[[#This Row],[ProductID]],Product!A:A,Product!B:B,"Not Found")</f>
        <v>Flotemysost</v>
      </c>
    </row>
    <row r="315" spans="1:11">
      <c r="A315" s="2">
        <v>10365</v>
      </c>
      <c r="B315" s="2">
        <v>11</v>
      </c>
      <c r="C315" s="2">
        <v>16.8</v>
      </c>
      <c r="D315" s="2">
        <v>24</v>
      </c>
      <c r="E315" s="4">
        <v>0</v>
      </c>
      <c r="F315" s="1" t="str">
        <f>_xlfn.XLOOKUP(A315,Orders!A:A,Orders!B:B,"not found")</f>
        <v>ANTON</v>
      </c>
      <c r="G315" s="13">
        <f>_xlfn.XLOOKUP(OrderDetails[[#This Row],[OrderID]],Orders!A:A,Orders!C:C,"Not Found")</f>
        <v>35396</v>
      </c>
      <c r="H315" s="16">
        <f>(OrderDetails[[#This Row],[UnitPrice]]*OrderDetails[[#This Row],[Quantity]])*(1-OrderDetails[[#This Row],[Discount]])</f>
        <v>403.20000000000005</v>
      </c>
      <c r="I315" s="15" t="str">
        <f>_xlfn.XLOOKUP(OrderDetails[[#This Row],[ProductID]],Product!A:A,Product!G:G,"Not Found")</f>
        <v>Dairy Products</v>
      </c>
      <c r="J315" s="15" t="str">
        <f>LOOKUP(MONTH(G315),{1,4,7,10},{"Winter","Spring","Summer","Autumn"})</f>
        <v>Autumn</v>
      </c>
      <c r="K315" s="15" t="str">
        <f>_xlfn.XLOOKUP(OrderDetails[[#This Row],[ProductID]],Product!A:A,Product!B:B,"Not Found")</f>
        <v>Queso Cabrales</v>
      </c>
    </row>
    <row r="316" spans="1:11">
      <c r="A316" s="1">
        <v>10366</v>
      </c>
      <c r="B316" s="1">
        <v>65</v>
      </c>
      <c r="C316" s="1">
        <v>16.8</v>
      </c>
      <c r="D316" s="1">
        <v>5</v>
      </c>
      <c r="E316" s="3">
        <v>0</v>
      </c>
      <c r="F316" s="1" t="str">
        <f>_xlfn.XLOOKUP(A316,Orders!A:A,Orders!B:B,"not found")</f>
        <v>GALED</v>
      </c>
      <c r="G316" s="13">
        <f>_xlfn.XLOOKUP(OrderDetails[[#This Row],[OrderID]],Orders!A:A,Orders!C:C,"Not Found")</f>
        <v>35397</v>
      </c>
      <c r="H316" s="16">
        <f>(OrderDetails[[#This Row],[UnitPrice]]*OrderDetails[[#This Row],[Quantity]])*(1-OrderDetails[[#This Row],[Discount]])</f>
        <v>84</v>
      </c>
      <c r="I316" s="15" t="str">
        <f>_xlfn.XLOOKUP(OrderDetails[[#This Row],[ProductID]],Product!A:A,Product!G:G,"Not Found")</f>
        <v>Condiments</v>
      </c>
      <c r="J316" s="15" t="str">
        <f>LOOKUP(MONTH(G316),{1,4,7,10},{"Winter","Spring","Summer","Autumn"})</f>
        <v>Autumn</v>
      </c>
      <c r="K316" s="15" t="str">
        <f>_xlfn.XLOOKUP(OrderDetails[[#This Row],[ProductID]],Product!A:A,Product!B:B,"Not Found")</f>
        <v>Louisiana Fiery Hot Pepper Sauce</v>
      </c>
    </row>
    <row r="317" spans="1:11">
      <c r="A317" s="2">
        <v>10366</v>
      </c>
      <c r="B317" s="2">
        <v>77</v>
      </c>
      <c r="C317" s="2">
        <v>10.4</v>
      </c>
      <c r="D317" s="2">
        <v>5</v>
      </c>
      <c r="E317" s="4">
        <v>0</v>
      </c>
      <c r="F317" s="1" t="str">
        <f>_xlfn.XLOOKUP(A317,Orders!A:A,Orders!B:B,"not found")</f>
        <v>GALED</v>
      </c>
      <c r="G317" s="13">
        <f>_xlfn.XLOOKUP(OrderDetails[[#This Row],[OrderID]],Orders!A:A,Orders!C:C,"Not Found")</f>
        <v>35397</v>
      </c>
      <c r="H317" s="16">
        <f>(OrderDetails[[#This Row],[UnitPrice]]*OrderDetails[[#This Row],[Quantity]])*(1-OrderDetails[[#This Row],[Discount]])</f>
        <v>52</v>
      </c>
      <c r="I317" s="15" t="str">
        <f>_xlfn.XLOOKUP(OrderDetails[[#This Row],[ProductID]],Product!A:A,Product!G:G,"Not Found")</f>
        <v>Condiments</v>
      </c>
      <c r="J317" s="15" t="str">
        <f>LOOKUP(MONTH(G317),{1,4,7,10},{"Winter","Spring","Summer","Autumn"})</f>
        <v>Autumn</v>
      </c>
      <c r="K317" s="15" t="str">
        <f>_xlfn.XLOOKUP(OrderDetails[[#This Row],[ProductID]],Product!A:A,Product!B:B,"Not Found")</f>
        <v>Original Frankfurter grüne Soße</v>
      </c>
    </row>
    <row r="318" spans="1:11">
      <c r="A318" s="1">
        <v>10367</v>
      </c>
      <c r="B318" s="1">
        <v>34</v>
      </c>
      <c r="C318" s="1">
        <v>11.2</v>
      </c>
      <c r="D318" s="1">
        <v>36</v>
      </c>
      <c r="E318" s="3">
        <v>0</v>
      </c>
      <c r="F318" s="1" t="str">
        <f>_xlfn.XLOOKUP(A318,Orders!A:A,Orders!B:B,"not found")</f>
        <v>VAFFE</v>
      </c>
      <c r="G318" s="13">
        <f>_xlfn.XLOOKUP(OrderDetails[[#This Row],[OrderID]],Orders!A:A,Orders!C:C,"Not Found")</f>
        <v>35397</v>
      </c>
      <c r="H318" s="16">
        <f>(OrderDetails[[#This Row],[UnitPrice]]*OrderDetails[[#This Row],[Quantity]])*(1-OrderDetails[[#This Row],[Discount]])</f>
        <v>403.2</v>
      </c>
      <c r="I318" s="15" t="str">
        <f>_xlfn.XLOOKUP(OrderDetails[[#This Row],[ProductID]],Product!A:A,Product!G:G,"Not Found")</f>
        <v>Beverages</v>
      </c>
      <c r="J318" s="15" t="str">
        <f>LOOKUP(MONTH(G318),{1,4,7,10},{"Winter","Spring","Summer","Autumn"})</f>
        <v>Autumn</v>
      </c>
      <c r="K318" s="15" t="str">
        <f>_xlfn.XLOOKUP(OrderDetails[[#This Row],[ProductID]],Product!A:A,Product!B:B,"Not Found")</f>
        <v>Sasquatch Ale</v>
      </c>
    </row>
    <row r="319" spans="1:11">
      <c r="A319" s="2">
        <v>10367</v>
      </c>
      <c r="B319" s="2">
        <v>54</v>
      </c>
      <c r="C319" s="2">
        <v>5.9</v>
      </c>
      <c r="D319" s="2">
        <v>18</v>
      </c>
      <c r="E319" s="4">
        <v>0</v>
      </c>
      <c r="F319" s="1" t="str">
        <f>_xlfn.XLOOKUP(A319,Orders!A:A,Orders!B:B,"not found")</f>
        <v>VAFFE</v>
      </c>
      <c r="G319" s="13">
        <f>_xlfn.XLOOKUP(OrderDetails[[#This Row],[OrderID]],Orders!A:A,Orders!C:C,"Not Found")</f>
        <v>35397</v>
      </c>
      <c r="H319" s="16">
        <f>(OrderDetails[[#This Row],[UnitPrice]]*OrderDetails[[#This Row],[Quantity]])*(1-OrderDetails[[#This Row],[Discount]])</f>
        <v>106.2</v>
      </c>
      <c r="I319" s="15" t="str">
        <f>_xlfn.XLOOKUP(OrderDetails[[#This Row],[ProductID]],Product!A:A,Product!G:G,"Not Found")</f>
        <v>Meat/Poultry</v>
      </c>
      <c r="J319" s="15" t="str">
        <f>LOOKUP(MONTH(G319),{1,4,7,10},{"Winter","Spring","Summer","Autumn"})</f>
        <v>Autumn</v>
      </c>
      <c r="K319" s="15" t="str">
        <f>_xlfn.XLOOKUP(OrderDetails[[#This Row],[ProductID]],Product!A:A,Product!B:B,"Not Found")</f>
        <v>Tourtière</v>
      </c>
    </row>
    <row r="320" spans="1:11">
      <c r="A320" s="1">
        <v>10367</v>
      </c>
      <c r="B320" s="1">
        <v>65</v>
      </c>
      <c r="C320" s="1">
        <v>16.8</v>
      </c>
      <c r="D320" s="1">
        <v>15</v>
      </c>
      <c r="E320" s="3">
        <v>0</v>
      </c>
      <c r="F320" s="1" t="str">
        <f>_xlfn.XLOOKUP(A320,Orders!A:A,Orders!B:B,"not found")</f>
        <v>VAFFE</v>
      </c>
      <c r="G320" s="13">
        <f>_xlfn.XLOOKUP(OrderDetails[[#This Row],[OrderID]],Orders!A:A,Orders!C:C,"Not Found")</f>
        <v>35397</v>
      </c>
      <c r="H320" s="16">
        <f>(OrderDetails[[#This Row],[UnitPrice]]*OrderDetails[[#This Row],[Quantity]])*(1-OrderDetails[[#This Row],[Discount]])</f>
        <v>252</v>
      </c>
      <c r="I320" s="15" t="str">
        <f>_xlfn.XLOOKUP(OrderDetails[[#This Row],[ProductID]],Product!A:A,Product!G:G,"Not Found")</f>
        <v>Condiments</v>
      </c>
      <c r="J320" s="15" t="str">
        <f>LOOKUP(MONTH(G320),{1,4,7,10},{"Winter","Spring","Summer","Autumn"})</f>
        <v>Autumn</v>
      </c>
      <c r="K320" s="15" t="str">
        <f>_xlfn.XLOOKUP(OrderDetails[[#This Row],[ProductID]],Product!A:A,Product!B:B,"Not Found")</f>
        <v>Louisiana Fiery Hot Pepper Sauce</v>
      </c>
    </row>
    <row r="321" spans="1:11">
      <c r="A321" s="2">
        <v>10367</v>
      </c>
      <c r="B321" s="2">
        <v>77</v>
      </c>
      <c r="C321" s="2">
        <v>10.4</v>
      </c>
      <c r="D321" s="2">
        <v>7</v>
      </c>
      <c r="E321" s="4">
        <v>0</v>
      </c>
      <c r="F321" s="1" t="str">
        <f>_xlfn.XLOOKUP(A321,Orders!A:A,Orders!B:B,"not found")</f>
        <v>VAFFE</v>
      </c>
      <c r="G321" s="13">
        <f>_xlfn.XLOOKUP(OrderDetails[[#This Row],[OrderID]],Orders!A:A,Orders!C:C,"Not Found")</f>
        <v>35397</v>
      </c>
      <c r="H321" s="16">
        <f>(OrderDetails[[#This Row],[UnitPrice]]*OrderDetails[[#This Row],[Quantity]])*(1-OrderDetails[[#This Row],[Discount]])</f>
        <v>72.8</v>
      </c>
      <c r="I321" s="15" t="str">
        <f>_xlfn.XLOOKUP(OrderDetails[[#This Row],[ProductID]],Product!A:A,Product!G:G,"Not Found")</f>
        <v>Condiments</v>
      </c>
      <c r="J321" s="15" t="str">
        <f>LOOKUP(MONTH(G321),{1,4,7,10},{"Winter","Spring","Summer","Autumn"})</f>
        <v>Autumn</v>
      </c>
      <c r="K321" s="15" t="str">
        <f>_xlfn.XLOOKUP(OrderDetails[[#This Row],[ProductID]],Product!A:A,Product!B:B,"Not Found")</f>
        <v>Original Frankfurter grüne Soße</v>
      </c>
    </row>
    <row r="322" spans="1:11">
      <c r="A322" s="1">
        <v>10368</v>
      </c>
      <c r="B322" s="1">
        <v>21</v>
      </c>
      <c r="C322" s="1">
        <v>8</v>
      </c>
      <c r="D322" s="1">
        <v>5</v>
      </c>
      <c r="E322" s="3">
        <v>0.10000000149011612</v>
      </c>
      <c r="F322" s="1" t="str">
        <f>_xlfn.XLOOKUP(A322,Orders!A:A,Orders!B:B,"not found")</f>
        <v>ERNSH</v>
      </c>
      <c r="G322" s="13">
        <f>_xlfn.XLOOKUP(OrderDetails[[#This Row],[OrderID]],Orders!A:A,Orders!C:C,"Not Found")</f>
        <v>35398</v>
      </c>
      <c r="H322" s="16">
        <f>(OrderDetails[[#This Row],[UnitPrice]]*OrderDetails[[#This Row],[Quantity]])*(1-OrderDetails[[#This Row],[Discount]])</f>
        <v>35.999999940395355</v>
      </c>
      <c r="I322" s="15" t="str">
        <f>_xlfn.XLOOKUP(OrderDetails[[#This Row],[ProductID]],Product!A:A,Product!G:G,"Not Found")</f>
        <v>Confections</v>
      </c>
      <c r="J322" s="15" t="str">
        <f>LOOKUP(MONTH(G322),{1,4,7,10},{"Winter","Spring","Summer","Autumn"})</f>
        <v>Autumn</v>
      </c>
      <c r="K322" s="15" t="str">
        <f>_xlfn.XLOOKUP(OrderDetails[[#This Row],[ProductID]],Product!A:A,Product!B:B,"Not Found")</f>
        <v>Sir Rodney's Scones</v>
      </c>
    </row>
    <row r="323" spans="1:11">
      <c r="A323" s="2">
        <v>10368</v>
      </c>
      <c r="B323" s="2">
        <v>28</v>
      </c>
      <c r="C323" s="2">
        <v>36.4</v>
      </c>
      <c r="D323" s="2">
        <v>13</v>
      </c>
      <c r="E323" s="4">
        <v>0.10000000149011612</v>
      </c>
      <c r="F323" s="1" t="str">
        <f>_xlfn.XLOOKUP(A323,Orders!A:A,Orders!B:B,"not found")</f>
        <v>ERNSH</v>
      </c>
      <c r="G323" s="13">
        <f>_xlfn.XLOOKUP(OrderDetails[[#This Row],[OrderID]],Orders!A:A,Orders!C:C,"Not Found")</f>
        <v>35398</v>
      </c>
      <c r="H323" s="16">
        <f>(OrderDetails[[#This Row],[UnitPrice]]*OrderDetails[[#This Row],[Quantity]])*(1-OrderDetails[[#This Row],[Discount]])</f>
        <v>425.87999929487705</v>
      </c>
      <c r="I323" s="15" t="str">
        <f>_xlfn.XLOOKUP(OrderDetails[[#This Row],[ProductID]],Product!A:A,Product!G:G,"Not Found")</f>
        <v>Produce</v>
      </c>
      <c r="J323" s="15" t="str">
        <f>LOOKUP(MONTH(G323),{1,4,7,10},{"Winter","Spring","Summer","Autumn"})</f>
        <v>Autumn</v>
      </c>
      <c r="K323" s="15" t="str">
        <f>_xlfn.XLOOKUP(OrderDetails[[#This Row],[ProductID]],Product!A:A,Product!B:B,"Not Found")</f>
        <v>Rössle Sauerkraut</v>
      </c>
    </row>
    <row r="324" spans="1:11">
      <c r="A324" s="1">
        <v>10368</v>
      </c>
      <c r="B324" s="1">
        <v>57</v>
      </c>
      <c r="C324" s="1">
        <v>15.6</v>
      </c>
      <c r="D324" s="1">
        <v>25</v>
      </c>
      <c r="E324" s="3">
        <v>0</v>
      </c>
      <c r="F324" s="1" t="str">
        <f>_xlfn.XLOOKUP(A324,Orders!A:A,Orders!B:B,"not found")</f>
        <v>ERNSH</v>
      </c>
      <c r="G324" s="13">
        <f>_xlfn.XLOOKUP(OrderDetails[[#This Row],[OrderID]],Orders!A:A,Orders!C:C,"Not Found")</f>
        <v>35398</v>
      </c>
      <c r="H324" s="16">
        <f>(OrderDetails[[#This Row],[UnitPrice]]*OrderDetails[[#This Row],[Quantity]])*(1-OrderDetails[[#This Row],[Discount]])</f>
        <v>390</v>
      </c>
      <c r="I324" s="15" t="str">
        <f>_xlfn.XLOOKUP(OrderDetails[[#This Row],[ProductID]],Product!A:A,Product!G:G,"Not Found")</f>
        <v>Grains/Cereals</v>
      </c>
      <c r="J324" s="15" t="str">
        <f>LOOKUP(MONTH(G324),{1,4,7,10},{"Winter","Spring","Summer","Autumn"})</f>
        <v>Autumn</v>
      </c>
      <c r="K324" s="15" t="str">
        <f>_xlfn.XLOOKUP(OrderDetails[[#This Row],[ProductID]],Product!A:A,Product!B:B,"Not Found")</f>
        <v>Ravioli Angelo</v>
      </c>
    </row>
    <row r="325" spans="1:11">
      <c r="A325" s="2">
        <v>10368</v>
      </c>
      <c r="B325" s="2">
        <v>64</v>
      </c>
      <c r="C325" s="2">
        <v>26.6</v>
      </c>
      <c r="D325" s="2">
        <v>35</v>
      </c>
      <c r="E325" s="4">
        <v>0.10000000149011612</v>
      </c>
      <c r="F325" s="1" t="str">
        <f>_xlfn.XLOOKUP(A325,Orders!A:A,Orders!B:B,"not found")</f>
        <v>ERNSH</v>
      </c>
      <c r="G325" s="13">
        <f>_xlfn.XLOOKUP(OrderDetails[[#This Row],[OrderID]],Orders!A:A,Orders!C:C,"Not Found")</f>
        <v>35398</v>
      </c>
      <c r="H325" s="16">
        <f>(OrderDetails[[#This Row],[UnitPrice]]*OrderDetails[[#This Row],[Quantity]])*(1-OrderDetails[[#This Row],[Discount]])</f>
        <v>837.89999861270189</v>
      </c>
      <c r="I325" s="15" t="str">
        <f>_xlfn.XLOOKUP(OrderDetails[[#This Row],[ProductID]],Product!A:A,Product!G:G,"Not Found")</f>
        <v>Grains/Cereals</v>
      </c>
      <c r="J325" s="15" t="str">
        <f>LOOKUP(MONTH(G325),{1,4,7,10},{"Winter","Spring","Summer","Autumn"})</f>
        <v>Autumn</v>
      </c>
      <c r="K325" s="15" t="str">
        <f>_xlfn.XLOOKUP(OrderDetails[[#This Row],[ProductID]],Product!A:A,Product!B:B,"Not Found")</f>
        <v>Wimmers gute Semmelknödel</v>
      </c>
    </row>
    <row r="326" spans="1:11">
      <c r="A326" s="1">
        <v>10369</v>
      </c>
      <c r="B326" s="1">
        <v>29</v>
      </c>
      <c r="C326" s="1">
        <v>99</v>
      </c>
      <c r="D326" s="1">
        <v>20</v>
      </c>
      <c r="E326" s="3">
        <v>0</v>
      </c>
      <c r="F326" s="1" t="str">
        <f>_xlfn.XLOOKUP(A326,Orders!A:A,Orders!B:B,"not found")</f>
        <v>SPLIR</v>
      </c>
      <c r="G326" s="13">
        <f>_xlfn.XLOOKUP(OrderDetails[[#This Row],[OrderID]],Orders!A:A,Orders!C:C,"Not Found")</f>
        <v>35401</v>
      </c>
      <c r="H326" s="16">
        <f>(OrderDetails[[#This Row],[UnitPrice]]*OrderDetails[[#This Row],[Quantity]])*(1-OrderDetails[[#This Row],[Discount]])</f>
        <v>1980</v>
      </c>
      <c r="I326" s="15" t="str">
        <f>_xlfn.XLOOKUP(OrderDetails[[#This Row],[ProductID]],Product!A:A,Product!G:G,"Not Found")</f>
        <v>Meat/Poultry</v>
      </c>
      <c r="J326" s="15" t="str">
        <f>LOOKUP(MONTH(G326),{1,4,7,10},{"Winter","Spring","Summer","Autumn"})</f>
        <v>Autumn</v>
      </c>
      <c r="K326" s="15" t="str">
        <f>_xlfn.XLOOKUP(OrderDetails[[#This Row],[ProductID]],Product!A:A,Product!B:B,"Not Found")</f>
        <v>Thüringer Rostbratwurst</v>
      </c>
    </row>
    <row r="327" spans="1:11">
      <c r="A327" s="2">
        <v>10369</v>
      </c>
      <c r="B327" s="2">
        <v>56</v>
      </c>
      <c r="C327" s="2">
        <v>30.4</v>
      </c>
      <c r="D327" s="2">
        <v>18</v>
      </c>
      <c r="E327" s="4">
        <v>0.25</v>
      </c>
      <c r="F327" s="1" t="str">
        <f>_xlfn.XLOOKUP(A327,Orders!A:A,Orders!B:B,"not found")</f>
        <v>SPLIR</v>
      </c>
      <c r="G327" s="13">
        <f>_xlfn.XLOOKUP(OrderDetails[[#This Row],[OrderID]],Orders!A:A,Orders!C:C,"Not Found")</f>
        <v>35401</v>
      </c>
      <c r="H327" s="16">
        <f>(OrderDetails[[#This Row],[UnitPrice]]*OrderDetails[[#This Row],[Quantity]])*(1-OrderDetails[[#This Row],[Discount]])</f>
        <v>410.4</v>
      </c>
      <c r="I327" s="15" t="str">
        <f>_xlfn.XLOOKUP(OrderDetails[[#This Row],[ProductID]],Product!A:A,Product!G:G,"Not Found")</f>
        <v>Grains/Cereals</v>
      </c>
      <c r="J327" s="15" t="str">
        <f>LOOKUP(MONTH(G327),{1,4,7,10},{"Winter","Spring","Summer","Autumn"})</f>
        <v>Autumn</v>
      </c>
      <c r="K327" s="15" t="str">
        <f>_xlfn.XLOOKUP(OrderDetails[[#This Row],[ProductID]],Product!A:A,Product!B:B,"Not Found")</f>
        <v>Gnocchi di nonna Alice</v>
      </c>
    </row>
    <row r="328" spans="1:11">
      <c r="A328" s="1">
        <v>10370</v>
      </c>
      <c r="B328" s="1">
        <v>1</v>
      </c>
      <c r="C328" s="1">
        <v>14.4</v>
      </c>
      <c r="D328" s="1">
        <v>15</v>
      </c>
      <c r="E328" s="3">
        <v>0.15000000596046448</v>
      </c>
      <c r="F328" s="1" t="str">
        <f>_xlfn.XLOOKUP(A328,Orders!A:A,Orders!B:B,"not found")</f>
        <v>CHOPS</v>
      </c>
      <c r="G328" s="13">
        <f>_xlfn.XLOOKUP(OrderDetails[[#This Row],[OrderID]],Orders!A:A,Orders!C:C,"Not Found")</f>
        <v>35402</v>
      </c>
      <c r="H328" s="16">
        <f>(OrderDetails[[#This Row],[UnitPrice]]*OrderDetails[[#This Row],[Quantity]])*(1-OrderDetails[[#This Row],[Discount]])</f>
        <v>183.59999871253967</v>
      </c>
      <c r="I328" s="15" t="str">
        <f>_xlfn.XLOOKUP(OrderDetails[[#This Row],[ProductID]],Product!A:A,Product!G:G,"Not Found")</f>
        <v>Beverages</v>
      </c>
      <c r="J328" s="15" t="str">
        <f>LOOKUP(MONTH(G328),{1,4,7,10},{"Winter","Spring","Summer","Autumn"})</f>
        <v>Autumn</v>
      </c>
      <c r="K328" s="15" t="str">
        <f>_xlfn.XLOOKUP(OrderDetails[[#This Row],[ProductID]],Product!A:A,Product!B:B,"Not Found")</f>
        <v>Chai</v>
      </c>
    </row>
    <row r="329" spans="1:11">
      <c r="A329" s="2">
        <v>10370</v>
      </c>
      <c r="B329" s="2">
        <v>64</v>
      </c>
      <c r="C329" s="2">
        <v>26.6</v>
      </c>
      <c r="D329" s="2">
        <v>30</v>
      </c>
      <c r="E329" s="4">
        <v>0</v>
      </c>
      <c r="F329" s="1" t="str">
        <f>_xlfn.XLOOKUP(A329,Orders!A:A,Orders!B:B,"not found")</f>
        <v>CHOPS</v>
      </c>
      <c r="G329" s="13">
        <f>_xlfn.XLOOKUP(OrderDetails[[#This Row],[OrderID]],Orders!A:A,Orders!C:C,"Not Found")</f>
        <v>35402</v>
      </c>
      <c r="H329" s="16">
        <f>(OrderDetails[[#This Row],[UnitPrice]]*OrderDetails[[#This Row],[Quantity]])*(1-OrderDetails[[#This Row],[Discount]])</f>
        <v>798</v>
      </c>
      <c r="I329" s="15" t="str">
        <f>_xlfn.XLOOKUP(OrderDetails[[#This Row],[ProductID]],Product!A:A,Product!G:G,"Not Found")</f>
        <v>Grains/Cereals</v>
      </c>
      <c r="J329" s="15" t="str">
        <f>LOOKUP(MONTH(G329),{1,4,7,10},{"Winter","Spring","Summer","Autumn"})</f>
        <v>Autumn</v>
      </c>
      <c r="K329" s="15" t="str">
        <f>_xlfn.XLOOKUP(OrderDetails[[#This Row],[ProductID]],Product!A:A,Product!B:B,"Not Found")</f>
        <v>Wimmers gute Semmelknödel</v>
      </c>
    </row>
    <row r="330" spans="1:11">
      <c r="A330" s="1">
        <v>10370</v>
      </c>
      <c r="B330" s="1">
        <v>74</v>
      </c>
      <c r="C330" s="1">
        <v>8</v>
      </c>
      <c r="D330" s="1">
        <v>20</v>
      </c>
      <c r="E330" s="3">
        <v>0.15000000596046448</v>
      </c>
      <c r="F330" s="1" t="str">
        <f>_xlfn.XLOOKUP(A330,Orders!A:A,Orders!B:B,"not found")</f>
        <v>CHOPS</v>
      </c>
      <c r="G330" s="13">
        <f>_xlfn.XLOOKUP(OrderDetails[[#This Row],[OrderID]],Orders!A:A,Orders!C:C,"Not Found")</f>
        <v>35402</v>
      </c>
      <c r="H330" s="16">
        <f>(OrderDetails[[#This Row],[UnitPrice]]*OrderDetails[[#This Row],[Quantity]])*(1-OrderDetails[[#This Row],[Discount]])</f>
        <v>135.99999904632568</v>
      </c>
      <c r="I330" s="15" t="str">
        <f>_xlfn.XLOOKUP(OrderDetails[[#This Row],[ProductID]],Product!A:A,Product!G:G,"Not Found")</f>
        <v>Produce</v>
      </c>
      <c r="J330" s="15" t="str">
        <f>LOOKUP(MONTH(G330),{1,4,7,10},{"Winter","Spring","Summer","Autumn"})</f>
        <v>Autumn</v>
      </c>
      <c r="K330" s="15" t="str">
        <f>_xlfn.XLOOKUP(OrderDetails[[#This Row],[ProductID]],Product!A:A,Product!B:B,"Not Found")</f>
        <v>Longlife Tofu</v>
      </c>
    </row>
    <row r="331" spans="1:11">
      <c r="A331" s="2">
        <v>10371</v>
      </c>
      <c r="B331" s="2">
        <v>36</v>
      </c>
      <c r="C331" s="2">
        <v>15.2</v>
      </c>
      <c r="D331" s="2">
        <v>6</v>
      </c>
      <c r="E331" s="4">
        <v>0.20000000298023224</v>
      </c>
      <c r="F331" s="1" t="str">
        <f>_xlfn.XLOOKUP(A331,Orders!A:A,Orders!B:B,"not found")</f>
        <v>LAMAI</v>
      </c>
      <c r="G331" s="13">
        <f>_xlfn.XLOOKUP(OrderDetails[[#This Row],[OrderID]],Orders!A:A,Orders!C:C,"Not Found")</f>
        <v>35402</v>
      </c>
      <c r="H331" s="16">
        <f>(OrderDetails[[#This Row],[UnitPrice]]*OrderDetails[[#This Row],[Quantity]])*(1-OrderDetails[[#This Row],[Discount]])</f>
        <v>72.959999728202817</v>
      </c>
      <c r="I331" s="15" t="str">
        <f>_xlfn.XLOOKUP(OrderDetails[[#This Row],[ProductID]],Product!A:A,Product!G:G,"Not Found")</f>
        <v>Seafood</v>
      </c>
      <c r="J331" s="15" t="str">
        <f>LOOKUP(MONTH(G331),{1,4,7,10},{"Winter","Spring","Summer","Autumn"})</f>
        <v>Autumn</v>
      </c>
      <c r="K331" s="15" t="str">
        <f>_xlfn.XLOOKUP(OrderDetails[[#This Row],[ProductID]],Product!A:A,Product!B:B,"Not Found")</f>
        <v>Inlagd Sill</v>
      </c>
    </row>
    <row r="332" spans="1:11">
      <c r="A332" s="1">
        <v>10372</v>
      </c>
      <c r="B332" s="1">
        <v>20</v>
      </c>
      <c r="C332" s="1">
        <v>64.8</v>
      </c>
      <c r="D332" s="1">
        <v>12</v>
      </c>
      <c r="E332" s="3">
        <v>0.25</v>
      </c>
      <c r="F332" s="1" t="str">
        <f>_xlfn.XLOOKUP(A332,Orders!A:A,Orders!B:B,"not found")</f>
        <v>QUEEN</v>
      </c>
      <c r="G332" s="13">
        <f>_xlfn.XLOOKUP(OrderDetails[[#This Row],[OrderID]],Orders!A:A,Orders!C:C,"Not Found")</f>
        <v>35403</v>
      </c>
      <c r="H332" s="16">
        <f>(OrderDetails[[#This Row],[UnitPrice]]*OrderDetails[[#This Row],[Quantity]])*(1-OrderDetails[[#This Row],[Discount]])</f>
        <v>583.19999999999993</v>
      </c>
      <c r="I332" s="15" t="str">
        <f>_xlfn.XLOOKUP(OrderDetails[[#This Row],[ProductID]],Product!A:A,Product!G:G,"Not Found")</f>
        <v>Confections</v>
      </c>
      <c r="J332" s="15" t="str">
        <f>LOOKUP(MONTH(G332),{1,4,7,10},{"Winter","Spring","Summer","Autumn"})</f>
        <v>Autumn</v>
      </c>
      <c r="K332" s="15" t="str">
        <f>_xlfn.XLOOKUP(OrderDetails[[#This Row],[ProductID]],Product!A:A,Product!B:B,"Not Found")</f>
        <v>Sir Rodney's Marmalade</v>
      </c>
    </row>
    <row r="333" spans="1:11">
      <c r="A333" s="2">
        <v>10372</v>
      </c>
      <c r="B333" s="2">
        <v>38</v>
      </c>
      <c r="C333" s="2">
        <v>210.8</v>
      </c>
      <c r="D333" s="2">
        <v>40</v>
      </c>
      <c r="E333" s="4">
        <v>0.25</v>
      </c>
      <c r="F333" s="1" t="str">
        <f>_xlfn.XLOOKUP(A333,Orders!A:A,Orders!B:B,"not found")</f>
        <v>QUEEN</v>
      </c>
      <c r="G333" s="13">
        <f>_xlfn.XLOOKUP(OrderDetails[[#This Row],[OrderID]],Orders!A:A,Orders!C:C,"Not Found")</f>
        <v>35403</v>
      </c>
      <c r="H333" s="16">
        <f>(OrderDetails[[#This Row],[UnitPrice]]*OrderDetails[[#This Row],[Quantity]])*(1-OrderDetails[[#This Row],[Discount]])</f>
        <v>6324</v>
      </c>
      <c r="I333" s="15" t="str">
        <f>_xlfn.XLOOKUP(OrderDetails[[#This Row],[ProductID]],Product!A:A,Product!G:G,"Not Found")</f>
        <v>Beverages</v>
      </c>
      <c r="J333" s="15" t="str">
        <f>LOOKUP(MONTH(G333),{1,4,7,10},{"Winter","Spring","Summer","Autumn"})</f>
        <v>Autumn</v>
      </c>
      <c r="K333" s="15" t="str">
        <f>_xlfn.XLOOKUP(OrderDetails[[#This Row],[ProductID]],Product!A:A,Product!B:B,"Not Found")</f>
        <v>Côte de Blaye</v>
      </c>
    </row>
    <row r="334" spans="1:11">
      <c r="A334" s="1">
        <v>10372</v>
      </c>
      <c r="B334" s="1">
        <v>60</v>
      </c>
      <c r="C334" s="1">
        <v>27.2</v>
      </c>
      <c r="D334" s="1">
        <v>70</v>
      </c>
      <c r="E334" s="3">
        <v>0.25</v>
      </c>
      <c r="F334" s="1" t="str">
        <f>_xlfn.XLOOKUP(A334,Orders!A:A,Orders!B:B,"not found")</f>
        <v>QUEEN</v>
      </c>
      <c r="G334" s="13">
        <f>_xlfn.XLOOKUP(OrderDetails[[#This Row],[OrderID]],Orders!A:A,Orders!C:C,"Not Found")</f>
        <v>35403</v>
      </c>
      <c r="H334" s="16">
        <f>(OrderDetails[[#This Row],[UnitPrice]]*OrderDetails[[#This Row],[Quantity]])*(1-OrderDetails[[#This Row],[Discount]])</f>
        <v>1428</v>
      </c>
      <c r="I334" s="15" t="str">
        <f>_xlfn.XLOOKUP(OrderDetails[[#This Row],[ProductID]],Product!A:A,Product!G:G,"Not Found")</f>
        <v>Dairy Products</v>
      </c>
      <c r="J334" s="15" t="str">
        <f>LOOKUP(MONTH(G334),{1,4,7,10},{"Winter","Spring","Summer","Autumn"})</f>
        <v>Autumn</v>
      </c>
      <c r="K334" s="15" t="str">
        <f>_xlfn.XLOOKUP(OrderDetails[[#This Row],[ProductID]],Product!A:A,Product!B:B,"Not Found")</f>
        <v>Camembert Pierrot</v>
      </c>
    </row>
    <row r="335" spans="1:11">
      <c r="A335" s="2">
        <v>10372</v>
      </c>
      <c r="B335" s="2">
        <v>72</v>
      </c>
      <c r="C335" s="2">
        <v>27.8</v>
      </c>
      <c r="D335" s="2">
        <v>42</v>
      </c>
      <c r="E335" s="4">
        <v>0.25</v>
      </c>
      <c r="F335" s="1" t="str">
        <f>_xlfn.XLOOKUP(A335,Orders!A:A,Orders!B:B,"not found")</f>
        <v>QUEEN</v>
      </c>
      <c r="G335" s="13">
        <f>_xlfn.XLOOKUP(OrderDetails[[#This Row],[OrderID]],Orders!A:A,Orders!C:C,"Not Found")</f>
        <v>35403</v>
      </c>
      <c r="H335" s="16">
        <f>(OrderDetails[[#This Row],[UnitPrice]]*OrderDetails[[#This Row],[Quantity]])*(1-OrderDetails[[#This Row],[Discount]])</f>
        <v>875.7</v>
      </c>
      <c r="I335" s="15" t="str">
        <f>_xlfn.XLOOKUP(OrderDetails[[#This Row],[ProductID]],Product!A:A,Product!G:G,"Not Found")</f>
        <v>Dairy Products</v>
      </c>
      <c r="J335" s="15" t="str">
        <f>LOOKUP(MONTH(G335),{1,4,7,10},{"Winter","Spring","Summer","Autumn"})</f>
        <v>Autumn</v>
      </c>
      <c r="K335" s="15" t="str">
        <f>_xlfn.XLOOKUP(OrderDetails[[#This Row],[ProductID]],Product!A:A,Product!B:B,"Not Found")</f>
        <v>Mozzarella di Giovanni</v>
      </c>
    </row>
    <row r="336" spans="1:11">
      <c r="A336" s="1">
        <v>10373</v>
      </c>
      <c r="B336" s="1">
        <v>58</v>
      </c>
      <c r="C336" s="1">
        <v>10.6</v>
      </c>
      <c r="D336" s="1">
        <v>80</v>
      </c>
      <c r="E336" s="3">
        <v>0.20000000298023224</v>
      </c>
      <c r="F336" s="1" t="str">
        <f>_xlfn.XLOOKUP(A336,Orders!A:A,Orders!B:B,"not found")</f>
        <v>HUNGO</v>
      </c>
      <c r="G336" s="13">
        <f>_xlfn.XLOOKUP(OrderDetails[[#This Row],[OrderID]],Orders!A:A,Orders!C:C,"Not Found")</f>
        <v>35404</v>
      </c>
      <c r="H336" s="16">
        <f>(OrderDetails[[#This Row],[UnitPrice]]*OrderDetails[[#This Row],[Quantity]])*(1-OrderDetails[[#This Row],[Discount]])</f>
        <v>678.39999747276306</v>
      </c>
      <c r="I336" s="15" t="str">
        <f>_xlfn.XLOOKUP(OrderDetails[[#This Row],[ProductID]],Product!A:A,Product!G:G,"Not Found")</f>
        <v>Seafood</v>
      </c>
      <c r="J336" s="15" t="str">
        <f>LOOKUP(MONTH(G336),{1,4,7,10},{"Winter","Spring","Summer","Autumn"})</f>
        <v>Autumn</v>
      </c>
      <c r="K336" s="15" t="str">
        <f>_xlfn.XLOOKUP(OrderDetails[[#This Row],[ProductID]],Product!A:A,Product!B:B,"Not Found")</f>
        <v>Escargots de Bourgogne</v>
      </c>
    </row>
    <row r="337" spans="1:11">
      <c r="A337" s="2">
        <v>10373</v>
      </c>
      <c r="B337" s="2">
        <v>71</v>
      </c>
      <c r="C337" s="2">
        <v>17.2</v>
      </c>
      <c r="D337" s="2">
        <v>50</v>
      </c>
      <c r="E337" s="4">
        <v>0.20000000298023224</v>
      </c>
      <c r="F337" s="1" t="str">
        <f>_xlfn.XLOOKUP(A337,Orders!A:A,Orders!B:B,"not found")</f>
        <v>HUNGO</v>
      </c>
      <c r="G337" s="13">
        <f>_xlfn.XLOOKUP(OrderDetails[[#This Row],[OrderID]],Orders!A:A,Orders!C:C,"Not Found")</f>
        <v>35404</v>
      </c>
      <c r="H337" s="16">
        <f>(OrderDetails[[#This Row],[UnitPrice]]*OrderDetails[[#This Row],[Quantity]])*(1-OrderDetails[[#This Row],[Discount]])</f>
        <v>687.99999743700027</v>
      </c>
      <c r="I337" s="15" t="str">
        <f>_xlfn.XLOOKUP(OrderDetails[[#This Row],[ProductID]],Product!A:A,Product!G:G,"Not Found")</f>
        <v>Dairy Products</v>
      </c>
      <c r="J337" s="15" t="str">
        <f>LOOKUP(MONTH(G337),{1,4,7,10},{"Winter","Spring","Summer","Autumn"})</f>
        <v>Autumn</v>
      </c>
      <c r="K337" s="15" t="str">
        <f>_xlfn.XLOOKUP(OrderDetails[[#This Row],[ProductID]],Product!A:A,Product!B:B,"Not Found")</f>
        <v>Flotemysost</v>
      </c>
    </row>
    <row r="338" spans="1:11">
      <c r="A338" s="1">
        <v>10374</v>
      </c>
      <c r="B338" s="1">
        <v>31</v>
      </c>
      <c r="C338" s="1">
        <v>10</v>
      </c>
      <c r="D338" s="1">
        <v>30</v>
      </c>
      <c r="E338" s="3">
        <v>0</v>
      </c>
      <c r="F338" s="1" t="str">
        <f>_xlfn.XLOOKUP(A338,Orders!A:A,Orders!B:B,"not found")</f>
        <v>WOLZA</v>
      </c>
      <c r="G338" s="13">
        <f>_xlfn.XLOOKUP(OrderDetails[[#This Row],[OrderID]],Orders!A:A,Orders!C:C,"Not Found")</f>
        <v>35404</v>
      </c>
      <c r="H338" s="16">
        <f>(OrderDetails[[#This Row],[UnitPrice]]*OrderDetails[[#This Row],[Quantity]])*(1-OrderDetails[[#This Row],[Discount]])</f>
        <v>300</v>
      </c>
      <c r="I338" s="15" t="str">
        <f>_xlfn.XLOOKUP(OrderDetails[[#This Row],[ProductID]],Product!A:A,Product!G:G,"Not Found")</f>
        <v>Dairy Products</v>
      </c>
      <c r="J338" s="15" t="str">
        <f>LOOKUP(MONTH(G338),{1,4,7,10},{"Winter","Spring","Summer","Autumn"})</f>
        <v>Autumn</v>
      </c>
      <c r="K338" s="15" t="str">
        <f>_xlfn.XLOOKUP(OrderDetails[[#This Row],[ProductID]],Product!A:A,Product!B:B,"Not Found")</f>
        <v>Gorgonzola Telino</v>
      </c>
    </row>
    <row r="339" spans="1:11">
      <c r="A339" s="2">
        <v>10374</v>
      </c>
      <c r="B339" s="2">
        <v>58</v>
      </c>
      <c r="C339" s="2">
        <v>10.6</v>
      </c>
      <c r="D339" s="2">
        <v>15</v>
      </c>
      <c r="E339" s="4">
        <v>0</v>
      </c>
      <c r="F339" s="1" t="str">
        <f>_xlfn.XLOOKUP(A339,Orders!A:A,Orders!B:B,"not found")</f>
        <v>WOLZA</v>
      </c>
      <c r="G339" s="13">
        <f>_xlfn.XLOOKUP(OrderDetails[[#This Row],[OrderID]],Orders!A:A,Orders!C:C,"Not Found")</f>
        <v>35404</v>
      </c>
      <c r="H339" s="16">
        <f>(OrderDetails[[#This Row],[UnitPrice]]*OrderDetails[[#This Row],[Quantity]])*(1-OrderDetails[[#This Row],[Discount]])</f>
        <v>159</v>
      </c>
      <c r="I339" s="15" t="str">
        <f>_xlfn.XLOOKUP(OrderDetails[[#This Row],[ProductID]],Product!A:A,Product!G:G,"Not Found")</f>
        <v>Seafood</v>
      </c>
      <c r="J339" s="15" t="str">
        <f>LOOKUP(MONTH(G339),{1,4,7,10},{"Winter","Spring","Summer","Autumn"})</f>
        <v>Autumn</v>
      </c>
      <c r="K339" s="15" t="str">
        <f>_xlfn.XLOOKUP(OrderDetails[[#This Row],[ProductID]],Product!A:A,Product!B:B,"Not Found")</f>
        <v>Escargots de Bourgogne</v>
      </c>
    </row>
    <row r="340" spans="1:11">
      <c r="A340" s="1">
        <v>10375</v>
      </c>
      <c r="B340" s="1">
        <v>14</v>
      </c>
      <c r="C340" s="1">
        <v>18.600000000000001</v>
      </c>
      <c r="D340" s="1">
        <v>15</v>
      </c>
      <c r="E340" s="3">
        <v>0</v>
      </c>
      <c r="F340" s="1" t="str">
        <f>_xlfn.XLOOKUP(A340,Orders!A:A,Orders!B:B,"not found")</f>
        <v>HUNGC</v>
      </c>
      <c r="G340" s="13">
        <f>_xlfn.XLOOKUP(OrderDetails[[#This Row],[OrderID]],Orders!A:A,Orders!C:C,"Not Found")</f>
        <v>35405</v>
      </c>
      <c r="H340" s="16">
        <f>(OrderDetails[[#This Row],[UnitPrice]]*OrderDetails[[#This Row],[Quantity]])*(1-OrderDetails[[#This Row],[Discount]])</f>
        <v>279</v>
      </c>
      <c r="I340" s="15" t="str">
        <f>_xlfn.XLOOKUP(OrderDetails[[#This Row],[ProductID]],Product!A:A,Product!G:G,"Not Found")</f>
        <v>Produce</v>
      </c>
      <c r="J340" s="15" t="str">
        <f>LOOKUP(MONTH(G340),{1,4,7,10},{"Winter","Spring","Summer","Autumn"})</f>
        <v>Autumn</v>
      </c>
      <c r="K340" s="15" t="str">
        <f>_xlfn.XLOOKUP(OrderDetails[[#This Row],[ProductID]],Product!A:A,Product!B:B,"Not Found")</f>
        <v>Tofu</v>
      </c>
    </row>
    <row r="341" spans="1:11">
      <c r="A341" s="2">
        <v>10375</v>
      </c>
      <c r="B341" s="2">
        <v>54</v>
      </c>
      <c r="C341" s="2">
        <v>5.9</v>
      </c>
      <c r="D341" s="2">
        <v>10</v>
      </c>
      <c r="E341" s="4">
        <v>0</v>
      </c>
      <c r="F341" s="1" t="str">
        <f>_xlfn.XLOOKUP(A341,Orders!A:A,Orders!B:B,"not found")</f>
        <v>HUNGC</v>
      </c>
      <c r="G341" s="13">
        <f>_xlfn.XLOOKUP(OrderDetails[[#This Row],[OrderID]],Orders!A:A,Orders!C:C,"Not Found")</f>
        <v>35405</v>
      </c>
      <c r="H341" s="16">
        <f>(OrderDetails[[#This Row],[UnitPrice]]*OrderDetails[[#This Row],[Quantity]])*(1-OrderDetails[[#This Row],[Discount]])</f>
        <v>59</v>
      </c>
      <c r="I341" s="15" t="str">
        <f>_xlfn.XLOOKUP(OrderDetails[[#This Row],[ProductID]],Product!A:A,Product!G:G,"Not Found")</f>
        <v>Meat/Poultry</v>
      </c>
      <c r="J341" s="15" t="str">
        <f>LOOKUP(MONTH(G341),{1,4,7,10},{"Winter","Spring","Summer","Autumn"})</f>
        <v>Autumn</v>
      </c>
      <c r="K341" s="15" t="str">
        <f>_xlfn.XLOOKUP(OrderDetails[[#This Row],[ProductID]],Product!A:A,Product!B:B,"Not Found")</f>
        <v>Tourtière</v>
      </c>
    </row>
    <row r="342" spans="1:11">
      <c r="A342" s="1">
        <v>10376</v>
      </c>
      <c r="B342" s="1">
        <v>31</v>
      </c>
      <c r="C342" s="1">
        <v>10</v>
      </c>
      <c r="D342" s="1">
        <v>42</v>
      </c>
      <c r="E342" s="3">
        <v>5.000000074505806E-2</v>
      </c>
      <c r="F342" s="1" t="str">
        <f>_xlfn.XLOOKUP(A342,Orders!A:A,Orders!B:B,"not found")</f>
        <v>MEREP</v>
      </c>
      <c r="G342" s="13">
        <f>_xlfn.XLOOKUP(OrderDetails[[#This Row],[OrderID]],Orders!A:A,Orders!C:C,"Not Found")</f>
        <v>35408</v>
      </c>
      <c r="H342" s="16">
        <f>(OrderDetails[[#This Row],[UnitPrice]]*OrderDetails[[#This Row],[Quantity]])*(1-OrderDetails[[#This Row],[Discount]])</f>
        <v>398.99999968707561</v>
      </c>
      <c r="I342" s="15" t="str">
        <f>_xlfn.XLOOKUP(OrderDetails[[#This Row],[ProductID]],Product!A:A,Product!G:G,"Not Found")</f>
        <v>Dairy Products</v>
      </c>
      <c r="J342" s="15" t="str">
        <f>LOOKUP(MONTH(G342),{1,4,7,10},{"Winter","Spring","Summer","Autumn"})</f>
        <v>Autumn</v>
      </c>
      <c r="K342" s="15" t="str">
        <f>_xlfn.XLOOKUP(OrderDetails[[#This Row],[ProductID]],Product!A:A,Product!B:B,"Not Found")</f>
        <v>Gorgonzola Telino</v>
      </c>
    </row>
    <row r="343" spans="1:11">
      <c r="A343" s="2">
        <v>10377</v>
      </c>
      <c r="B343" s="2">
        <v>28</v>
      </c>
      <c r="C343" s="2">
        <v>36.4</v>
      </c>
      <c r="D343" s="2">
        <v>20</v>
      </c>
      <c r="E343" s="4">
        <v>0.15000000596046448</v>
      </c>
      <c r="F343" s="1" t="str">
        <f>_xlfn.XLOOKUP(A343,Orders!A:A,Orders!B:B,"not found")</f>
        <v>SEVES</v>
      </c>
      <c r="G343" s="13">
        <f>_xlfn.XLOOKUP(OrderDetails[[#This Row],[OrderID]],Orders!A:A,Orders!C:C,"Not Found")</f>
        <v>35408</v>
      </c>
      <c r="H343" s="16">
        <f>(OrderDetails[[#This Row],[UnitPrice]]*OrderDetails[[#This Row],[Quantity]])*(1-OrderDetails[[#This Row],[Discount]])</f>
        <v>618.79999566078186</v>
      </c>
      <c r="I343" s="15" t="str">
        <f>_xlfn.XLOOKUP(OrderDetails[[#This Row],[ProductID]],Product!A:A,Product!G:G,"Not Found")</f>
        <v>Produce</v>
      </c>
      <c r="J343" s="15" t="str">
        <f>LOOKUP(MONTH(G343),{1,4,7,10},{"Winter","Spring","Summer","Autumn"})</f>
        <v>Autumn</v>
      </c>
      <c r="K343" s="15" t="str">
        <f>_xlfn.XLOOKUP(OrderDetails[[#This Row],[ProductID]],Product!A:A,Product!B:B,"Not Found")</f>
        <v>Rössle Sauerkraut</v>
      </c>
    </row>
    <row r="344" spans="1:11">
      <c r="A344" s="1">
        <v>10377</v>
      </c>
      <c r="B344" s="1">
        <v>39</v>
      </c>
      <c r="C344" s="1">
        <v>14.4</v>
      </c>
      <c r="D344" s="1">
        <v>20</v>
      </c>
      <c r="E344" s="3">
        <v>0.15000000596046448</v>
      </c>
      <c r="F344" s="1" t="str">
        <f>_xlfn.XLOOKUP(A344,Orders!A:A,Orders!B:B,"not found")</f>
        <v>SEVES</v>
      </c>
      <c r="G344" s="13">
        <f>_xlfn.XLOOKUP(OrderDetails[[#This Row],[OrderID]],Orders!A:A,Orders!C:C,"Not Found")</f>
        <v>35408</v>
      </c>
      <c r="H344" s="16">
        <f>(OrderDetails[[#This Row],[UnitPrice]]*OrderDetails[[#This Row],[Quantity]])*(1-OrderDetails[[#This Row],[Discount]])</f>
        <v>244.79999828338623</v>
      </c>
      <c r="I344" s="15" t="str">
        <f>_xlfn.XLOOKUP(OrderDetails[[#This Row],[ProductID]],Product!A:A,Product!G:G,"Not Found")</f>
        <v>Beverages</v>
      </c>
      <c r="J344" s="15" t="str">
        <f>LOOKUP(MONTH(G344),{1,4,7,10},{"Winter","Spring","Summer","Autumn"})</f>
        <v>Autumn</v>
      </c>
      <c r="K344" s="15" t="str">
        <f>_xlfn.XLOOKUP(OrderDetails[[#This Row],[ProductID]],Product!A:A,Product!B:B,"Not Found")</f>
        <v>Chartreuse verte</v>
      </c>
    </row>
    <row r="345" spans="1:11">
      <c r="A345" s="2">
        <v>10378</v>
      </c>
      <c r="B345" s="2">
        <v>71</v>
      </c>
      <c r="C345" s="2">
        <v>17.2</v>
      </c>
      <c r="D345" s="2">
        <v>6</v>
      </c>
      <c r="E345" s="4">
        <v>0</v>
      </c>
      <c r="F345" s="1" t="str">
        <f>_xlfn.XLOOKUP(A345,Orders!A:A,Orders!B:B,"not found")</f>
        <v>FOLKO</v>
      </c>
      <c r="G345" s="13">
        <f>_xlfn.XLOOKUP(OrderDetails[[#This Row],[OrderID]],Orders!A:A,Orders!C:C,"Not Found")</f>
        <v>35409</v>
      </c>
      <c r="H345" s="16">
        <f>(OrderDetails[[#This Row],[UnitPrice]]*OrderDetails[[#This Row],[Quantity]])*(1-OrderDetails[[#This Row],[Discount]])</f>
        <v>103.19999999999999</v>
      </c>
      <c r="I345" s="15" t="str">
        <f>_xlfn.XLOOKUP(OrderDetails[[#This Row],[ProductID]],Product!A:A,Product!G:G,"Not Found")</f>
        <v>Dairy Products</v>
      </c>
      <c r="J345" s="15" t="str">
        <f>LOOKUP(MONTH(G345),{1,4,7,10},{"Winter","Spring","Summer","Autumn"})</f>
        <v>Autumn</v>
      </c>
      <c r="K345" s="15" t="str">
        <f>_xlfn.XLOOKUP(OrderDetails[[#This Row],[ProductID]],Product!A:A,Product!B:B,"Not Found")</f>
        <v>Flotemysost</v>
      </c>
    </row>
    <row r="346" spans="1:11">
      <c r="A346" s="1">
        <v>10379</v>
      </c>
      <c r="B346" s="1">
        <v>41</v>
      </c>
      <c r="C346" s="1">
        <v>7.7</v>
      </c>
      <c r="D346" s="1">
        <v>8</v>
      </c>
      <c r="E346" s="3">
        <v>0.10000000149011612</v>
      </c>
      <c r="F346" s="1" t="str">
        <f>_xlfn.XLOOKUP(A346,Orders!A:A,Orders!B:B,"not found")</f>
        <v>QUEDE</v>
      </c>
      <c r="G346" s="13">
        <f>_xlfn.XLOOKUP(OrderDetails[[#This Row],[OrderID]],Orders!A:A,Orders!C:C,"Not Found")</f>
        <v>35410</v>
      </c>
      <c r="H346" s="16">
        <f>(OrderDetails[[#This Row],[UnitPrice]]*OrderDetails[[#This Row],[Quantity]])*(1-OrderDetails[[#This Row],[Discount]])</f>
        <v>55.439999908208847</v>
      </c>
      <c r="I346" s="15" t="str">
        <f>_xlfn.XLOOKUP(OrderDetails[[#This Row],[ProductID]],Product!A:A,Product!G:G,"Not Found")</f>
        <v>Seafood</v>
      </c>
      <c r="J346" s="15" t="str">
        <f>LOOKUP(MONTH(G346),{1,4,7,10},{"Winter","Spring","Summer","Autumn"})</f>
        <v>Autumn</v>
      </c>
      <c r="K346" s="15" t="str">
        <f>_xlfn.XLOOKUP(OrderDetails[[#This Row],[ProductID]],Product!A:A,Product!B:B,"Not Found")</f>
        <v>Jack's New England Clam Chowder</v>
      </c>
    </row>
    <row r="347" spans="1:11">
      <c r="A347" s="2">
        <v>10379</v>
      </c>
      <c r="B347" s="2">
        <v>63</v>
      </c>
      <c r="C347" s="2">
        <v>35.1</v>
      </c>
      <c r="D347" s="2">
        <v>16</v>
      </c>
      <c r="E347" s="4">
        <v>0.10000000149011612</v>
      </c>
      <c r="F347" s="1" t="str">
        <f>_xlfn.XLOOKUP(A347,Orders!A:A,Orders!B:B,"not found")</f>
        <v>QUEDE</v>
      </c>
      <c r="G347" s="13">
        <f>_xlfn.XLOOKUP(OrderDetails[[#This Row],[OrderID]],Orders!A:A,Orders!C:C,"Not Found")</f>
        <v>35410</v>
      </c>
      <c r="H347" s="16">
        <f>(OrderDetails[[#This Row],[UnitPrice]]*OrderDetails[[#This Row],[Quantity]])*(1-OrderDetails[[#This Row],[Discount]])</f>
        <v>505.43999916315079</v>
      </c>
      <c r="I347" s="15" t="str">
        <f>_xlfn.XLOOKUP(OrderDetails[[#This Row],[ProductID]],Product!A:A,Product!G:G,"Not Found")</f>
        <v>Condiments</v>
      </c>
      <c r="J347" s="15" t="str">
        <f>LOOKUP(MONTH(G347),{1,4,7,10},{"Winter","Spring","Summer","Autumn"})</f>
        <v>Autumn</v>
      </c>
      <c r="K347" s="15" t="str">
        <f>_xlfn.XLOOKUP(OrderDetails[[#This Row],[ProductID]],Product!A:A,Product!B:B,"Not Found")</f>
        <v>Vegie-spread</v>
      </c>
    </row>
    <row r="348" spans="1:11">
      <c r="A348" s="1">
        <v>10379</v>
      </c>
      <c r="B348" s="1">
        <v>65</v>
      </c>
      <c r="C348" s="1">
        <v>16.8</v>
      </c>
      <c r="D348" s="1">
        <v>20</v>
      </c>
      <c r="E348" s="3">
        <v>0.10000000149011612</v>
      </c>
      <c r="F348" s="1" t="str">
        <f>_xlfn.XLOOKUP(A348,Orders!A:A,Orders!B:B,"not found")</f>
        <v>QUEDE</v>
      </c>
      <c r="G348" s="13">
        <f>_xlfn.XLOOKUP(OrderDetails[[#This Row],[OrderID]],Orders!A:A,Orders!C:C,"Not Found")</f>
        <v>35410</v>
      </c>
      <c r="H348" s="16">
        <f>(OrderDetails[[#This Row],[UnitPrice]]*OrderDetails[[#This Row],[Quantity]])*(1-OrderDetails[[#This Row],[Discount]])</f>
        <v>302.39999949932098</v>
      </c>
      <c r="I348" s="15" t="str">
        <f>_xlfn.XLOOKUP(OrderDetails[[#This Row],[ProductID]],Product!A:A,Product!G:G,"Not Found")</f>
        <v>Condiments</v>
      </c>
      <c r="J348" s="15" t="str">
        <f>LOOKUP(MONTH(G348),{1,4,7,10},{"Winter","Spring","Summer","Autumn"})</f>
        <v>Autumn</v>
      </c>
      <c r="K348" s="15" t="str">
        <f>_xlfn.XLOOKUP(OrderDetails[[#This Row],[ProductID]],Product!A:A,Product!B:B,"Not Found")</f>
        <v>Louisiana Fiery Hot Pepper Sauce</v>
      </c>
    </row>
    <row r="349" spans="1:11">
      <c r="A349" s="2">
        <v>10380</v>
      </c>
      <c r="B349" s="2">
        <v>30</v>
      </c>
      <c r="C349" s="2">
        <v>20.7</v>
      </c>
      <c r="D349" s="2">
        <v>18</v>
      </c>
      <c r="E349" s="4">
        <v>0.10000000149011612</v>
      </c>
      <c r="F349" s="1" t="str">
        <f>_xlfn.XLOOKUP(A349,Orders!A:A,Orders!B:B,"not found")</f>
        <v>HUNGO</v>
      </c>
      <c r="G349" s="13">
        <f>_xlfn.XLOOKUP(OrderDetails[[#This Row],[OrderID]],Orders!A:A,Orders!C:C,"Not Found")</f>
        <v>35411</v>
      </c>
      <c r="H349" s="16">
        <f>(OrderDetails[[#This Row],[UnitPrice]]*OrderDetails[[#This Row],[Quantity]])*(1-OrderDetails[[#This Row],[Discount]])</f>
        <v>335.33999944478268</v>
      </c>
      <c r="I349" s="15" t="str">
        <f>_xlfn.XLOOKUP(OrderDetails[[#This Row],[ProductID]],Product!A:A,Product!G:G,"Not Found")</f>
        <v>Seafood</v>
      </c>
      <c r="J349" s="15" t="str">
        <f>LOOKUP(MONTH(G349),{1,4,7,10},{"Winter","Spring","Summer","Autumn"})</f>
        <v>Autumn</v>
      </c>
      <c r="K349" s="15" t="str">
        <f>_xlfn.XLOOKUP(OrderDetails[[#This Row],[ProductID]],Product!A:A,Product!B:B,"Not Found")</f>
        <v>Nord-Ost Matjeshering</v>
      </c>
    </row>
    <row r="350" spans="1:11">
      <c r="A350" s="1">
        <v>10380</v>
      </c>
      <c r="B350" s="1">
        <v>53</v>
      </c>
      <c r="C350" s="1">
        <v>26.2</v>
      </c>
      <c r="D350" s="1">
        <v>20</v>
      </c>
      <c r="E350" s="3">
        <v>0.10000000149011612</v>
      </c>
      <c r="F350" s="1" t="str">
        <f>_xlfn.XLOOKUP(A350,Orders!A:A,Orders!B:B,"not found")</f>
        <v>HUNGO</v>
      </c>
      <c r="G350" s="13">
        <f>_xlfn.XLOOKUP(OrderDetails[[#This Row],[OrderID]],Orders!A:A,Orders!C:C,"Not Found")</f>
        <v>35411</v>
      </c>
      <c r="H350" s="16">
        <f>(OrderDetails[[#This Row],[UnitPrice]]*OrderDetails[[#This Row],[Quantity]])*(1-OrderDetails[[#This Row],[Discount]])</f>
        <v>471.59999921917915</v>
      </c>
      <c r="I350" s="15" t="str">
        <f>_xlfn.XLOOKUP(OrderDetails[[#This Row],[ProductID]],Product!A:A,Product!G:G,"Not Found")</f>
        <v>Meat/Poultry</v>
      </c>
      <c r="J350" s="15" t="str">
        <f>LOOKUP(MONTH(G350),{1,4,7,10},{"Winter","Spring","Summer","Autumn"})</f>
        <v>Autumn</v>
      </c>
      <c r="K350" s="15" t="str">
        <f>_xlfn.XLOOKUP(OrderDetails[[#This Row],[ProductID]],Product!A:A,Product!B:B,"Not Found")</f>
        <v>Perth Pasties</v>
      </c>
    </row>
    <row r="351" spans="1:11">
      <c r="A351" s="2">
        <v>10380</v>
      </c>
      <c r="B351" s="2">
        <v>60</v>
      </c>
      <c r="C351" s="2">
        <v>27.2</v>
      </c>
      <c r="D351" s="2">
        <v>6</v>
      </c>
      <c r="E351" s="4">
        <v>0.10000000149011612</v>
      </c>
      <c r="F351" s="1" t="str">
        <f>_xlfn.XLOOKUP(A351,Orders!A:A,Orders!B:B,"not found")</f>
        <v>HUNGO</v>
      </c>
      <c r="G351" s="13">
        <f>_xlfn.XLOOKUP(OrderDetails[[#This Row],[OrderID]],Orders!A:A,Orders!C:C,"Not Found")</f>
        <v>35411</v>
      </c>
      <c r="H351" s="16">
        <f>(OrderDetails[[#This Row],[UnitPrice]]*OrderDetails[[#This Row],[Quantity]])*(1-OrderDetails[[#This Row],[Discount]])</f>
        <v>146.87999975681305</v>
      </c>
      <c r="I351" s="15" t="str">
        <f>_xlfn.XLOOKUP(OrderDetails[[#This Row],[ProductID]],Product!A:A,Product!G:G,"Not Found")</f>
        <v>Dairy Products</v>
      </c>
      <c r="J351" s="15" t="str">
        <f>LOOKUP(MONTH(G351),{1,4,7,10},{"Winter","Spring","Summer","Autumn"})</f>
        <v>Autumn</v>
      </c>
      <c r="K351" s="15" t="str">
        <f>_xlfn.XLOOKUP(OrderDetails[[#This Row],[ProductID]],Product!A:A,Product!B:B,"Not Found")</f>
        <v>Camembert Pierrot</v>
      </c>
    </row>
    <row r="352" spans="1:11">
      <c r="A352" s="1">
        <v>10380</v>
      </c>
      <c r="B352" s="1">
        <v>70</v>
      </c>
      <c r="C352" s="1">
        <v>12</v>
      </c>
      <c r="D352" s="1">
        <v>30</v>
      </c>
      <c r="E352" s="3">
        <v>0</v>
      </c>
      <c r="F352" s="1" t="str">
        <f>_xlfn.XLOOKUP(A352,Orders!A:A,Orders!B:B,"not found")</f>
        <v>HUNGO</v>
      </c>
      <c r="G352" s="13">
        <f>_xlfn.XLOOKUP(OrderDetails[[#This Row],[OrderID]],Orders!A:A,Orders!C:C,"Not Found")</f>
        <v>35411</v>
      </c>
      <c r="H352" s="16">
        <f>(OrderDetails[[#This Row],[UnitPrice]]*OrderDetails[[#This Row],[Quantity]])*(1-OrderDetails[[#This Row],[Discount]])</f>
        <v>360</v>
      </c>
      <c r="I352" s="15" t="str">
        <f>_xlfn.XLOOKUP(OrderDetails[[#This Row],[ProductID]],Product!A:A,Product!G:G,"Not Found")</f>
        <v>Beverages</v>
      </c>
      <c r="J352" s="15" t="str">
        <f>LOOKUP(MONTH(G352),{1,4,7,10},{"Winter","Spring","Summer","Autumn"})</f>
        <v>Autumn</v>
      </c>
      <c r="K352" s="15" t="str">
        <f>_xlfn.XLOOKUP(OrderDetails[[#This Row],[ProductID]],Product!A:A,Product!B:B,"Not Found")</f>
        <v>Outback Lager</v>
      </c>
    </row>
    <row r="353" spans="1:11">
      <c r="A353" s="2">
        <v>10381</v>
      </c>
      <c r="B353" s="2">
        <v>74</v>
      </c>
      <c r="C353" s="2">
        <v>8</v>
      </c>
      <c r="D353" s="2">
        <v>14</v>
      </c>
      <c r="E353" s="4">
        <v>0</v>
      </c>
      <c r="F353" s="1" t="str">
        <f>_xlfn.XLOOKUP(A353,Orders!A:A,Orders!B:B,"not found")</f>
        <v>LILAS</v>
      </c>
      <c r="G353" s="13">
        <f>_xlfn.XLOOKUP(OrderDetails[[#This Row],[OrderID]],Orders!A:A,Orders!C:C,"Not Found")</f>
        <v>35411</v>
      </c>
      <c r="H353" s="16">
        <f>(OrderDetails[[#This Row],[UnitPrice]]*OrderDetails[[#This Row],[Quantity]])*(1-OrderDetails[[#This Row],[Discount]])</f>
        <v>112</v>
      </c>
      <c r="I353" s="15" t="str">
        <f>_xlfn.XLOOKUP(OrderDetails[[#This Row],[ProductID]],Product!A:A,Product!G:G,"Not Found")</f>
        <v>Produce</v>
      </c>
      <c r="J353" s="15" t="str">
        <f>LOOKUP(MONTH(G353),{1,4,7,10},{"Winter","Spring","Summer","Autumn"})</f>
        <v>Autumn</v>
      </c>
      <c r="K353" s="15" t="str">
        <f>_xlfn.XLOOKUP(OrderDetails[[#This Row],[ProductID]],Product!A:A,Product!B:B,"Not Found")</f>
        <v>Longlife Tofu</v>
      </c>
    </row>
    <row r="354" spans="1:11">
      <c r="A354" s="1">
        <v>10382</v>
      </c>
      <c r="B354" s="1">
        <v>5</v>
      </c>
      <c r="C354" s="1">
        <v>17</v>
      </c>
      <c r="D354" s="1">
        <v>32</v>
      </c>
      <c r="E354" s="3">
        <v>0</v>
      </c>
      <c r="F354" s="1" t="str">
        <f>_xlfn.XLOOKUP(A354,Orders!A:A,Orders!B:B,"not found")</f>
        <v>ERNSH</v>
      </c>
      <c r="G354" s="13">
        <f>_xlfn.XLOOKUP(OrderDetails[[#This Row],[OrderID]],Orders!A:A,Orders!C:C,"Not Found")</f>
        <v>35412</v>
      </c>
      <c r="H354" s="16">
        <f>(OrderDetails[[#This Row],[UnitPrice]]*OrderDetails[[#This Row],[Quantity]])*(1-OrderDetails[[#This Row],[Discount]])</f>
        <v>544</v>
      </c>
      <c r="I354" s="15" t="str">
        <f>_xlfn.XLOOKUP(OrderDetails[[#This Row],[ProductID]],Product!A:A,Product!G:G,"Not Found")</f>
        <v>Condiments</v>
      </c>
      <c r="J354" s="15" t="str">
        <f>LOOKUP(MONTH(G354),{1,4,7,10},{"Winter","Spring","Summer","Autumn"})</f>
        <v>Autumn</v>
      </c>
      <c r="K354" s="15" t="str">
        <f>_xlfn.XLOOKUP(OrderDetails[[#This Row],[ProductID]],Product!A:A,Product!B:B,"Not Found")</f>
        <v>Chef Anton's Gumbo Mix</v>
      </c>
    </row>
    <row r="355" spans="1:11">
      <c r="A355" s="2">
        <v>10382</v>
      </c>
      <c r="B355" s="2">
        <v>18</v>
      </c>
      <c r="C355" s="2">
        <v>50</v>
      </c>
      <c r="D355" s="2">
        <v>9</v>
      </c>
      <c r="E355" s="4">
        <v>0</v>
      </c>
      <c r="F355" s="1" t="str">
        <f>_xlfn.XLOOKUP(A355,Orders!A:A,Orders!B:B,"not found")</f>
        <v>ERNSH</v>
      </c>
      <c r="G355" s="13">
        <f>_xlfn.XLOOKUP(OrderDetails[[#This Row],[OrderID]],Orders!A:A,Orders!C:C,"Not Found")</f>
        <v>35412</v>
      </c>
      <c r="H355" s="16">
        <f>(OrderDetails[[#This Row],[UnitPrice]]*OrderDetails[[#This Row],[Quantity]])*(1-OrderDetails[[#This Row],[Discount]])</f>
        <v>450</v>
      </c>
      <c r="I355" s="15" t="str">
        <f>_xlfn.XLOOKUP(OrderDetails[[#This Row],[ProductID]],Product!A:A,Product!G:G,"Not Found")</f>
        <v>Seafood</v>
      </c>
      <c r="J355" s="15" t="str">
        <f>LOOKUP(MONTH(G355),{1,4,7,10},{"Winter","Spring","Summer","Autumn"})</f>
        <v>Autumn</v>
      </c>
      <c r="K355" s="15" t="str">
        <f>_xlfn.XLOOKUP(OrderDetails[[#This Row],[ProductID]],Product!A:A,Product!B:B,"Not Found")</f>
        <v>Carnarvon Tigers</v>
      </c>
    </row>
    <row r="356" spans="1:11">
      <c r="A356" s="1">
        <v>10382</v>
      </c>
      <c r="B356" s="1">
        <v>29</v>
      </c>
      <c r="C356" s="1">
        <v>99</v>
      </c>
      <c r="D356" s="1">
        <v>14</v>
      </c>
      <c r="E356" s="3">
        <v>0</v>
      </c>
      <c r="F356" s="1" t="str">
        <f>_xlfn.XLOOKUP(A356,Orders!A:A,Orders!B:B,"not found")</f>
        <v>ERNSH</v>
      </c>
      <c r="G356" s="13">
        <f>_xlfn.XLOOKUP(OrderDetails[[#This Row],[OrderID]],Orders!A:A,Orders!C:C,"Not Found")</f>
        <v>35412</v>
      </c>
      <c r="H356" s="16">
        <f>(OrderDetails[[#This Row],[UnitPrice]]*OrderDetails[[#This Row],[Quantity]])*(1-OrderDetails[[#This Row],[Discount]])</f>
        <v>1386</v>
      </c>
      <c r="I356" s="15" t="str">
        <f>_xlfn.XLOOKUP(OrderDetails[[#This Row],[ProductID]],Product!A:A,Product!G:G,"Not Found")</f>
        <v>Meat/Poultry</v>
      </c>
      <c r="J356" s="15" t="str">
        <f>LOOKUP(MONTH(G356),{1,4,7,10},{"Winter","Spring","Summer","Autumn"})</f>
        <v>Autumn</v>
      </c>
      <c r="K356" s="15" t="str">
        <f>_xlfn.XLOOKUP(OrderDetails[[#This Row],[ProductID]],Product!A:A,Product!B:B,"Not Found")</f>
        <v>Thüringer Rostbratwurst</v>
      </c>
    </row>
    <row r="357" spans="1:11">
      <c r="A357" s="2">
        <v>10382</v>
      </c>
      <c r="B357" s="2">
        <v>33</v>
      </c>
      <c r="C357" s="2">
        <v>2</v>
      </c>
      <c r="D357" s="2">
        <v>60</v>
      </c>
      <c r="E357" s="4">
        <v>0</v>
      </c>
      <c r="F357" s="1" t="str">
        <f>_xlfn.XLOOKUP(A357,Orders!A:A,Orders!B:B,"not found")</f>
        <v>ERNSH</v>
      </c>
      <c r="G357" s="13">
        <f>_xlfn.XLOOKUP(OrderDetails[[#This Row],[OrderID]],Orders!A:A,Orders!C:C,"Not Found")</f>
        <v>35412</v>
      </c>
      <c r="H357" s="16">
        <f>(OrderDetails[[#This Row],[UnitPrice]]*OrderDetails[[#This Row],[Quantity]])*(1-OrderDetails[[#This Row],[Discount]])</f>
        <v>120</v>
      </c>
      <c r="I357" s="15" t="str">
        <f>_xlfn.XLOOKUP(OrderDetails[[#This Row],[ProductID]],Product!A:A,Product!G:G,"Not Found")</f>
        <v>Dairy Products</v>
      </c>
      <c r="J357" s="15" t="str">
        <f>LOOKUP(MONTH(G357),{1,4,7,10},{"Winter","Spring","Summer","Autumn"})</f>
        <v>Autumn</v>
      </c>
      <c r="K357" s="15" t="str">
        <f>_xlfn.XLOOKUP(OrderDetails[[#This Row],[ProductID]],Product!A:A,Product!B:B,"Not Found")</f>
        <v>Geitost</v>
      </c>
    </row>
    <row r="358" spans="1:11">
      <c r="A358" s="1">
        <v>10382</v>
      </c>
      <c r="B358" s="1">
        <v>74</v>
      </c>
      <c r="C358" s="1">
        <v>8</v>
      </c>
      <c r="D358" s="1">
        <v>50</v>
      </c>
      <c r="E358" s="3">
        <v>0</v>
      </c>
      <c r="F358" s="1" t="str">
        <f>_xlfn.XLOOKUP(A358,Orders!A:A,Orders!B:B,"not found")</f>
        <v>ERNSH</v>
      </c>
      <c r="G358" s="13">
        <f>_xlfn.XLOOKUP(OrderDetails[[#This Row],[OrderID]],Orders!A:A,Orders!C:C,"Not Found")</f>
        <v>35412</v>
      </c>
      <c r="H358" s="16">
        <f>(OrderDetails[[#This Row],[UnitPrice]]*OrderDetails[[#This Row],[Quantity]])*(1-OrderDetails[[#This Row],[Discount]])</f>
        <v>400</v>
      </c>
      <c r="I358" s="15" t="str">
        <f>_xlfn.XLOOKUP(OrderDetails[[#This Row],[ProductID]],Product!A:A,Product!G:G,"Not Found")</f>
        <v>Produce</v>
      </c>
      <c r="J358" s="15" t="str">
        <f>LOOKUP(MONTH(G358),{1,4,7,10},{"Winter","Spring","Summer","Autumn"})</f>
        <v>Autumn</v>
      </c>
      <c r="K358" s="15" t="str">
        <f>_xlfn.XLOOKUP(OrderDetails[[#This Row],[ProductID]],Product!A:A,Product!B:B,"Not Found")</f>
        <v>Longlife Tofu</v>
      </c>
    </row>
    <row r="359" spans="1:11">
      <c r="A359" s="2">
        <v>10383</v>
      </c>
      <c r="B359" s="2">
        <v>13</v>
      </c>
      <c r="C359" s="2">
        <v>4.8</v>
      </c>
      <c r="D359" s="2">
        <v>20</v>
      </c>
      <c r="E359" s="4">
        <v>0</v>
      </c>
      <c r="F359" s="1" t="str">
        <f>_xlfn.XLOOKUP(A359,Orders!A:A,Orders!B:B,"not found")</f>
        <v>AROUT</v>
      </c>
      <c r="G359" s="13">
        <f>_xlfn.XLOOKUP(OrderDetails[[#This Row],[OrderID]],Orders!A:A,Orders!C:C,"Not Found")</f>
        <v>35415</v>
      </c>
      <c r="H359" s="16">
        <f>(OrderDetails[[#This Row],[UnitPrice]]*OrderDetails[[#This Row],[Quantity]])*(1-OrderDetails[[#This Row],[Discount]])</f>
        <v>96</v>
      </c>
      <c r="I359" s="15" t="str">
        <f>_xlfn.XLOOKUP(OrderDetails[[#This Row],[ProductID]],Product!A:A,Product!G:G,"Not Found")</f>
        <v>Seafood</v>
      </c>
      <c r="J359" s="15" t="str">
        <f>LOOKUP(MONTH(G359),{1,4,7,10},{"Winter","Spring","Summer","Autumn"})</f>
        <v>Autumn</v>
      </c>
      <c r="K359" s="15" t="str">
        <f>_xlfn.XLOOKUP(OrderDetails[[#This Row],[ProductID]],Product!A:A,Product!B:B,"Not Found")</f>
        <v>Konbu</v>
      </c>
    </row>
    <row r="360" spans="1:11">
      <c r="A360" s="1">
        <v>10383</v>
      </c>
      <c r="B360" s="1">
        <v>50</v>
      </c>
      <c r="C360" s="1">
        <v>13</v>
      </c>
      <c r="D360" s="1">
        <v>15</v>
      </c>
      <c r="E360" s="3">
        <v>0</v>
      </c>
      <c r="F360" s="1" t="str">
        <f>_xlfn.XLOOKUP(A360,Orders!A:A,Orders!B:B,"not found")</f>
        <v>AROUT</v>
      </c>
      <c r="G360" s="13">
        <f>_xlfn.XLOOKUP(OrderDetails[[#This Row],[OrderID]],Orders!A:A,Orders!C:C,"Not Found")</f>
        <v>35415</v>
      </c>
      <c r="H360" s="16">
        <f>(OrderDetails[[#This Row],[UnitPrice]]*OrderDetails[[#This Row],[Quantity]])*(1-OrderDetails[[#This Row],[Discount]])</f>
        <v>195</v>
      </c>
      <c r="I360" s="15" t="str">
        <f>_xlfn.XLOOKUP(OrderDetails[[#This Row],[ProductID]],Product!A:A,Product!G:G,"Not Found")</f>
        <v>Confections</v>
      </c>
      <c r="J360" s="15" t="str">
        <f>LOOKUP(MONTH(G360),{1,4,7,10},{"Winter","Spring","Summer","Autumn"})</f>
        <v>Autumn</v>
      </c>
      <c r="K360" s="15" t="str">
        <f>_xlfn.XLOOKUP(OrderDetails[[#This Row],[ProductID]],Product!A:A,Product!B:B,"Not Found")</f>
        <v>Valkoinen suklaa</v>
      </c>
    </row>
    <row r="361" spans="1:11">
      <c r="A361" s="2">
        <v>10383</v>
      </c>
      <c r="B361" s="2">
        <v>56</v>
      </c>
      <c r="C361" s="2">
        <v>30.4</v>
      </c>
      <c r="D361" s="2">
        <v>20</v>
      </c>
      <c r="E361" s="4">
        <v>0</v>
      </c>
      <c r="F361" s="1" t="str">
        <f>_xlfn.XLOOKUP(A361,Orders!A:A,Orders!B:B,"not found")</f>
        <v>AROUT</v>
      </c>
      <c r="G361" s="13">
        <f>_xlfn.XLOOKUP(OrderDetails[[#This Row],[OrderID]],Orders!A:A,Orders!C:C,"Not Found")</f>
        <v>35415</v>
      </c>
      <c r="H361" s="16">
        <f>(OrderDetails[[#This Row],[UnitPrice]]*OrderDetails[[#This Row],[Quantity]])*(1-OrderDetails[[#This Row],[Discount]])</f>
        <v>608</v>
      </c>
      <c r="I361" s="15" t="str">
        <f>_xlfn.XLOOKUP(OrderDetails[[#This Row],[ProductID]],Product!A:A,Product!G:G,"Not Found")</f>
        <v>Grains/Cereals</v>
      </c>
      <c r="J361" s="15" t="str">
        <f>LOOKUP(MONTH(G361),{1,4,7,10},{"Winter","Spring","Summer","Autumn"})</f>
        <v>Autumn</v>
      </c>
      <c r="K361" s="15" t="str">
        <f>_xlfn.XLOOKUP(OrderDetails[[#This Row],[ProductID]],Product!A:A,Product!B:B,"Not Found")</f>
        <v>Gnocchi di nonna Alice</v>
      </c>
    </row>
    <row r="362" spans="1:11">
      <c r="A362" s="1">
        <v>10384</v>
      </c>
      <c r="B362" s="1">
        <v>20</v>
      </c>
      <c r="C362" s="1">
        <v>64.8</v>
      </c>
      <c r="D362" s="1">
        <v>28</v>
      </c>
      <c r="E362" s="3">
        <v>0</v>
      </c>
      <c r="F362" s="1" t="str">
        <f>_xlfn.XLOOKUP(A362,Orders!A:A,Orders!B:B,"not found")</f>
        <v>BERGS</v>
      </c>
      <c r="G362" s="13">
        <f>_xlfn.XLOOKUP(OrderDetails[[#This Row],[OrderID]],Orders!A:A,Orders!C:C,"Not Found")</f>
        <v>35415</v>
      </c>
      <c r="H362" s="16">
        <f>(OrderDetails[[#This Row],[UnitPrice]]*OrderDetails[[#This Row],[Quantity]])*(1-OrderDetails[[#This Row],[Discount]])</f>
        <v>1814.3999999999999</v>
      </c>
      <c r="I362" s="15" t="str">
        <f>_xlfn.XLOOKUP(OrderDetails[[#This Row],[ProductID]],Product!A:A,Product!G:G,"Not Found")</f>
        <v>Confections</v>
      </c>
      <c r="J362" s="15" t="str">
        <f>LOOKUP(MONTH(G362),{1,4,7,10},{"Winter","Spring","Summer","Autumn"})</f>
        <v>Autumn</v>
      </c>
      <c r="K362" s="15" t="str">
        <f>_xlfn.XLOOKUP(OrderDetails[[#This Row],[ProductID]],Product!A:A,Product!B:B,"Not Found")</f>
        <v>Sir Rodney's Marmalade</v>
      </c>
    </row>
    <row r="363" spans="1:11">
      <c r="A363" s="2">
        <v>10384</v>
      </c>
      <c r="B363" s="2">
        <v>60</v>
      </c>
      <c r="C363" s="2">
        <v>27.2</v>
      </c>
      <c r="D363" s="2">
        <v>15</v>
      </c>
      <c r="E363" s="4">
        <v>0</v>
      </c>
      <c r="F363" s="1" t="str">
        <f>_xlfn.XLOOKUP(A363,Orders!A:A,Orders!B:B,"not found")</f>
        <v>BERGS</v>
      </c>
      <c r="G363" s="13">
        <f>_xlfn.XLOOKUP(OrderDetails[[#This Row],[OrderID]],Orders!A:A,Orders!C:C,"Not Found")</f>
        <v>35415</v>
      </c>
      <c r="H363" s="16">
        <f>(OrderDetails[[#This Row],[UnitPrice]]*OrderDetails[[#This Row],[Quantity]])*(1-OrderDetails[[#This Row],[Discount]])</f>
        <v>408</v>
      </c>
      <c r="I363" s="15" t="str">
        <f>_xlfn.XLOOKUP(OrderDetails[[#This Row],[ProductID]],Product!A:A,Product!G:G,"Not Found")</f>
        <v>Dairy Products</v>
      </c>
      <c r="J363" s="15" t="str">
        <f>LOOKUP(MONTH(G363),{1,4,7,10},{"Winter","Spring","Summer","Autumn"})</f>
        <v>Autumn</v>
      </c>
      <c r="K363" s="15" t="str">
        <f>_xlfn.XLOOKUP(OrderDetails[[#This Row],[ProductID]],Product!A:A,Product!B:B,"Not Found")</f>
        <v>Camembert Pierrot</v>
      </c>
    </row>
    <row r="364" spans="1:11">
      <c r="A364" s="1">
        <v>10385</v>
      </c>
      <c r="B364" s="1">
        <v>7</v>
      </c>
      <c r="C364" s="1">
        <v>24</v>
      </c>
      <c r="D364" s="1">
        <v>10</v>
      </c>
      <c r="E364" s="3">
        <v>0.20000000298023224</v>
      </c>
      <c r="F364" s="1" t="str">
        <f>_xlfn.XLOOKUP(A364,Orders!A:A,Orders!B:B,"not found")</f>
        <v>SPLIR</v>
      </c>
      <c r="G364" s="13">
        <f>_xlfn.XLOOKUP(OrderDetails[[#This Row],[OrderID]],Orders!A:A,Orders!C:C,"Not Found")</f>
        <v>35416</v>
      </c>
      <c r="H364" s="16">
        <f>(OrderDetails[[#This Row],[UnitPrice]]*OrderDetails[[#This Row],[Quantity]])*(1-OrderDetails[[#This Row],[Discount]])</f>
        <v>191.99999928474426</v>
      </c>
      <c r="I364" s="15" t="str">
        <f>_xlfn.XLOOKUP(OrderDetails[[#This Row],[ProductID]],Product!A:A,Product!G:G,"Not Found")</f>
        <v>Produce</v>
      </c>
      <c r="J364" s="15" t="str">
        <f>LOOKUP(MONTH(G364),{1,4,7,10},{"Winter","Spring","Summer","Autumn"})</f>
        <v>Autumn</v>
      </c>
      <c r="K364" s="15" t="str">
        <f>_xlfn.XLOOKUP(OrderDetails[[#This Row],[ProductID]],Product!A:A,Product!B:B,"Not Found")</f>
        <v>Uncle Bob's Organic Dried Pears</v>
      </c>
    </row>
    <row r="365" spans="1:11">
      <c r="A365" s="2">
        <v>10385</v>
      </c>
      <c r="B365" s="2">
        <v>60</v>
      </c>
      <c r="C365" s="2">
        <v>27.2</v>
      </c>
      <c r="D365" s="2">
        <v>20</v>
      </c>
      <c r="E365" s="4">
        <v>0.20000000298023224</v>
      </c>
      <c r="F365" s="1" t="str">
        <f>_xlfn.XLOOKUP(A365,Orders!A:A,Orders!B:B,"not found")</f>
        <v>SPLIR</v>
      </c>
      <c r="G365" s="13">
        <f>_xlfn.XLOOKUP(OrderDetails[[#This Row],[OrderID]],Orders!A:A,Orders!C:C,"Not Found")</f>
        <v>35416</v>
      </c>
      <c r="H365" s="16">
        <f>(OrderDetails[[#This Row],[UnitPrice]]*OrderDetails[[#This Row],[Quantity]])*(1-OrderDetails[[#This Row],[Discount]])</f>
        <v>435.19999837875366</v>
      </c>
      <c r="I365" s="15" t="str">
        <f>_xlfn.XLOOKUP(OrderDetails[[#This Row],[ProductID]],Product!A:A,Product!G:G,"Not Found")</f>
        <v>Dairy Products</v>
      </c>
      <c r="J365" s="15" t="str">
        <f>LOOKUP(MONTH(G365),{1,4,7,10},{"Winter","Spring","Summer","Autumn"})</f>
        <v>Autumn</v>
      </c>
      <c r="K365" s="15" t="str">
        <f>_xlfn.XLOOKUP(OrderDetails[[#This Row],[ProductID]],Product!A:A,Product!B:B,"Not Found")</f>
        <v>Camembert Pierrot</v>
      </c>
    </row>
    <row r="366" spans="1:11">
      <c r="A366" s="1">
        <v>10385</v>
      </c>
      <c r="B366" s="1">
        <v>68</v>
      </c>
      <c r="C366" s="1">
        <v>10</v>
      </c>
      <c r="D366" s="1">
        <v>8</v>
      </c>
      <c r="E366" s="3">
        <v>0.20000000298023224</v>
      </c>
      <c r="F366" s="1" t="str">
        <f>_xlfn.XLOOKUP(A366,Orders!A:A,Orders!B:B,"not found")</f>
        <v>SPLIR</v>
      </c>
      <c r="G366" s="13">
        <f>_xlfn.XLOOKUP(OrderDetails[[#This Row],[OrderID]],Orders!A:A,Orders!C:C,"Not Found")</f>
        <v>35416</v>
      </c>
      <c r="H366" s="16">
        <f>(OrderDetails[[#This Row],[UnitPrice]]*OrderDetails[[#This Row],[Quantity]])*(1-OrderDetails[[#This Row],[Discount]])</f>
        <v>63.999999761581421</v>
      </c>
      <c r="I366" s="15" t="str">
        <f>_xlfn.XLOOKUP(OrderDetails[[#This Row],[ProductID]],Product!A:A,Product!G:G,"Not Found")</f>
        <v>Confections</v>
      </c>
      <c r="J366" s="15" t="str">
        <f>LOOKUP(MONTH(G366),{1,4,7,10},{"Winter","Spring","Summer","Autumn"})</f>
        <v>Autumn</v>
      </c>
      <c r="K366" s="15" t="str">
        <f>_xlfn.XLOOKUP(OrderDetails[[#This Row],[ProductID]],Product!A:A,Product!B:B,"Not Found")</f>
        <v>Scottish Longbreads</v>
      </c>
    </row>
    <row r="367" spans="1:11">
      <c r="A367" s="2">
        <v>10386</v>
      </c>
      <c r="B367" s="2">
        <v>24</v>
      </c>
      <c r="C367" s="2">
        <v>3.6</v>
      </c>
      <c r="D367" s="2">
        <v>15</v>
      </c>
      <c r="E367" s="4">
        <v>0</v>
      </c>
      <c r="F367" s="1" t="str">
        <f>_xlfn.XLOOKUP(A367,Orders!A:A,Orders!B:B,"not found")</f>
        <v>FAMIA</v>
      </c>
      <c r="G367" s="13">
        <f>_xlfn.XLOOKUP(OrderDetails[[#This Row],[OrderID]],Orders!A:A,Orders!C:C,"Not Found")</f>
        <v>35417</v>
      </c>
      <c r="H367" s="16">
        <f>(OrderDetails[[#This Row],[UnitPrice]]*OrderDetails[[#This Row],[Quantity]])*(1-OrderDetails[[#This Row],[Discount]])</f>
        <v>54</v>
      </c>
      <c r="I367" s="15" t="str">
        <f>_xlfn.XLOOKUP(OrderDetails[[#This Row],[ProductID]],Product!A:A,Product!G:G,"Not Found")</f>
        <v>Beverages</v>
      </c>
      <c r="J367" s="15" t="str">
        <f>LOOKUP(MONTH(G367),{1,4,7,10},{"Winter","Spring","Summer","Autumn"})</f>
        <v>Autumn</v>
      </c>
      <c r="K367" s="15" t="str">
        <f>_xlfn.XLOOKUP(OrderDetails[[#This Row],[ProductID]],Product!A:A,Product!B:B,"Not Found")</f>
        <v>Guaraná Fantástica</v>
      </c>
    </row>
    <row r="368" spans="1:11">
      <c r="A368" s="1">
        <v>10386</v>
      </c>
      <c r="B368" s="1">
        <v>34</v>
      </c>
      <c r="C368" s="1">
        <v>11.2</v>
      </c>
      <c r="D368" s="1">
        <v>10</v>
      </c>
      <c r="E368" s="3">
        <v>0</v>
      </c>
      <c r="F368" s="1" t="str">
        <f>_xlfn.XLOOKUP(A368,Orders!A:A,Orders!B:B,"not found")</f>
        <v>FAMIA</v>
      </c>
      <c r="G368" s="13">
        <f>_xlfn.XLOOKUP(OrderDetails[[#This Row],[OrderID]],Orders!A:A,Orders!C:C,"Not Found")</f>
        <v>35417</v>
      </c>
      <c r="H368" s="16">
        <f>(OrderDetails[[#This Row],[UnitPrice]]*OrderDetails[[#This Row],[Quantity]])*(1-OrderDetails[[#This Row],[Discount]])</f>
        <v>112</v>
      </c>
      <c r="I368" s="15" t="str">
        <f>_xlfn.XLOOKUP(OrderDetails[[#This Row],[ProductID]],Product!A:A,Product!G:G,"Not Found")</f>
        <v>Beverages</v>
      </c>
      <c r="J368" s="15" t="str">
        <f>LOOKUP(MONTH(G368),{1,4,7,10},{"Winter","Spring","Summer","Autumn"})</f>
        <v>Autumn</v>
      </c>
      <c r="K368" s="15" t="str">
        <f>_xlfn.XLOOKUP(OrderDetails[[#This Row],[ProductID]],Product!A:A,Product!B:B,"Not Found")</f>
        <v>Sasquatch Ale</v>
      </c>
    </row>
    <row r="369" spans="1:11">
      <c r="A369" s="2">
        <v>10387</v>
      </c>
      <c r="B369" s="2">
        <v>24</v>
      </c>
      <c r="C369" s="2">
        <v>3.6</v>
      </c>
      <c r="D369" s="2">
        <v>15</v>
      </c>
      <c r="E369" s="4">
        <v>0</v>
      </c>
      <c r="F369" s="1" t="str">
        <f>_xlfn.XLOOKUP(A369,Orders!A:A,Orders!B:B,"not found")</f>
        <v>SANTG</v>
      </c>
      <c r="G369" s="13">
        <f>_xlfn.XLOOKUP(OrderDetails[[#This Row],[OrderID]],Orders!A:A,Orders!C:C,"Not Found")</f>
        <v>35417</v>
      </c>
      <c r="H369" s="16">
        <f>(OrderDetails[[#This Row],[UnitPrice]]*OrderDetails[[#This Row],[Quantity]])*(1-OrderDetails[[#This Row],[Discount]])</f>
        <v>54</v>
      </c>
      <c r="I369" s="15" t="str">
        <f>_xlfn.XLOOKUP(OrderDetails[[#This Row],[ProductID]],Product!A:A,Product!G:G,"Not Found")</f>
        <v>Beverages</v>
      </c>
      <c r="J369" s="15" t="str">
        <f>LOOKUP(MONTH(G369),{1,4,7,10},{"Winter","Spring","Summer","Autumn"})</f>
        <v>Autumn</v>
      </c>
      <c r="K369" s="15" t="str">
        <f>_xlfn.XLOOKUP(OrderDetails[[#This Row],[ProductID]],Product!A:A,Product!B:B,"Not Found")</f>
        <v>Guaraná Fantástica</v>
      </c>
    </row>
    <row r="370" spans="1:11">
      <c r="A370" s="1">
        <v>10387</v>
      </c>
      <c r="B370" s="1">
        <v>28</v>
      </c>
      <c r="C370" s="1">
        <v>36.4</v>
      </c>
      <c r="D370" s="1">
        <v>6</v>
      </c>
      <c r="E370" s="3">
        <v>0</v>
      </c>
      <c r="F370" s="1" t="str">
        <f>_xlfn.XLOOKUP(A370,Orders!A:A,Orders!B:B,"not found")</f>
        <v>SANTG</v>
      </c>
      <c r="G370" s="13">
        <f>_xlfn.XLOOKUP(OrderDetails[[#This Row],[OrderID]],Orders!A:A,Orders!C:C,"Not Found")</f>
        <v>35417</v>
      </c>
      <c r="H370" s="16">
        <f>(OrderDetails[[#This Row],[UnitPrice]]*OrderDetails[[#This Row],[Quantity]])*(1-OrderDetails[[#This Row],[Discount]])</f>
        <v>218.39999999999998</v>
      </c>
      <c r="I370" s="15" t="str">
        <f>_xlfn.XLOOKUP(OrderDetails[[#This Row],[ProductID]],Product!A:A,Product!G:G,"Not Found")</f>
        <v>Produce</v>
      </c>
      <c r="J370" s="15" t="str">
        <f>LOOKUP(MONTH(G370),{1,4,7,10},{"Winter","Spring","Summer","Autumn"})</f>
        <v>Autumn</v>
      </c>
      <c r="K370" s="15" t="str">
        <f>_xlfn.XLOOKUP(OrderDetails[[#This Row],[ProductID]],Product!A:A,Product!B:B,"Not Found")</f>
        <v>Rössle Sauerkraut</v>
      </c>
    </row>
    <row r="371" spans="1:11">
      <c r="A371" s="2">
        <v>10387</v>
      </c>
      <c r="B371" s="2">
        <v>59</v>
      </c>
      <c r="C371" s="2">
        <v>44</v>
      </c>
      <c r="D371" s="2">
        <v>12</v>
      </c>
      <c r="E371" s="4">
        <v>0</v>
      </c>
      <c r="F371" s="1" t="str">
        <f>_xlfn.XLOOKUP(A371,Orders!A:A,Orders!B:B,"not found")</f>
        <v>SANTG</v>
      </c>
      <c r="G371" s="13">
        <f>_xlfn.XLOOKUP(OrderDetails[[#This Row],[OrderID]],Orders!A:A,Orders!C:C,"Not Found")</f>
        <v>35417</v>
      </c>
      <c r="H371" s="16">
        <f>(OrderDetails[[#This Row],[UnitPrice]]*OrderDetails[[#This Row],[Quantity]])*(1-OrderDetails[[#This Row],[Discount]])</f>
        <v>528</v>
      </c>
      <c r="I371" s="15" t="str">
        <f>_xlfn.XLOOKUP(OrderDetails[[#This Row],[ProductID]],Product!A:A,Product!G:G,"Not Found")</f>
        <v>Dairy Products</v>
      </c>
      <c r="J371" s="15" t="str">
        <f>LOOKUP(MONTH(G371),{1,4,7,10},{"Winter","Spring","Summer","Autumn"})</f>
        <v>Autumn</v>
      </c>
      <c r="K371" s="15" t="str">
        <f>_xlfn.XLOOKUP(OrderDetails[[#This Row],[ProductID]],Product!A:A,Product!B:B,"Not Found")</f>
        <v>Raclette Courdavault</v>
      </c>
    </row>
    <row r="372" spans="1:11">
      <c r="A372" s="1">
        <v>10387</v>
      </c>
      <c r="B372" s="1">
        <v>71</v>
      </c>
      <c r="C372" s="1">
        <v>17.2</v>
      </c>
      <c r="D372" s="1">
        <v>15</v>
      </c>
      <c r="E372" s="3">
        <v>0</v>
      </c>
      <c r="F372" s="1" t="str">
        <f>_xlfn.XLOOKUP(A372,Orders!A:A,Orders!B:B,"not found")</f>
        <v>SANTG</v>
      </c>
      <c r="G372" s="13">
        <f>_xlfn.XLOOKUP(OrderDetails[[#This Row],[OrderID]],Orders!A:A,Orders!C:C,"Not Found")</f>
        <v>35417</v>
      </c>
      <c r="H372" s="16">
        <f>(OrderDetails[[#This Row],[UnitPrice]]*OrderDetails[[#This Row],[Quantity]])*(1-OrderDetails[[#This Row],[Discount]])</f>
        <v>258</v>
      </c>
      <c r="I372" s="15" t="str">
        <f>_xlfn.XLOOKUP(OrderDetails[[#This Row],[ProductID]],Product!A:A,Product!G:G,"Not Found")</f>
        <v>Dairy Products</v>
      </c>
      <c r="J372" s="15" t="str">
        <f>LOOKUP(MONTH(G372),{1,4,7,10},{"Winter","Spring","Summer","Autumn"})</f>
        <v>Autumn</v>
      </c>
      <c r="K372" s="15" t="str">
        <f>_xlfn.XLOOKUP(OrderDetails[[#This Row],[ProductID]],Product!A:A,Product!B:B,"Not Found")</f>
        <v>Flotemysost</v>
      </c>
    </row>
    <row r="373" spans="1:11">
      <c r="A373" s="2">
        <v>10388</v>
      </c>
      <c r="B373" s="2">
        <v>45</v>
      </c>
      <c r="C373" s="2">
        <v>7.6</v>
      </c>
      <c r="D373" s="2">
        <v>15</v>
      </c>
      <c r="E373" s="4">
        <v>0.20000000298023224</v>
      </c>
      <c r="F373" s="1" t="str">
        <f>_xlfn.XLOOKUP(A373,Orders!A:A,Orders!B:B,"not found")</f>
        <v>SEVES</v>
      </c>
      <c r="G373" s="13">
        <f>_xlfn.XLOOKUP(OrderDetails[[#This Row],[OrderID]],Orders!A:A,Orders!C:C,"Not Found")</f>
        <v>35418</v>
      </c>
      <c r="H373" s="16">
        <f>(OrderDetails[[#This Row],[UnitPrice]]*OrderDetails[[#This Row],[Quantity]])*(1-OrderDetails[[#This Row],[Discount]])</f>
        <v>91.199999660253525</v>
      </c>
      <c r="I373" s="15" t="str">
        <f>_xlfn.XLOOKUP(OrderDetails[[#This Row],[ProductID]],Product!A:A,Product!G:G,"Not Found")</f>
        <v>Seafood</v>
      </c>
      <c r="J373" s="15" t="str">
        <f>LOOKUP(MONTH(G373),{1,4,7,10},{"Winter","Spring","Summer","Autumn"})</f>
        <v>Autumn</v>
      </c>
      <c r="K373" s="15" t="str">
        <f>_xlfn.XLOOKUP(OrderDetails[[#This Row],[ProductID]],Product!A:A,Product!B:B,"Not Found")</f>
        <v>Rogede sild</v>
      </c>
    </row>
    <row r="374" spans="1:11">
      <c r="A374" s="1">
        <v>10388</v>
      </c>
      <c r="B374" s="1">
        <v>52</v>
      </c>
      <c r="C374" s="1">
        <v>5.6</v>
      </c>
      <c r="D374" s="1">
        <v>20</v>
      </c>
      <c r="E374" s="3">
        <v>0.20000000298023224</v>
      </c>
      <c r="F374" s="1" t="str">
        <f>_xlfn.XLOOKUP(A374,Orders!A:A,Orders!B:B,"not found")</f>
        <v>SEVES</v>
      </c>
      <c r="G374" s="13">
        <f>_xlfn.XLOOKUP(OrderDetails[[#This Row],[OrderID]],Orders!A:A,Orders!C:C,"Not Found")</f>
        <v>35418</v>
      </c>
      <c r="H374" s="16">
        <f>(OrderDetails[[#This Row],[UnitPrice]]*OrderDetails[[#This Row],[Quantity]])*(1-OrderDetails[[#This Row],[Discount]])</f>
        <v>89.599999666213989</v>
      </c>
      <c r="I374" s="15" t="str">
        <f>_xlfn.XLOOKUP(OrderDetails[[#This Row],[ProductID]],Product!A:A,Product!G:G,"Not Found")</f>
        <v>Grains/Cereals</v>
      </c>
      <c r="J374" s="15" t="str">
        <f>LOOKUP(MONTH(G374),{1,4,7,10},{"Winter","Spring","Summer","Autumn"})</f>
        <v>Autumn</v>
      </c>
      <c r="K374" s="15" t="str">
        <f>_xlfn.XLOOKUP(OrderDetails[[#This Row],[ProductID]],Product!A:A,Product!B:B,"Not Found")</f>
        <v>Filo Mix</v>
      </c>
    </row>
    <row r="375" spans="1:11">
      <c r="A375" s="2">
        <v>10388</v>
      </c>
      <c r="B375" s="2">
        <v>53</v>
      </c>
      <c r="C375" s="2">
        <v>26.2</v>
      </c>
      <c r="D375" s="2">
        <v>40</v>
      </c>
      <c r="E375" s="4">
        <v>0</v>
      </c>
      <c r="F375" s="1" t="str">
        <f>_xlfn.XLOOKUP(A375,Orders!A:A,Orders!B:B,"not found")</f>
        <v>SEVES</v>
      </c>
      <c r="G375" s="13">
        <f>_xlfn.XLOOKUP(OrderDetails[[#This Row],[OrderID]],Orders!A:A,Orders!C:C,"Not Found")</f>
        <v>35418</v>
      </c>
      <c r="H375" s="16">
        <f>(OrderDetails[[#This Row],[UnitPrice]]*OrderDetails[[#This Row],[Quantity]])*(1-OrderDetails[[#This Row],[Discount]])</f>
        <v>1048</v>
      </c>
      <c r="I375" s="15" t="str">
        <f>_xlfn.XLOOKUP(OrderDetails[[#This Row],[ProductID]],Product!A:A,Product!G:G,"Not Found")</f>
        <v>Meat/Poultry</v>
      </c>
      <c r="J375" s="15" t="str">
        <f>LOOKUP(MONTH(G375),{1,4,7,10},{"Winter","Spring","Summer","Autumn"})</f>
        <v>Autumn</v>
      </c>
      <c r="K375" s="15" t="str">
        <f>_xlfn.XLOOKUP(OrderDetails[[#This Row],[ProductID]],Product!A:A,Product!B:B,"Not Found")</f>
        <v>Perth Pasties</v>
      </c>
    </row>
    <row r="376" spans="1:11">
      <c r="A376" s="1">
        <v>10389</v>
      </c>
      <c r="B376" s="1">
        <v>10</v>
      </c>
      <c r="C376" s="1">
        <v>24.8</v>
      </c>
      <c r="D376" s="1">
        <v>16</v>
      </c>
      <c r="E376" s="3">
        <v>0</v>
      </c>
      <c r="F376" s="1" t="str">
        <f>_xlfn.XLOOKUP(A376,Orders!A:A,Orders!B:B,"not found")</f>
        <v>BOTTM</v>
      </c>
      <c r="G376" s="13">
        <f>_xlfn.XLOOKUP(OrderDetails[[#This Row],[OrderID]],Orders!A:A,Orders!C:C,"Not Found")</f>
        <v>35419</v>
      </c>
      <c r="H376" s="16">
        <f>(OrderDetails[[#This Row],[UnitPrice]]*OrderDetails[[#This Row],[Quantity]])*(1-OrderDetails[[#This Row],[Discount]])</f>
        <v>396.8</v>
      </c>
      <c r="I376" s="15" t="str">
        <f>_xlfn.XLOOKUP(OrderDetails[[#This Row],[ProductID]],Product!A:A,Product!G:G,"Not Found")</f>
        <v>Seafood</v>
      </c>
      <c r="J376" s="15" t="str">
        <f>LOOKUP(MONTH(G376),{1,4,7,10},{"Winter","Spring","Summer","Autumn"})</f>
        <v>Autumn</v>
      </c>
      <c r="K376" s="15" t="str">
        <f>_xlfn.XLOOKUP(OrderDetails[[#This Row],[ProductID]],Product!A:A,Product!B:B,"Not Found")</f>
        <v>Ikura</v>
      </c>
    </row>
    <row r="377" spans="1:11">
      <c r="A377" s="2">
        <v>10389</v>
      </c>
      <c r="B377" s="2">
        <v>55</v>
      </c>
      <c r="C377" s="2">
        <v>19.2</v>
      </c>
      <c r="D377" s="2">
        <v>15</v>
      </c>
      <c r="E377" s="4">
        <v>0</v>
      </c>
      <c r="F377" s="1" t="str">
        <f>_xlfn.XLOOKUP(A377,Orders!A:A,Orders!B:B,"not found")</f>
        <v>BOTTM</v>
      </c>
      <c r="G377" s="13">
        <f>_xlfn.XLOOKUP(OrderDetails[[#This Row],[OrderID]],Orders!A:A,Orders!C:C,"Not Found")</f>
        <v>35419</v>
      </c>
      <c r="H377" s="16">
        <f>(OrderDetails[[#This Row],[UnitPrice]]*OrderDetails[[#This Row],[Quantity]])*(1-OrderDetails[[#This Row],[Discount]])</f>
        <v>288</v>
      </c>
      <c r="I377" s="15" t="str">
        <f>_xlfn.XLOOKUP(OrderDetails[[#This Row],[ProductID]],Product!A:A,Product!G:G,"Not Found")</f>
        <v>Meat/Poultry</v>
      </c>
      <c r="J377" s="15" t="str">
        <f>LOOKUP(MONTH(G377),{1,4,7,10},{"Winter","Spring","Summer","Autumn"})</f>
        <v>Autumn</v>
      </c>
      <c r="K377" s="15" t="str">
        <f>_xlfn.XLOOKUP(OrderDetails[[#This Row],[ProductID]],Product!A:A,Product!B:B,"Not Found")</f>
        <v>Pâté chinois</v>
      </c>
    </row>
    <row r="378" spans="1:11">
      <c r="A378" s="1">
        <v>10389</v>
      </c>
      <c r="B378" s="1">
        <v>62</v>
      </c>
      <c r="C378" s="1">
        <v>39.4</v>
      </c>
      <c r="D378" s="1">
        <v>20</v>
      </c>
      <c r="E378" s="3">
        <v>0</v>
      </c>
      <c r="F378" s="1" t="str">
        <f>_xlfn.XLOOKUP(A378,Orders!A:A,Orders!B:B,"not found")</f>
        <v>BOTTM</v>
      </c>
      <c r="G378" s="13">
        <f>_xlfn.XLOOKUP(OrderDetails[[#This Row],[OrderID]],Orders!A:A,Orders!C:C,"Not Found")</f>
        <v>35419</v>
      </c>
      <c r="H378" s="16">
        <f>(OrderDetails[[#This Row],[UnitPrice]]*OrderDetails[[#This Row],[Quantity]])*(1-OrderDetails[[#This Row],[Discount]])</f>
        <v>788</v>
      </c>
      <c r="I378" s="15" t="str">
        <f>_xlfn.XLOOKUP(OrderDetails[[#This Row],[ProductID]],Product!A:A,Product!G:G,"Not Found")</f>
        <v>Confections</v>
      </c>
      <c r="J378" s="15" t="str">
        <f>LOOKUP(MONTH(G378),{1,4,7,10},{"Winter","Spring","Summer","Autumn"})</f>
        <v>Autumn</v>
      </c>
      <c r="K378" s="15" t="str">
        <f>_xlfn.XLOOKUP(OrderDetails[[#This Row],[ProductID]],Product!A:A,Product!B:B,"Not Found")</f>
        <v>Tarte au sucre</v>
      </c>
    </row>
    <row r="379" spans="1:11">
      <c r="A379" s="2">
        <v>10389</v>
      </c>
      <c r="B379" s="2">
        <v>70</v>
      </c>
      <c r="C379" s="2">
        <v>12</v>
      </c>
      <c r="D379" s="2">
        <v>30</v>
      </c>
      <c r="E379" s="4">
        <v>0</v>
      </c>
      <c r="F379" s="1" t="str">
        <f>_xlfn.XLOOKUP(A379,Orders!A:A,Orders!B:B,"not found")</f>
        <v>BOTTM</v>
      </c>
      <c r="G379" s="13">
        <f>_xlfn.XLOOKUP(OrderDetails[[#This Row],[OrderID]],Orders!A:A,Orders!C:C,"Not Found")</f>
        <v>35419</v>
      </c>
      <c r="H379" s="16">
        <f>(OrderDetails[[#This Row],[UnitPrice]]*OrderDetails[[#This Row],[Quantity]])*(1-OrderDetails[[#This Row],[Discount]])</f>
        <v>360</v>
      </c>
      <c r="I379" s="15" t="str">
        <f>_xlfn.XLOOKUP(OrderDetails[[#This Row],[ProductID]],Product!A:A,Product!G:G,"Not Found")</f>
        <v>Beverages</v>
      </c>
      <c r="J379" s="15" t="str">
        <f>LOOKUP(MONTH(G379),{1,4,7,10},{"Winter","Spring","Summer","Autumn"})</f>
        <v>Autumn</v>
      </c>
      <c r="K379" s="15" t="str">
        <f>_xlfn.XLOOKUP(OrderDetails[[#This Row],[ProductID]],Product!A:A,Product!B:B,"Not Found")</f>
        <v>Outback Lager</v>
      </c>
    </row>
    <row r="380" spans="1:11">
      <c r="A380" s="1">
        <v>10390</v>
      </c>
      <c r="B380" s="1">
        <v>31</v>
      </c>
      <c r="C380" s="1">
        <v>10</v>
      </c>
      <c r="D380" s="1">
        <v>60</v>
      </c>
      <c r="E380" s="3">
        <v>0.10000000149011612</v>
      </c>
      <c r="F380" s="1" t="str">
        <f>_xlfn.XLOOKUP(A380,Orders!A:A,Orders!B:B,"not found")</f>
        <v>ERNSH</v>
      </c>
      <c r="G380" s="13">
        <f>_xlfn.XLOOKUP(OrderDetails[[#This Row],[OrderID]],Orders!A:A,Orders!C:C,"Not Found")</f>
        <v>35422</v>
      </c>
      <c r="H380" s="16">
        <f>(OrderDetails[[#This Row],[UnitPrice]]*OrderDetails[[#This Row],[Quantity]])*(1-OrderDetails[[#This Row],[Discount]])</f>
        <v>539.99999910593033</v>
      </c>
      <c r="I380" s="15" t="str">
        <f>_xlfn.XLOOKUP(OrderDetails[[#This Row],[ProductID]],Product!A:A,Product!G:G,"Not Found")</f>
        <v>Dairy Products</v>
      </c>
      <c r="J380" s="15" t="str">
        <f>LOOKUP(MONTH(G380),{1,4,7,10},{"Winter","Spring","Summer","Autumn"})</f>
        <v>Autumn</v>
      </c>
      <c r="K380" s="15" t="str">
        <f>_xlfn.XLOOKUP(OrderDetails[[#This Row],[ProductID]],Product!A:A,Product!B:B,"Not Found")</f>
        <v>Gorgonzola Telino</v>
      </c>
    </row>
    <row r="381" spans="1:11">
      <c r="A381" s="2">
        <v>10390</v>
      </c>
      <c r="B381" s="2">
        <v>35</v>
      </c>
      <c r="C381" s="2">
        <v>14.4</v>
      </c>
      <c r="D381" s="2">
        <v>40</v>
      </c>
      <c r="E381" s="4">
        <v>0.10000000149011612</v>
      </c>
      <c r="F381" s="1" t="str">
        <f>_xlfn.XLOOKUP(A381,Orders!A:A,Orders!B:B,"not found")</f>
        <v>ERNSH</v>
      </c>
      <c r="G381" s="13">
        <f>_xlfn.XLOOKUP(OrderDetails[[#This Row],[OrderID]],Orders!A:A,Orders!C:C,"Not Found")</f>
        <v>35422</v>
      </c>
      <c r="H381" s="16">
        <f>(OrderDetails[[#This Row],[UnitPrice]]*OrderDetails[[#This Row],[Quantity]])*(1-OrderDetails[[#This Row],[Discount]])</f>
        <v>518.39999914169312</v>
      </c>
      <c r="I381" s="15" t="str">
        <f>_xlfn.XLOOKUP(OrderDetails[[#This Row],[ProductID]],Product!A:A,Product!G:G,"Not Found")</f>
        <v>Beverages</v>
      </c>
      <c r="J381" s="15" t="str">
        <f>LOOKUP(MONTH(G381),{1,4,7,10},{"Winter","Spring","Summer","Autumn"})</f>
        <v>Autumn</v>
      </c>
      <c r="K381" s="15" t="str">
        <f>_xlfn.XLOOKUP(OrderDetails[[#This Row],[ProductID]],Product!A:A,Product!B:B,"Not Found")</f>
        <v>Steeleye Stout</v>
      </c>
    </row>
    <row r="382" spans="1:11">
      <c r="A382" s="1">
        <v>10390</v>
      </c>
      <c r="B382" s="1">
        <v>46</v>
      </c>
      <c r="C382" s="1">
        <v>9.6</v>
      </c>
      <c r="D382" s="1">
        <v>45</v>
      </c>
      <c r="E382" s="3">
        <v>0</v>
      </c>
      <c r="F382" s="1" t="str">
        <f>_xlfn.XLOOKUP(A382,Orders!A:A,Orders!B:B,"not found")</f>
        <v>ERNSH</v>
      </c>
      <c r="G382" s="13">
        <f>_xlfn.XLOOKUP(OrderDetails[[#This Row],[OrderID]],Orders!A:A,Orders!C:C,"Not Found")</f>
        <v>35422</v>
      </c>
      <c r="H382" s="16">
        <f>(OrderDetails[[#This Row],[UnitPrice]]*OrderDetails[[#This Row],[Quantity]])*(1-OrderDetails[[#This Row],[Discount]])</f>
        <v>432</v>
      </c>
      <c r="I382" s="15" t="str">
        <f>_xlfn.XLOOKUP(OrderDetails[[#This Row],[ProductID]],Product!A:A,Product!G:G,"Not Found")</f>
        <v>Seafood</v>
      </c>
      <c r="J382" s="15" t="str">
        <f>LOOKUP(MONTH(G382),{1,4,7,10},{"Winter","Spring","Summer","Autumn"})</f>
        <v>Autumn</v>
      </c>
      <c r="K382" s="15" t="str">
        <f>_xlfn.XLOOKUP(OrderDetails[[#This Row],[ProductID]],Product!A:A,Product!B:B,"Not Found")</f>
        <v>Spegesild</v>
      </c>
    </row>
    <row r="383" spans="1:11">
      <c r="A383" s="2">
        <v>10390</v>
      </c>
      <c r="B383" s="2">
        <v>72</v>
      </c>
      <c r="C383" s="2">
        <v>27.8</v>
      </c>
      <c r="D383" s="2">
        <v>24</v>
      </c>
      <c r="E383" s="4">
        <v>0.10000000149011612</v>
      </c>
      <c r="F383" s="1" t="str">
        <f>_xlfn.XLOOKUP(A383,Orders!A:A,Orders!B:B,"not found")</f>
        <v>ERNSH</v>
      </c>
      <c r="G383" s="13">
        <f>_xlfn.XLOOKUP(OrderDetails[[#This Row],[OrderID]],Orders!A:A,Orders!C:C,"Not Found")</f>
        <v>35422</v>
      </c>
      <c r="H383" s="16">
        <f>(OrderDetails[[#This Row],[UnitPrice]]*OrderDetails[[#This Row],[Quantity]])*(1-OrderDetails[[#This Row],[Discount]])</f>
        <v>600.47999900579453</v>
      </c>
      <c r="I383" s="15" t="str">
        <f>_xlfn.XLOOKUP(OrderDetails[[#This Row],[ProductID]],Product!A:A,Product!G:G,"Not Found")</f>
        <v>Dairy Products</v>
      </c>
      <c r="J383" s="15" t="str">
        <f>LOOKUP(MONTH(G383),{1,4,7,10},{"Winter","Spring","Summer","Autumn"})</f>
        <v>Autumn</v>
      </c>
      <c r="K383" s="15" t="str">
        <f>_xlfn.XLOOKUP(OrderDetails[[#This Row],[ProductID]],Product!A:A,Product!B:B,"Not Found")</f>
        <v>Mozzarella di Giovanni</v>
      </c>
    </row>
    <row r="384" spans="1:11">
      <c r="A384" s="1">
        <v>10391</v>
      </c>
      <c r="B384" s="1">
        <v>13</v>
      </c>
      <c r="C384" s="1">
        <v>4.8</v>
      </c>
      <c r="D384" s="1">
        <v>18</v>
      </c>
      <c r="E384" s="3">
        <v>0</v>
      </c>
      <c r="F384" s="1" t="str">
        <f>_xlfn.XLOOKUP(A384,Orders!A:A,Orders!B:B,"not found")</f>
        <v>DRACD</v>
      </c>
      <c r="G384" s="13">
        <f>_xlfn.XLOOKUP(OrderDetails[[#This Row],[OrderID]],Orders!A:A,Orders!C:C,"Not Found")</f>
        <v>35422</v>
      </c>
      <c r="H384" s="16">
        <f>(OrderDetails[[#This Row],[UnitPrice]]*OrderDetails[[#This Row],[Quantity]])*(1-OrderDetails[[#This Row],[Discount]])</f>
        <v>86.399999999999991</v>
      </c>
      <c r="I384" s="15" t="str">
        <f>_xlfn.XLOOKUP(OrderDetails[[#This Row],[ProductID]],Product!A:A,Product!G:G,"Not Found")</f>
        <v>Seafood</v>
      </c>
      <c r="J384" s="15" t="str">
        <f>LOOKUP(MONTH(G384),{1,4,7,10},{"Winter","Spring","Summer","Autumn"})</f>
        <v>Autumn</v>
      </c>
      <c r="K384" s="15" t="str">
        <f>_xlfn.XLOOKUP(OrderDetails[[#This Row],[ProductID]],Product!A:A,Product!B:B,"Not Found")</f>
        <v>Konbu</v>
      </c>
    </row>
    <row r="385" spans="1:11">
      <c r="A385" s="2">
        <v>10392</v>
      </c>
      <c r="B385" s="2">
        <v>69</v>
      </c>
      <c r="C385" s="2">
        <v>28.8</v>
      </c>
      <c r="D385" s="2">
        <v>50</v>
      </c>
      <c r="E385" s="4">
        <v>0</v>
      </c>
      <c r="F385" s="1" t="str">
        <f>_xlfn.XLOOKUP(A385,Orders!A:A,Orders!B:B,"not found")</f>
        <v>PICCO</v>
      </c>
      <c r="G385" s="13">
        <f>_xlfn.XLOOKUP(OrderDetails[[#This Row],[OrderID]],Orders!A:A,Orders!C:C,"Not Found")</f>
        <v>35423</v>
      </c>
      <c r="H385" s="16">
        <f>(OrderDetails[[#This Row],[UnitPrice]]*OrderDetails[[#This Row],[Quantity]])*(1-OrderDetails[[#This Row],[Discount]])</f>
        <v>1440</v>
      </c>
      <c r="I385" s="15" t="str">
        <f>_xlfn.XLOOKUP(OrderDetails[[#This Row],[ProductID]],Product!A:A,Product!G:G,"Not Found")</f>
        <v>Dairy Products</v>
      </c>
      <c r="J385" s="15" t="str">
        <f>LOOKUP(MONTH(G385),{1,4,7,10},{"Winter","Spring","Summer","Autumn"})</f>
        <v>Autumn</v>
      </c>
      <c r="K385" s="15" t="str">
        <f>_xlfn.XLOOKUP(OrderDetails[[#This Row],[ProductID]],Product!A:A,Product!B:B,"Not Found")</f>
        <v>Gudbrandsdalsost</v>
      </c>
    </row>
    <row r="386" spans="1:11">
      <c r="A386" s="1">
        <v>10393</v>
      </c>
      <c r="B386" s="1">
        <v>2</v>
      </c>
      <c r="C386" s="1">
        <v>15.2</v>
      </c>
      <c r="D386" s="1">
        <v>25</v>
      </c>
      <c r="E386" s="3">
        <v>0.25</v>
      </c>
      <c r="F386" s="1" t="str">
        <f>_xlfn.XLOOKUP(A386,Orders!A:A,Orders!B:B,"not found")</f>
        <v>SAVEA</v>
      </c>
      <c r="G386" s="13">
        <f>_xlfn.XLOOKUP(OrderDetails[[#This Row],[OrderID]],Orders!A:A,Orders!C:C,"Not Found")</f>
        <v>35424</v>
      </c>
      <c r="H386" s="16">
        <f>(OrderDetails[[#This Row],[UnitPrice]]*OrderDetails[[#This Row],[Quantity]])*(1-OrderDetails[[#This Row],[Discount]])</f>
        <v>285</v>
      </c>
      <c r="I386" s="15" t="str">
        <f>_xlfn.XLOOKUP(OrderDetails[[#This Row],[ProductID]],Product!A:A,Product!G:G,"Not Found")</f>
        <v>Beverages</v>
      </c>
      <c r="J386" s="15" t="str">
        <f>LOOKUP(MONTH(G386),{1,4,7,10},{"Winter","Spring","Summer","Autumn"})</f>
        <v>Autumn</v>
      </c>
      <c r="K386" s="15" t="str">
        <f>_xlfn.XLOOKUP(OrderDetails[[#This Row],[ProductID]],Product!A:A,Product!B:B,"Not Found")</f>
        <v>Chang</v>
      </c>
    </row>
    <row r="387" spans="1:11">
      <c r="A387" s="2">
        <v>10393</v>
      </c>
      <c r="B387" s="2">
        <v>14</v>
      </c>
      <c r="C387" s="2">
        <v>18.600000000000001</v>
      </c>
      <c r="D387" s="2">
        <v>42</v>
      </c>
      <c r="E387" s="4">
        <v>0.25</v>
      </c>
      <c r="F387" s="1" t="str">
        <f>_xlfn.XLOOKUP(A387,Orders!A:A,Orders!B:B,"not found")</f>
        <v>SAVEA</v>
      </c>
      <c r="G387" s="13">
        <f>_xlfn.XLOOKUP(OrderDetails[[#This Row],[OrderID]],Orders!A:A,Orders!C:C,"Not Found")</f>
        <v>35424</v>
      </c>
      <c r="H387" s="16">
        <f>(OrderDetails[[#This Row],[UnitPrice]]*OrderDetails[[#This Row],[Quantity]])*(1-OrderDetails[[#This Row],[Discount]])</f>
        <v>585.90000000000009</v>
      </c>
      <c r="I387" s="15" t="str">
        <f>_xlfn.XLOOKUP(OrderDetails[[#This Row],[ProductID]],Product!A:A,Product!G:G,"Not Found")</f>
        <v>Produce</v>
      </c>
      <c r="J387" s="15" t="str">
        <f>LOOKUP(MONTH(G387),{1,4,7,10},{"Winter","Spring","Summer","Autumn"})</f>
        <v>Autumn</v>
      </c>
      <c r="K387" s="15" t="str">
        <f>_xlfn.XLOOKUP(OrderDetails[[#This Row],[ProductID]],Product!A:A,Product!B:B,"Not Found")</f>
        <v>Tofu</v>
      </c>
    </row>
    <row r="388" spans="1:11">
      <c r="A388" s="1">
        <v>10393</v>
      </c>
      <c r="B388" s="1">
        <v>25</v>
      </c>
      <c r="C388" s="1">
        <v>11.2</v>
      </c>
      <c r="D388" s="1">
        <v>7</v>
      </c>
      <c r="E388" s="3">
        <v>0.25</v>
      </c>
      <c r="F388" s="1" t="str">
        <f>_xlfn.XLOOKUP(A388,Orders!A:A,Orders!B:B,"not found")</f>
        <v>SAVEA</v>
      </c>
      <c r="G388" s="13">
        <f>_xlfn.XLOOKUP(OrderDetails[[#This Row],[OrderID]],Orders!A:A,Orders!C:C,"Not Found")</f>
        <v>35424</v>
      </c>
      <c r="H388" s="16">
        <f>(OrderDetails[[#This Row],[UnitPrice]]*OrderDetails[[#This Row],[Quantity]])*(1-OrderDetails[[#This Row],[Discount]])</f>
        <v>58.8</v>
      </c>
      <c r="I388" s="15" t="str">
        <f>_xlfn.XLOOKUP(OrderDetails[[#This Row],[ProductID]],Product!A:A,Product!G:G,"Not Found")</f>
        <v>Confections</v>
      </c>
      <c r="J388" s="15" t="str">
        <f>LOOKUP(MONTH(G388),{1,4,7,10},{"Winter","Spring","Summer","Autumn"})</f>
        <v>Autumn</v>
      </c>
      <c r="K388" s="15" t="str">
        <f>_xlfn.XLOOKUP(OrderDetails[[#This Row],[ProductID]],Product!A:A,Product!B:B,"Not Found")</f>
        <v>NuNuCa Nuß-Nougat-Creme</v>
      </c>
    </row>
    <row r="389" spans="1:11">
      <c r="A389" s="2">
        <v>10393</v>
      </c>
      <c r="B389" s="2">
        <v>26</v>
      </c>
      <c r="C389" s="2">
        <v>24.9</v>
      </c>
      <c r="D389" s="2">
        <v>70</v>
      </c>
      <c r="E389" s="4">
        <v>0.25</v>
      </c>
      <c r="F389" s="1" t="str">
        <f>_xlfn.XLOOKUP(A389,Orders!A:A,Orders!B:B,"not found")</f>
        <v>SAVEA</v>
      </c>
      <c r="G389" s="13">
        <f>_xlfn.XLOOKUP(OrderDetails[[#This Row],[OrderID]],Orders!A:A,Orders!C:C,"Not Found")</f>
        <v>35424</v>
      </c>
      <c r="H389" s="16">
        <f>(OrderDetails[[#This Row],[UnitPrice]]*OrderDetails[[#This Row],[Quantity]])*(1-OrderDetails[[#This Row],[Discount]])</f>
        <v>1307.25</v>
      </c>
      <c r="I389" s="15" t="str">
        <f>_xlfn.XLOOKUP(OrderDetails[[#This Row],[ProductID]],Product!A:A,Product!G:G,"Not Found")</f>
        <v>Confections</v>
      </c>
      <c r="J389" s="15" t="str">
        <f>LOOKUP(MONTH(G389),{1,4,7,10},{"Winter","Spring","Summer","Autumn"})</f>
        <v>Autumn</v>
      </c>
      <c r="K389" s="15" t="str">
        <f>_xlfn.XLOOKUP(OrderDetails[[#This Row],[ProductID]],Product!A:A,Product!B:B,"Not Found")</f>
        <v>Gumbär Gummibärchen</v>
      </c>
    </row>
    <row r="390" spans="1:11">
      <c r="A390" s="1">
        <v>10393</v>
      </c>
      <c r="B390" s="1">
        <v>31</v>
      </c>
      <c r="C390" s="1">
        <v>10</v>
      </c>
      <c r="D390" s="1">
        <v>32</v>
      </c>
      <c r="E390" s="3">
        <v>0</v>
      </c>
      <c r="F390" s="1" t="str">
        <f>_xlfn.XLOOKUP(A390,Orders!A:A,Orders!B:B,"not found")</f>
        <v>SAVEA</v>
      </c>
      <c r="G390" s="13">
        <f>_xlfn.XLOOKUP(OrderDetails[[#This Row],[OrderID]],Orders!A:A,Orders!C:C,"Not Found")</f>
        <v>35424</v>
      </c>
      <c r="H390" s="16">
        <f>(OrderDetails[[#This Row],[UnitPrice]]*OrderDetails[[#This Row],[Quantity]])*(1-OrderDetails[[#This Row],[Discount]])</f>
        <v>320</v>
      </c>
      <c r="I390" s="15" t="str">
        <f>_xlfn.XLOOKUP(OrderDetails[[#This Row],[ProductID]],Product!A:A,Product!G:G,"Not Found")</f>
        <v>Dairy Products</v>
      </c>
      <c r="J390" s="15" t="str">
        <f>LOOKUP(MONTH(G390),{1,4,7,10},{"Winter","Spring","Summer","Autumn"})</f>
        <v>Autumn</v>
      </c>
      <c r="K390" s="15" t="str">
        <f>_xlfn.XLOOKUP(OrderDetails[[#This Row],[ProductID]],Product!A:A,Product!B:B,"Not Found")</f>
        <v>Gorgonzola Telino</v>
      </c>
    </row>
    <row r="391" spans="1:11">
      <c r="A391" s="2">
        <v>10394</v>
      </c>
      <c r="B391" s="2">
        <v>13</v>
      </c>
      <c r="C391" s="2">
        <v>4.8</v>
      </c>
      <c r="D391" s="2">
        <v>10</v>
      </c>
      <c r="E391" s="4">
        <v>0</v>
      </c>
      <c r="F391" s="1" t="str">
        <f>_xlfn.XLOOKUP(A391,Orders!A:A,Orders!B:B,"not found")</f>
        <v>HUNGC</v>
      </c>
      <c r="G391" s="13">
        <f>_xlfn.XLOOKUP(OrderDetails[[#This Row],[OrderID]],Orders!A:A,Orders!C:C,"Not Found")</f>
        <v>35424</v>
      </c>
      <c r="H391" s="16">
        <f>(OrderDetails[[#This Row],[UnitPrice]]*OrderDetails[[#This Row],[Quantity]])*(1-OrderDetails[[#This Row],[Discount]])</f>
        <v>48</v>
      </c>
      <c r="I391" s="15" t="str">
        <f>_xlfn.XLOOKUP(OrderDetails[[#This Row],[ProductID]],Product!A:A,Product!G:G,"Not Found")</f>
        <v>Seafood</v>
      </c>
      <c r="J391" s="15" t="str">
        <f>LOOKUP(MONTH(G391),{1,4,7,10},{"Winter","Spring","Summer","Autumn"})</f>
        <v>Autumn</v>
      </c>
      <c r="K391" s="15" t="str">
        <f>_xlfn.XLOOKUP(OrderDetails[[#This Row],[ProductID]],Product!A:A,Product!B:B,"Not Found")</f>
        <v>Konbu</v>
      </c>
    </row>
    <row r="392" spans="1:11">
      <c r="A392" s="1">
        <v>10394</v>
      </c>
      <c r="B392" s="1">
        <v>62</v>
      </c>
      <c r="C392" s="1">
        <v>39.4</v>
      </c>
      <c r="D392" s="1">
        <v>10</v>
      </c>
      <c r="E392" s="3">
        <v>0</v>
      </c>
      <c r="F392" s="1" t="str">
        <f>_xlfn.XLOOKUP(A392,Orders!A:A,Orders!B:B,"not found")</f>
        <v>HUNGC</v>
      </c>
      <c r="G392" s="13">
        <f>_xlfn.XLOOKUP(OrderDetails[[#This Row],[OrderID]],Orders!A:A,Orders!C:C,"Not Found")</f>
        <v>35424</v>
      </c>
      <c r="H392" s="16">
        <f>(OrderDetails[[#This Row],[UnitPrice]]*OrderDetails[[#This Row],[Quantity]])*(1-OrderDetails[[#This Row],[Discount]])</f>
        <v>394</v>
      </c>
      <c r="I392" s="15" t="str">
        <f>_xlfn.XLOOKUP(OrderDetails[[#This Row],[ProductID]],Product!A:A,Product!G:G,"Not Found")</f>
        <v>Confections</v>
      </c>
      <c r="J392" s="15" t="str">
        <f>LOOKUP(MONTH(G392),{1,4,7,10},{"Winter","Spring","Summer","Autumn"})</f>
        <v>Autumn</v>
      </c>
      <c r="K392" s="15" t="str">
        <f>_xlfn.XLOOKUP(OrderDetails[[#This Row],[ProductID]],Product!A:A,Product!B:B,"Not Found")</f>
        <v>Tarte au sucre</v>
      </c>
    </row>
    <row r="393" spans="1:11">
      <c r="A393" s="2">
        <v>10395</v>
      </c>
      <c r="B393" s="2">
        <v>46</v>
      </c>
      <c r="C393" s="2">
        <v>9.6</v>
      </c>
      <c r="D393" s="2">
        <v>28</v>
      </c>
      <c r="E393" s="4">
        <v>0.10000000149011612</v>
      </c>
      <c r="F393" s="1" t="str">
        <f>_xlfn.XLOOKUP(A393,Orders!A:A,Orders!B:B,"not found")</f>
        <v>HILAA</v>
      </c>
      <c r="G393" s="13">
        <f>_xlfn.XLOOKUP(OrderDetails[[#This Row],[OrderID]],Orders!A:A,Orders!C:C,"Not Found")</f>
        <v>35425</v>
      </c>
      <c r="H393" s="16">
        <f>(OrderDetails[[#This Row],[UnitPrice]]*OrderDetails[[#This Row],[Quantity]])*(1-OrderDetails[[#This Row],[Discount]])</f>
        <v>241.91999959945679</v>
      </c>
      <c r="I393" s="15" t="str">
        <f>_xlfn.XLOOKUP(OrderDetails[[#This Row],[ProductID]],Product!A:A,Product!G:G,"Not Found")</f>
        <v>Seafood</v>
      </c>
      <c r="J393" s="15" t="str">
        <f>LOOKUP(MONTH(G393),{1,4,7,10},{"Winter","Spring","Summer","Autumn"})</f>
        <v>Autumn</v>
      </c>
      <c r="K393" s="15" t="str">
        <f>_xlfn.XLOOKUP(OrderDetails[[#This Row],[ProductID]],Product!A:A,Product!B:B,"Not Found")</f>
        <v>Spegesild</v>
      </c>
    </row>
    <row r="394" spans="1:11">
      <c r="A394" s="1">
        <v>10395</v>
      </c>
      <c r="B394" s="1">
        <v>53</v>
      </c>
      <c r="C394" s="1">
        <v>26.2</v>
      </c>
      <c r="D394" s="1">
        <v>70</v>
      </c>
      <c r="E394" s="3">
        <v>0.10000000149011612</v>
      </c>
      <c r="F394" s="1" t="str">
        <f>_xlfn.XLOOKUP(A394,Orders!A:A,Orders!B:B,"not found")</f>
        <v>HILAA</v>
      </c>
      <c r="G394" s="13">
        <f>_xlfn.XLOOKUP(OrderDetails[[#This Row],[OrderID]],Orders!A:A,Orders!C:C,"Not Found")</f>
        <v>35425</v>
      </c>
      <c r="H394" s="16">
        <f>(OrderDetails[[#This Row],[UnitPrice]]*OrderDetails[[#This Row],[Quantity]])*(1-OrderDetails[[#This Row],[Discount]])</f>
        <v>1650.599997267127</v>
      </c>
      <c r="I394" s="15" t="str">
        <f>_xlfn.XLOOKUP(OrderDetails[[#This Row],[ProductID]],Product!A:A,Product!G:G,"Not Found")</f>
        <v>Meat/Poultry</v>
      </c>
      <c r="J394" s="15" t="str">
        <f>LOOKUP(MONTH(G394),{1,4,7,10},{"Winter","Spring","Summer","Autumn"})</f>
        <v>Autumn</v>
      </c>
      <c r="K394" s="15" t="str">
        <f>_xlfn.XLOOKUP(OrderDetails[[#This Row],[ProductID]],Product!A:A,Product!B:B,"Not Found")</f>
        <v>Perth Pasties</v>
      </c>
    </row>
    <row r="395" spans="1:11">
      <c r="A395" s="2">
        <v>10395</v>
      </c>
      <c r="B395" s="2">
        <v>69</v>
      </c>
      <c r="C395" s="2">
        <v>28.8</v>
      </c>
      <c r="D395" s="2">
        <v>8</v>
      </c>
      <c r="E395" s="4">
        <v>0</v>
      </c>
      <c r="F395" s="1" t="str">
        <f>_xlfn.XLOOKUP(A395,Orders!A:A,Orders!B:B,"not found")</f>
        <v>HILAA</v>
      </c>
      <c r="G395" s="13">
        <f>_xlfn.XLOOKUP(OrderDetails[[#This Row],[OrderID]],Orders!A:A,Orders!C:C,"Not Found")</f>
        <v>35425</v>
      </c>
      <c r="H395" s="16">
        <f>(OrderDetails[[#This Row],[UnitPrice]]*OrderDetails[[#This Row],[Quantity]])*(1-OrderDetails[[#This Row],[Discount]])</f>
        <v>230.4</v>
      </c>
      <c r="I395" s="15" t="str">
        <f>_xlfn.XLOOKUP(OrderDetails[[#This Row],[ProductID]],Product!A:A,Product!G:G,"Not Found")</f>
        <v>Dairy Products</v>
      </c>
      <c r="J395" s="15" t="str">
        <f>LOOKUP(MONTH(G395),{1,4,7,10},{"Winter","Spring","Summer","Autumn"})</f>
        <v>Autumn</v>
      </c>
      <c r="K395" s="15" t="str">
        <f>_xlfn.XLOOKUP(OrderDetails[[#This Row],[ProductID]],Product!A:A,Product!B:B,"Not Found")</f>
        <v>Gudbrandsdalsost</v>
      </c>
    </row>
    <row r="396" spans="1:11">
      <c r="A396" s="1">
        <v>10396</v>
      </c>
      <c r="B396" s="1">
        <v>23</v>
      </c>
      <c r="C396" s="1">
        <v>7.2</v>
      </c>
      <c r="D396" s="1">
        <v>40</v>
      </c>
      <c r="E396" s="3">
        <v>0</v>
      </c>
      <c r="F396" s="1" t="str">
        <f>_xlfn.XLOOKUP(A396,Orders!A:A,Orders!B:B,"not found")</f>
        <v>FRANK</v>
      </c>
      <c r="G396" s="13">
        <f>_xlfn.XLOOKUP(OrderDetails[[#This Row],[OrderID]],Orders!A:A,Orders!C:C,"Not Found")</f>
        <v>35426</v>
      </c>
      <c r="H396" s="16">
        <f>(OrderDetails[[#This Row],[UnitPrice]]*OrderDetails[[#This Row],[Quantity]])*(1-OrderDetails[[#This Row],[Discount]])</f>
        <v>288</v>
      </c>
      <c r="I396" s="15" t="str">
        <f>_xlfn.XLOOKUP(OrderDetails[[#This Row],[ProductID]],Product!A:A,Product!G:G,"Not Found")</f>
        <v>Grains/Cereals</v>
      </c>
      <c r="J396" s="15" t="str">
        <f>LOOKUP(MONTH(G396),{1,4,7,10},{"Winter","Spring","Summer","Autumn"})</f>
        <v>Autumn</v>
      </c>
      <c r="K396" s="15" t="str">
        <f>_xlfn.XLOOKUP(OrderDetails[[#This Row],[ProductID]],Product!A:A,Product!B:B,"Not Found")</f>
        <v>Tunnbröd</v>
      </c>
    </row>
    <row r="397" spans="1:11">
      <c r="A397" s="2">
        <v>10396</v>
      </c>
      <c r="B397" s="2">
        <v>71</v>
      </c>
      <c r="C397" s="2">
        <v>17.2</v>
      </c>
      <c r="D397" s="2">
        <v>60</v>
      </c>
      <c r="E397" s="4">
        <v>0</v>
      </c>
      <c r="F397" s="1" t="str">
        <f>_xlfn.XLOOKUP(A397,Orders!A:A,Orders!B:B,"not found")</f>
        <v>FRANK</v>
      </c>
      <c r="G397" s="13">
        <f>_xlfn.XLOOKUP(OrderDetails[[#This Row],[OrderID]],Orders!A:A,Orders!C:C,"Not Found")</f>
        <v>35426</v>
      </c>
      <c r="H397" s="16">
        <f>(OrderDetails[[#This Row],[UnitPrice]]*OrderDetails[[#This Row],[Quantity]])*(1-OrderDetails[[#This Row],[Discount]])</f>
        <v>1032</v>
      </c>
      <c r="I397" s="15" t="str">
        <f>_xlfn.XLOOKUP(OrderDetails[[#This Row],[ProductID]],Product!A:A,Product!G:G,"Not Found")</f>
        <v>Dairy Products</v>
      </c>
      <c r="J397" s="15" t="str">
        <f>LOOKUP(MONTH(G397),{1,4,7,10},{"Winter","Spring","Summer","Autumn"})</f>
        <v>Autumn</v>
      </c>
      <c r="K397" s="15" t="str">
        <f>_xlfn.XLOOKUP(OrderDetails[[#This Row],[ProductID]],Product!A:A,Product!B:B,"Not Found")</f>
        <v>Flotemysost</v>
      </c>
    </row>
    <row r="398" spans="1:11">
      <c r="A398" s="1">
        <v>10396</v>
      </c>
      <c r="B398" s="1">
        <v>72</v>
      </c>
      <c r="C398" s="1">
        <v>27.8</v>
      </c>
      <c r="D398" s="1">
        <v>21</v>
      </c>
      <c r="E398" s="3">
        <v>0</v>
      </c>
      <c r="F398" s="1" t="str">
        <f>_xlfn.XLOOKUP(A398,Orders!A:A,Orders!B:B,"not found")</f>
        <v>FRANK</v>
      </c>
      <c r="G398" s="13">
        <f>_xlfn.XLOOKUP(OrderDetails[[#This Row],[OrderID]],Orders!A:A,Orders!C:C,"Not Found")</f>
        <v>35426</v>
      </c>
      <c r="H398" s="16">
        <f>(OrderDetails[[#This Row],[UnitPrice]]*OrderDetails[[#This Row],[Quantity]])*(1-OrderDetails[[#This Row],[Discount]])</f>
        <v>583.80000000000007</v>
      </c>
      <c r="I398" s="15" t="str">
        <f>_xlfn.XLOOKUP(OrderDetails[[#This Row],[ProductID]],Product!A:A,Product!G:G,"Not Found")</f>
        <v>Dairy Products</v>
      </c>
      <c r="J398" s="15" t="str">
        <f>LOOKUP(MONTH(G398),{1,4,7,10},{"Winter","Spring","Summer","Autumn"})</f>
        <v>Autumn</v>
      </c>
      <c r="K398" s="15" t="str">
        <f>_xlfn.XLOOKUP(OrderDetails[[#This Row],[ProductID]],Product!A:A,Product!B:B,"Not Found")</f>
        <v>Mozzarella di Giovanni</v>
      </c>
    </row>
    <row r="399" spans="1:11">
      <c r="A399" s="2">
        <v>10397</v>
      </c>
      <c r="B399" s="2">
        <v>21</v>
      </c>
      <c r="C399" s="2">
        <v>8</v>
      </c>
      <c r="D399" s="2">
        <v>10</v>
      </c>
      <c r="E399" s="4">
        <v>0.15000000596046448</v>
      </c>
      <c r="F399" s="1" t="str">
        <f>_xlfn.XLOOKUP(A399,Orders!A:A,Orders!B:B,"not found")</f>
        <v>PRINI</v>
      </c>
      <c r="G399" s="13">
        <f>_xlfn.XLOOKUP(OrderDetails[[#This Row],[OrderID]],Orders!A:A,Orders!C:C,"Not Found")</f>
        <v>35426</v>
      </c>
      <c r="H399" s="16">
        <f>(OrderDetails[[#This Row],[UnitPrice]]*OrderDetails[[#This Row],[Quantity]])*(1-OrderDetails[[#This Row],[Discount]])</f>
        <v>67.999999523162842</v>
      </c>
      <c r="I399" s="15" t="str">
        <f>_xlfn.XLOOKUP(OrderDetails[[#This Row],[ProductID]],Product!A:A,Product!G:G,"Not Found")</f>
        <v>Confections</v>
      </c>
      <c r="J399" s="15" t="str">
        <f>LOOKUP(MONTH(G399),{1,4,7,10},{"Winter","Spring","Summer","Autumn"})</f>
        <v>Autumn</v>
      </c>
      <c r="K399" s="15" t="str">
        <f>_xlfn.XLOOKUP(OrderDetails[[#This Row],[ProductID]],Product!A:A,Product!B:B,"Not Found")</f>
        <v>Sir Rodney's Scones</v>
      </c>
    </row>
    <row r="400" spans="1:11">
      <c r="A400" s="1">
        <v>10397</v>
      </c>
      <c r="B400" s="1">
        <v>51</v>
      </c>
      <c r="C400" s="1">
        <v>42.4</v>
      </c>
      <c r="D400" s="1">
        <v>18</v>
      </c>
      <c r="E400" s="3">
        <v>0.15000000596046448</v>
      </c>
      <c r="F400" s="1" t="str">
        <f>_xlfn.XLOOKUP(A400,Orders!A:A,Orders!B:B,"not found")</f>
        <v>PRINI</v>
      </c>
      <c r="G400" s="13">
        <f>_xlfn.XLOOKUP(OrderDetails[[#This Row],[OrderID]],Orders!A:A,Orders!C:C,"Not Found")</f>
        <v>35426</v>
      </c>
      <c r="H400" s="16">
        <f>(OrderDetails[[#This Row],[UnitPrice]]*OrderDetails[[#This Row],[Quantity]])*(1-OrderDetails[[#This Row],[Discount]])</f>
        <v>648.71999545097344</v>
      </c>
      <c r="I400" s="15" t="str">
        <f>_xlfn.XLOOKUP(OrderDetails[[#This Row],[ProductID]],Product!A:A,Product!G:G,"Not Found")</f>
        <v>Produce</v>
      </c>
      <c r="J400" s="15" t="str">
        <f>LOOKUP(MONTH(G400),{1,4,7,10},{"Winter","Spring","Summer","Autumn"})</f>
        <v>Autumn</v>
      </c>
      <c r="K400" s="15" t="str">
        <f>_xlfn.XLOOKUP(OrderDetails[[#This Row],[ProductID]],Product!A:A,Product!B:B,"Not Found")</f>
        <v>Manjimup Dried Apples</v>
      </c>
    </row>
    <row r="401" spans="1:11">
      <c r="A401" s="2">
        <v>10398</v>
      </c>
      <c r="B401" s="2">
        <v>35</v>
      </c>
      <c r="C401" s="2">
        <v>14.4</v>
      </c>
      <c r="D401" s="2">
        <v>30</v>
      </c>
      <c r="E401" s="4">
        <v>0</v>
      </c>
      <c r="F401" s="1" t="str">
        <f>_xlfn.XLOOKUP(A401,Orders!A:A,Orders!B:B,"not found")</f>
        <v>SAVEA</v>
      </c>
      <c r="G401" s="13">
        <f>_xlfn.XLOOKUP(OrderDetails[[#This Row],[OrderID]],Orders!A:A,Orders!C:C,"Not Found")</f>
        <v>35429</v>
      </c>
      <c r="H401" s="16">
        <f>(OrderDetails[[#This Row],[UnitPrice]]*OrderDetails[[#This Row],[Quantity]])*(1-OrderDetails[[#This Row],[Discount]])</f>
        <v>432</v>
      </c>
      <c r="I401" s="15" t="str">
        <f>_xlfn.XLOOKUP(OrderDetails[[#This Row],[ProductID]],Product!A:A,Product!G:G,"Not Found")</f>
        <v>Beverages</v>
      </c>
      <c r="J401" s="15" t="str">
        <f>LOOKUP(MONTH(G401),{1,4,7,10},{"Winter","Spring","Summer","Autumn"})</f>
        <v>Autumn</v>
      </c>
      <c r="K401" s="15" t="str">
        <f>_xlfn.XLOOKUP(OrderDetails[[#This Row],[ProductID]],Product!A:A,Product!B:B,"Not Found")</f>
        <v>Steeleye Stout</v>
      </c>
    </row>
    <row r="402" spans="1:11">
      <c r="A402" s="1">
        <v>10398</v>
      </c>
      <c r="B402" s="1">
        <v>55</v>
      </c>
      <c r="C402" s="1">
        <v>19.2</v>
      </c>
      <c r="D402" s="1">
        <v>120</v>
      </c>
      <c r="E402" s="3">
        <v>0.10000000149011612</v>
      </c>
      <c r="F402" s="1" t="str">
        <f>_xlfn.XLOOKUP(A402,Orders!A:A,Orders!B:B,"not found")</f>
        <v>SAVEA</v>
      </c>
      <c r="G402" s="13">
        <f>_xlfn.XLOOKUP(OrderDetails[[#This Row],[OrderID]],Orders!A:A,Orders!C:C,"Not Found")</f>
        <v>35429</v>
      </c>
      <c r="H402" s="16">
        <f>(OrderDetails[[#This Row],[UnitPrice]]*OrderDetails[[#This Row],[Quantity]])*(1-OrderDetails[[#This Row],[Discount]])</f>
        <v>2073.5999965667725</v>
      </c>
      <c r="I402" s="15" t="str">
        <f>_xlfn.XLOOKUP(OrderDetails[[#This Row],[ProductID]],Product!A:A,Product!G:G,"Not Found")</f>
        <v>Meat/Poultry</v>
      </c>
      <c r="J402" s="15" t="str">
        <f>LOOKUP(MONTH(G402),{1,4,7,10},{"Winter","Spring","Summer","Autumn"})</f>
        <v>Autumn</v>
      </c>
      <c r="K402" s="15" t="str">
        <f>_xlfn.XLOOKUP(OrderDetails[[#This Row],[ProductID]],Product!A:A,Product!B:B,"Not Found")</f>
        <v>Pâté chinois</v>
      </c>
    </row>
    <row r="403" spans="1:11">
      <c r="A403" s="2">
        <v>10399</v>
      </c>
      <c r="B403" s="2">
        <v>68</v>
      </c>
      <c r="C403" s="2">
        <v>10</v>
      </c>
      <c r="D403" s="2">
        <v>60</v>
      </c>
      <c r="E403" s="4">
        <v>0</v>
      </c>
      <c r="F403" s="1" t="str">
        <f>_xlfn.XLOOKUP(A403,Orders!A:A,Orders!B:B,"not found")</f>
        <v>VAFFE</v>
      </c>
      <c r="G403" s="13">
        <f>_xlfn.XLOOKUP(OrderDetails[[#This Row],[OrderID]],Orders!A:A,Orders!C:C,"Not Found")</f>
        <v>35430</v>
      </c>
      <c r="H403" s="16">
        <f>(OrderDetails[[#This Row],[UnitPrice]]*OrderDetails[[#This Row],[Quantity]])*(1-OrderDetails[[#This Row],[Discount]])</f>
        <v>600</v>
      </c>
      <c r="I403" s="15" t="str">
        <f>_xlfn.XLOOKUP(OrderDetails[[#This Row],[ProductID]],Product!A:A,Product!G:G,"Not Found")</f>
        <v>Confections</v>
      </c>
      <c r="J403" s="15" t="str">
        <f>LOOKUP(MONTH(G403),{1,4,7,10},{"Winter","Spring","Summer","Autumn"})</f>
        <v>Autumn</v>
      </c>
      <c r="K403" s="15" t="str">
        <f>_xlfn.XLOOKUP(OrderDetails[[#This Row],[ProductID]],Product!A:A,Product!B:B,"Not Found")</f>
        <v>Scottish Longbreads</v>
      </c>
    </row>
    <row r="404" spans="1:11">
      <c r="A404" s="1">
        <v>10399</v>
      </c>
      <c r="B404" s="1">
        <v>71</v>
      </c>
      <c r="C404" s="1">
        <v>17.2</v>
      </c>
      <c r="D404" s="1">
        <v>30</v>
      </c>
      <c r="E404" s="3">
        <v>0</v>
      </c>
      <c r="F404" s="1" t="str">
        <f>_xlfn.XLOOKUP(A404,Orders!A:A,Orders!B:B,"not found")</f>
        <v>VAFFE</v>
      </c>
      <c r="G404" s="13">
        <f>_xlfn.XLOOKUP(OrderDetails[[#This Row],[OrderID]],Orders!A:A,Orders!C:C,"Not Found")</f>
        <v>35430</v>
      </c>
      <c r="H404" s="16">
        <f>(OrderDetails[[#This Row],[UnitPrice]]*OrderDetails[[#This Row],[Quantity]])*(1-OrderDetails[[#This Row],[Discount]])</f>
        <v>516</v>
      </c>
      <c r="I404" s="15" t="str">
        <f>_xlfn.XLOOKUP(OrderDetails[[#This Row],[ProductID]],Product!A:A,Product!G:G,"Not Found")</f>
        <v>Dairy Products</v>
      </c>
      <c r="J404" s="15" t="str">
        <f>LOOKUP(MONTH(G404),{1,4,7,10},{"Winter","Spring","Summer","Autumn"})</f>
        <v>Autumn</v>
      </c>
      <c r="K404" s="15" t="str">
        <f>_xlfn.XLOOKUP(OrderDetails[[#This Row],[ProductID]],Product!A:A,Product!B:B,"Not Found")</f>
        <v>Flotemysost</v>
      </c>
    </row>
    <row r="405" spans="1:11">
      <c r="A405" s="2">
        <v>10399</v>
      </c>
      <c r="B405" s="2">
        <v>76</v>
      </c>
      <c r="C405" s="2">
        <v>14.4</v>
      </c>
      <c r="D405" s="2">
        <v>35</v>
      </c>
      <c r="E405" s="4">
        <v>0</v>
      </c>
      <c r="F405" s="1" t="str">
        <f>_xlfn.XLOOKUP(A405,Orders!A:A,Orders!B:B,"not found")</f>
        <v>VAFFE</v>
      </c>
      <c r="G405" s="13">
        <f>_xlfn.XLOOKUP(OrderDetails[[#This Row],[OrderID]],Orders!A:A,Orders!C:C,"Not Found")</f>
        <v>35430</v>
      </c>
      <c r="H405" s="16">
        <f>(OrderDetails[[#This Row],[UnitPrice]]*OrderDetails[[#This Row],[Quantity]])*(1-OrderDetails[[#This Row],[Discount]])</f>
        <v>504</v>
      </c>
      <c r="I405" s="15" t="str">
        <f>_xlfn.XLOOKUP(OrderDetails[[#This Row],[ProductID]],Product!A:A,Product!G:G,"Not Found")</f>
        <v>Beverages</v>
      </c>
      <c r="J405" s="15" t="str">
        <f>LOOKUP(MONTH(G405),{1,4,7,10},{"Winter","Spring","Summer","Autumn"})</f>
        <v>Autumn</v>
      </c>
      <c r="K405" s="15" t="str">
        <f>_xlfn.XLOOKUP(OrderDetails[[#This Row],[ProductID]],Product!A:A,Product!B:B,"Not Found")</f>
        <v>Lakkalikööri</v>
      </c>
    </row>
    <row r="406" spans="1:11">
      <c r="A406" s="1">
        <v>10399</v>
      </c>
      <c r="B406" s="1">
        <v>77</v>
      </c>
      <c r="C406" s="1">
        <v>10.4</v>
      </c>
      <c r="D406" s="1">
        <v>14</v>
      </c>
      <c r="E406" s="3">
        <v>0</v>
      </c>
      <c r="F406" s="1" t="str">
        <f>_xlfn.XLOOKUP(A406,Orders!A:A,Orders!B:B,"not found")</f>
        <v>VAFFE</v>
      </c>
      <c r="G406" s="13">
        <f>_xlfn.XLOOKUP(OrderDetails[[#This Row],[OrderID]],Orders!A:A,Orders!C:C,"Not Found")</f>
        <v>35430</v>
      </c>
      <c r="H406" s="16">
        <f>(OrderDetails[[#This Row],[UnitPrice]]*OrderDetails[[#This Row],[Quantity]])*(1-OrderDetails[[#This Row],[Discount]])</f>
        <v>145.6</v>
      </c>
      <c r="I406" s="15" t="str">
        <f>_xlfn.XLOOKUP(OrderDetails[[#This Row],[ProductID]],Product!A:A,Product!G:G,"Not Found")</f>
        <v>Condiments</v>
      </c>
      <c r="J406" s="15" t="str">
        <f>LOOKUP(MONTH(G406),{1,4,7,10},{"Winter","Spring","Summer","Autumn"})</f>
        <v>Autumn</v>
      </c>
      <c r="K406" s="15" t="str">
        <f>_xlfn.XLOOKUP(OrderDetails[[#This Row],[ProductID]],Product!A:A,Product!B:B,"Not Found")</f>
        <v>Original Frankfurter grüne Soße</v>
      </c>
    </row>
    <row r="407" spans="1:11">
      <c r="A407" s="2">
        <v>10400</v>
      </c>
      <c r="B407" s="2">
        <v>29</v>
      </c>
      <c r="C407" s="2">
        <v>99</v>
      </c>
      <c r="D407" s="2">
        <v>21</v>
      </c>
      <c r="E407" s="4">
        <v>0</v>
      </c>
      <c r="F407" s="1" t="str">
        <f>_xlfn.XLOOKUP(A407,Orders!A:A,Orders!B:B,"not found")</f>
        <v>EASTC</v>
      </c>
      <c r="G407" s="13">
        <f>_xlfn.XLOOKUP(OrderDetails[[#This Row],[OrderID]],Orders!A:A,Orders!C:C,"Not Found")</f>
        <v>35431</v>
      </c>
      <c r="H407" s="16">
        <f>(OrderDetails[[#This Row],[UnitPrice]]*OrderDetails[[#This Row],[Quantity]])*(1-OrderDetails[[#This Row],[Discount]])</f>
        <v>2079</v>
      </c>
      <c r="I407" s="15" t="str">
        <f>_xlfn.XLOOKUP(OrderDetails[[#This Row],[ProductID]],Product!A:A,Product!G:G,"Not Found")</f>
        <v>Meat/Poultry</v>
      </c>
      <c r="J407" s="15" t="str">
        <f>LOOKUP(MONTH(G407),{1,4,7,10},{"Winter","Spring","Summer","Autumn"})</f>
        <v>Winter</v>
      </c>
      <c r="K407" s="15" t="str">
        <f>_xlfn.XLOOKUP(OrderDetails[[#This Row],[ProductID]],Product!A:A,Product!B:B,"Not Found")</f>
        <v>Thüringer Rostbratwurst</v>
      </c>
    </row>
    <row r="408" spans="1:11">
      <c r="A408" s="1">
        <v>10400</v>
      </c>
      <c r="B408" s="1">
        <v>35</v>
      </c>
      <c r="C408" s="1">
        <v>14.4</v>
      </c>
      <c r="D408" s="1">
        <v>35</v>
      </c>
      <c r="E408" s="3">
        <v>0</v>
      </c>
      <c r="F408" s="1" t="str">
        <f>_xlfn.XLOOKUP(A408,Orders!A:A,Orders!B:B,"not found")</f>
        <v>EASTC</v>
      </c>
      <c r="G408" s="13">
        <f>_xlfn.XLOOKUP(OrderDetails[[#This Row],[OrderID]],Orders!A:A,Orders!C:C,"Not Found")</f>
        <v>35431</v>
      </c>
      <c r="H408" s="16">
        <f>(OrderDetails[[#This Row],[UnitPrice]]*OrderDetails[[#This Row],[Quantity]])*(1-OrderDetails[[#This Row],[Discount]])</f>
        <v>504</v>
      </c>
      <c r="I408" s="15" t="str">
        <f>_xlfn.XLOOKUP(OrderDetails[[#This Row],[ProductID]],Product!A:A,Product!G:G,"Not Found")</f>
        <v>Beverages</v>
      </c>
      <c r="J408" s="15" t="str">
        <f>LOOKUP(MONTH(G408),{1,4,7,10},{"Winter","Spring","Summer","Autumn"})</f>
        <v>Winter</v>
      </c>
      <c r="K408" s="15" t="str">
        <f>_xlfn.XLOOKUP(OrderDetails[[#This Row],[ProductID]],Product!A:A,Product!B:B,"Not Found")</f>
        <v>Steeleye Stout</v>
      </c>
    </row>
    <row r="409" spans="1:11">
      <c r="A409" s="2">
        <v>10400</v>
      </c>
      <c r="B409" s="2">
        <v>49</v>
      </c>
      <c r="C409" s="2">
        <v>16</v>
      </c>
      <c r="D409" s="2">
        <v>30</v>
      </c>
      <c r="E409" s="4">
        <v>0</v>
      </c>
      <c r="F409" s="1" t="str">
        <f>_xlfn.XLOOKUP(A409,Orders!A:A,Orders!B:B,"not found")</f>
        <v>EASTC</v>
      </c>
      <c r="G409" s="13">
        <f>_xlfn.XLOOKUP(OrderDetails[[#This Row],[OrderID]],Orders!A:A,Orders!C:C,"Not Found")</f>
        <v>35431</v>
      </c>
      <c r="H409" s="16">
        <f>(OrderDetails[[#This Row],[UnitPrice]]*OrderDetails[[#This Row],[Quantity]])*(1-OrderDetails[[#This Row],[Discount]])</f>
        <v>480</v>
      </c>
      <c r="I409" s="15" t="str">
        <f>_xlfn.XLOOKUP(OrderDetails[[#This Row],[ProductID]],Product!A:A,Product!G:G,"Not Found")</f>
        <v>Confections</v>
      </c>
      <c r="J409" s="15" t="str">
        <f>LOOKUP(MONTH(G409),{1,4,7,10},{"Winter","Spring","Summer","Autumn"})</f>
        <v>Winter</v>
      </c>
      <c r="K409" s="15" t="str">
        <f>_xlfn.XLOOKUP(OrderDetails[[#This Row],[ProductID]],Product!A:A,Product!B:B,"Not Found")</f>
        <v>Maxilaku</v>
      </c>
    </row>
    <row r="410" spans="1:11">
      <c r="A410" s="1">
        <v>10401</v>
      </c>
      <c r="B410" s="1">
        <v>30</v>
      </c>
      <c r="C410" s="1">
        <v>20.7</v>
      </c>
      <c r="D410" s="1">
        <v>18</v>
      </c>
      <c r="E410" s="3">
        <v>0</v>
      </c>
      <c r="F410" s="1" t="str">
        <f>_xlfn.XLOOKUP(A410,Orders!A:A,Orders!B:B,"not found")</f>
        <v>RATTC</v>
      </c>
      <c r="G410" s="13">
        <f>_xlfn.XLOOKUP(OrderDetails[[#This Row],[OrderID]],Orders!A:A,Orders!C:C,"Not Found")</f>
        <v>35431</v>
      </c>
      <c r="H410" s="16">
        <f>(OrderDetails[[#This Row],[UnitPrice]]*OrderDetails[[#This Row],[Quantity]])*(1-OrderDetails[[#This Row],[Discount]])</f>
        <v>372.59999999999997</v>
      </c>
      <c r="I410" s="15" t="str">
        <f>_xlfn.XLOOKUP(OrderDetails[[#This Row],[ProductID]],Product!A:A,Product!G:G,"Not Found")</f>
        <v>Seafood</v>
      </c>
      <c r="J410" s="15" t="str">
        <f>LOOKUP(MONTH(G410),{1,4,7,10},{"Winter","Spring","Summer","Autumn"})</f>
        <v>Winter</v>
      </c>
      <c r="K410" s="15" t="str">
        <f>_xlfn.XLOOKUP(OrderDetails[[#This Row],[ProductID]],Product!A:A,Product!B:B,"Not Found")</f>
        <v>Nord-Ost Matjeshering</v>
      </c>
    </row>
    <row r="411" spans="1:11">
      <c r="A411" s="2">
        <v>10401</v>
      </c>
      <c r="B411" s="2">
        <v>56</v>
      </c>
      <c r="C411" s="2">
        <v>30.4</v>
      </c>
      <c r="D411" s="2">
        <v>70</v>
      </c>
      <c r="E411" s="4">
        <v>0</v>
      </c>
      <c r="F411" s="1" t="str">
        <f>_xlfn.XLOOKUP(A411,Orders!A:A,Orders!B:B,"not found")</f>
        <v>RATTC</v>
      </c>
      <c r="G411" s="13">
        <f>_xlfn.XLOOKUP(OrderDetails[[#This Row],[OrderID]],Orders!A:A,Orders!C:C,"Not Found")</f>
        <v>35431</v>
      </c>
      <c r="H411" s="16">
        <f>(OrderDetails[[#This Row],[UnitPrice]]*OrderDetails[[#This Row],[Quantity]])*(1-OrderDetails[[#This Row],[Discount]])</f>
        <v>2128</v>
      </c>
      <c r="I411" s="15" t="str">
        <f>_xlfn.XLOOKUP(OrderDetails[[#This Row],[ProductID]],Product!A:A,Product!G:G,"Not Found")</f>
        <v>Grains/Cereals</v>
      </c>
      <c r="J411" s="15" t="str">
        <f>LOOKUP(MONTH(G411),{1,4,7,10},{"Winter","Spring","Summer","Autumn"})</f>
        <v>Winter</v>
      </c>
      <c r="K411" s="15" t="str">
        <f>_xlfn.XLOOKUP(OrderDetails[[#This Row],[ProductID]],Product!A:A,Product!B:B,"Not Found")</f>
        <v>Gnocchi di nonna Alice</v>
      </c>
    </row>
    <row r="412" spans="1:11">
      <c r="A412" s="1">
        <v>10401</v>
      </c>
      <c r="B412" s="1">
        <v>65</v>
      </c>
      <c r="C412" s="1">
        <v>16.8</v>
      </c>
      <c r="D412" s="1">
        <v>20</v>
      </c>
      <c r="E412" s="3">
        <v>0</v>
      </c>
      <c r="F412" s="1" t="str">
        <f>_xlfn.XLOOKUP(A412,Orders!A:A,Orders!B:B,"not found")</f>
        <v>RATTC</v>
      </c>
      <c r="G412" s="13">
        <f>_xlfn.XLOOKUP(OrderDetails[[#This Row],[OrderID]],Orders!A:A,Orders!C:C,"Not Found")</f>
        <v>35431</v>
      </c>
      <c r="H412" s="16">
        <f>(OrderDetails[[#This Row],[UnitPrice]]*OrderDetails[[#This Row],[Quantity]])*(1-OrderDetails[[#This Row],[Discount]])</f>
        <v>336</v>
      </c>
      <c r="I412" s="15" t="str">
        <f>_xlfn.XLOOKUP(OrderDetails[[#This Row],[ProductID]],Product!A:A,Product!G:G,"Not Found")</f>
        <v>Condiments</v>
      </c>
      <c r="J412" s="15" t="str">
        <f>LOOKUP(MONTH(G412),{1,4,7,10},{"Winter","Spring","Summer","Autumn"})</f>
        <v>Winter</v>
      </c>
      <c r="K412" s="15" t="str">
        <f>_xlfn.XLOOKUP(OrderDetails[[#This Row],[ProductID]],Product!A:A,Product!B:B,"Not Found")</f>
        <v>Louisiana Fiery Hot Pepper Sauce</v>
      </c>
    </row>
    <row r="413" spans="1:11">
      <c r="A413" s="2">
        <v>10401</v>
      </c>
      <c r="B413" s="2">
        <v>71</v>
      </c>
      <c r="C413" s="2">
        <v>17.2</v>
      </c>
      <c r="D413" s="2">
        <v>60</v>
      </c>
      <c r="E413" s="4">
        <v>0</v>
      </c>
      <c r="F413" s="1" t="str">
        <f>_xlfn.XLOOKUP(A413,Orders!A:A,Orders!B:B,"not found")</f>
        <v>RATTC</v>
      </c>
      <c r="G413" s="13">
        <f>_xlfn.XLOOKUP(OrderDetails[[#This Row],[OrderID]],Orders!A:A,Orders!C:C,"Not Found")</f>
        <v>35431</v>
      </c>
      <c r="H413" s="16">
        <f>(OrderDetails[[#This Row],[UnitPrice]]*OrderDetails[[#This Row],[Quantity]])*(1-OrderDetails[[#This Row],[Discount]])</f>
        <v>1032</v>
      </c>
      <c r="I413" s="15" t="str">
        <f>_xlfn.XLOOKUP(OrderDetails[[#This Row],[ProductID]],Product!A:A,Product!G:G,"Not Found")</f>
        <v>Dairy Products</v>
      </c>
      <c r="J413" s="15" t="str">
        <f>LOOKUP(MONTH(G413),{1,4,7,10},{"Winter","Spring","Summer","Autumn"})</f>
        <v>Winter</v>
      </c>
      <c r="K413" s="15" t="str">
        <f>_xlfn.XLOOKUP(OrderDetails[[#This Row],[ProductID]],Product!A:A,Product!B:B,"Not Found")</f>
        <v>Flotemysost</v>
      </c>
    </row>
    <row r="414" spans="1:11">
      <c r="A414" s="1">
        <v>10402</v>
      </c>
      <c r="B414" s="1">
        <v>23</v>
      </c>
      <c r="C414" s="1">
        <v>7.2</v>
      </c>
      <c r="D414" s="1">
        <v>60</v>
      </c>
      <c r="E414" s="3">
        <v>0</v>
      </c>
      <c r="F414" s="1" t="str">
        <f>_xlfn.XLOOKUP(A414,Orders!A:A,Orders!B:B,"not found")</f>
        <v>ERNSH</v>
      </c>
      <c r="G414" s="13">
        <f>_xlfn.XLOOKUP(OrderDetails[[#This Row],[OrderID]],Orders!A:A,Orders!C:C,"Not Found")</f>
        <v>35432</v>
      </c>
      <c r="H414" s="16">
        <f>(OrderDetails[[#This Row],[UnitPrice]]*OrderDetails[[#This Row],[Quantity]])*(1-OrderDetails[[#This Row],[Discount]])</f>
        <v>432</v>
      </c>
      <c r="I414" s="15" t="str">
        <f>_xlfn.XLOOKUP(OrderDetails[[#This Row],[ProductID]],Product!A:A,Product!G:G,"Not Found")</f>
        <v>Grains/Cereals</v>
      </c>
      <c r="J414" s="15" t="str">
        <f>LOOKUP(MONTH(G414),{1,4,7,10},{"Winter","Spring","Summer","Autumn"})</f>
        <v>Winter</v>
      </c>
      <c r="K414" s="15" t="str">
        <f>_xlfn.XLOOKUP(OrderDetails[[#This Row],[ProductID]],Product!A:A,Product!B:B,"Not Found")</f>
        <v>Tunnbröd</v>
      </c>
    </row>
    <row r="415" spans="1:11">
      <c r="A415" s="2">
        <v>10402</v>
      </c>
      <c r="B415" s="2">
        <v>63</v>
      </c>
      <c r="C415" s="2">
        <v>35.1</v>
      </c>
      <c r="D415" s="2">
        <v>65</v>
      </c>
      <c r="E415" s="4">
        <v>0</v>
      </c>
      <c r="F415" s="1" t="str">
        <f>_xlfn.XLOOKUP(A415,Orders!A:A,Orders!B:B,"not found")</f>
        <v>ERNSH</v>
      </c>
      <c r="G415" s="13">
        <f>_xlfn.XLOOKUP(OrderDetails[[#This Row],[OrderID]],Orders!A:A,Orders!C:C,"Not Found")</f>
        <v>35432</v>
      </c>
      <c r="H415" s="16">
        <f>(OrderDetails[[#This Row],[UnitPrice]]*OrderDetails[[#This Row],[Quantity]])*(1-OrderDetails[[#This Row],[Discount]])</f>
        <v>2281.5</v>
      </c>
      <c r="I415" s="15" t="str">
        <f>_xlfn.XLOOKUP(OrderDetails[[#This Row],[ProductID]],Product!A:A,Product!G:G,"Not Found")</f>
        <v>Condiments</v>
      </c>
      <c r="J415" s="15" t="str">
        <f>LOOKUP(MONTH(G415),{1,4,7,10},{"Winter","Spring","Summer","Autumn"})</f>
        <v>Winter</v>
      </c>
      <c r="K415" s="15" t="str">
        <f>_xlfn.XLOOKUP(OrderDetails[[#This Row],[ProductID]],Product!A:A,Product!B:B,"Not Found")</f>
        <v>Vegie-spread</v>
      </c>
    </row>
    <row r="416" spans="1:11">
      <c r="A416" s="1">
        <v>10403</v>
      </c>
      <c r="B416" s="1">
        <v>16</v>
      </c>
      <c r="C416" s="1">
        <v>13.9</v>
      </c>
      <c r="D416" s="1">
        <v>21</v>
      </c>
      <c r="E416" s="3">
        <v>0.15000000596046448</v>
      </c>
      <c r="F416" s="1" t="str">
        <f>_xlfn.XLOOKUP(A416,Orders!A:A,Orders!B:B,"not found")</f>
        <v>ERNSH</v>
      </c>
      <c r="G416" s="13">
        <f>_xlfn.XLOOKUP(OrderDetails[[#This Row],[OrderID]],Orders!A:A,Orders!C:C,"Not Found")</f>
        <v>35433</v>
      </c>
      <c r="H416" s="16">
        <f>(OrderDetails[[#This Row],[UnitPrice]]*OrderDetails[[#This Row],[Quantity]])*(1-OrderDetails[[#This Row],[Discount]])</f>
        <v>248.11499826014045</v>
      </c>
      <c r="I416" s="15" t="str">
        <f>_xlfn.XLOOKUP(OrderDetails[[#This Row],[ProductID]],Product!A:A,Product!G:G,"Not Found")</f>
        <v>Confections</v>
      </c>
      <c r="J416" s="15" t="str">
        <f>LOOKUP(MONTH(G416),{1,4,7,10},{"Winter","Spring","Summer","Autumn"})</f>
        <v>Winter</v>
      </c>
      <c r="K416" s="15" t="str">
        <f>_xlfn.XLOOKUP(OrderDetails[[#This Row],[ProductID]],Product!A:A,Product!B:B,"Not Found")</f>
        <v>Pavlova</v>
      </c>
    </row>
    <row r="417" spans="1:11">
      <c r="A417" s="2">
        <v>10403</v>
      </c>
      <c r="B417" s="2">
        <v>48</v>
      </c>
      <c r="C417" s="2">
        <v>10.199999999999999</v>
      </c>
      <c r="D417" s="2">
        <v>70</v>
      </c>
      <c r="E417" s="4">
        <v>0.15000000596046448</v>
      </c>
      <c r="F417" s="1" t="str">
        <f>_xlfn.XLOOKUP(A417,Orders!A:A,Orders!B:B,"not found")</f>
        <v>ERNSH</v>
      </c>
      <c r="G417" s="13">
        <f>_xlfn.XLOOKUP(OrderDetails[[#This Row],[OrderID]],Orders!A:A,Orders!C:C,"Not Found")</f>
        <v>35433</v>
      </c>
      <c r="H417" s="16">
        <f>(OrderDetails[[#This Row],[UnitPrice]]*OrderDetails[[#This Row],[Quantity]])*(1-OrderDetails[[#This Row],[Discount]])</f>
        <v>606.89999574422836</v>
      </c>
      <c r="I417" s="15" t="str">
        <f>_xlfn.XLOOKUP(OrderDetails[[#This Row],[ProductID]],Product!A:A,Product!G:G,"Not Found")</f>
        <v>Confections</v>
      </c>
      <c r="J417" s="15" t="str">
        <f>LOOKUP(MONTH(G417),{1,4,7,10},{"Winter","Spring","Summer","Autumn"})</f>
        <v>Winter</v>
      </c>
      <c r="K417" s="15" t="str">
        <f>_xlfn.XLOOKUP(OrderDetails[[#This Row],[ProductID]],Product!A:A,Product!B:B,"Not Found")</f>
        <v>Chocolade</v>
      </c>
    </row>
    <row r="418" spans="1:11">
      <c r="A418" s="1">
        <v>10404</v>
      </c>
      <c r="B418" s="1">
        <v>26</v>
      </c>
      <c r="C418" s="1">
        <v>24.9</v>
      </c>
      <c r="D418" s="1">
        <v>30</v>
      </c>
      <c r="E418" s="3">
        <v>5.000000074505806E-2</v>
      </c>
      <c r="F418" s="1" t="str">
        <f>_xlfn.XLOOKUP(A418,Orders!A:A,Orders!B:B,"not found")</f>
        <v>MAGAA</v>
      </c>
      <c r="G418" s="13">
        <f>_xlfn.XLOOKUP(OrderDetails[[#This Row],[OrderID]],Orders!A:A,Orders!C:C,"Not Found")</f>
        <v>35433</v>
      </c>
      <c r="H418" s="16">
        <f>(OrderDetails[[#This Row],[UnitPrice]]*OrderDetails[[#This Row],[Quantity]])*(1-OrderDetails[[#This Row],[Discount]])</f>
        <v>709.64999944344163</v>
      </c>
      <c r="I418" s="15" t="str">
        <f>_xlfn.XLOOKUP(OrderDetails[[#This Row],[ProductID]],Product!A:A,Product!G:G,"Not Found")</f>
        <v>Confections</v>
      </c>
      <c r="J418" s="15" t="str">
        <f>LOOKUP(MONTH(G418),{1,4,7,10},{"Winter","Spring","Summer","Autumn"})</f>
        <v>Winter</v>
      </c>
      <c r="K418" s="15" t="str">
        <f>_xlfn.XLOOKUP(OrderDetails[[#This Row],[ProductID]],Product!A:A,Product!B:B,"Not Found")</f>
        <v>Gumbär Gummibärchen</v>
      </c>
    </row>
    <row r="419" spans="1:11">
      <c r="A419" s="2">
        <v>10404</v>
      </c>
      <c r="B419" s="2">
        <v>42</v>
      </c>
      <c r="C419" s="2">
        <v>11.2</v>
      </c>
      <c r="D419" s="2">
        <v>40</v>
      </c>
      <c r="E419" s="4">
        <v>5.000000074505806E-2</v>
      </c>
      <c r="F419" s="1" t="str">
        <f>_xlfn.XLOOKUP(A419,Orders!A:A,Orders!B:B,"not found")</f>
        <v>MAGAA</v>
      </c>
      <c r="G419" s="13">
        <f>_xlfn.XLOOKUP(OrderDetails[[#This Row],[OrderID]],Orders!A:A,Orders!C:C,"Not Found")</f>
        <v>35433</v>
      </c>
      <c r="H419" s="16">
        <f>(OrderDetails[[#This Row],[UnitPrice]]*OrderDetails[[#This Row],[Quantity]])*(1-OrderDetails[[#This Row],[Discount]])</f>
        <v>425.59999966621399</v>
      </c>
      <c r="I419" s="15" t="str">
        <f>_xlfn.XLOOKUP(OrderDetails[[#This Row],[ProductID]],Product!A:A,Product!G:G,"Not Found")</f>
        <v>Grains/Cereals</v>
      </c>
      <c r="J419" s="15" t="str">
        <f>LOOKUP(MONTH(G419),{1,4,7,10},{"Winter","Spring","Summer","Autumn"})</f>
        <v>Winter</v>
      </c>
      <c r="K419" s="15" t="str">
        <f>_xlfn.XLOOKUP(OrderDetails[[#This Row],[ProductID]],Product!A:A,Product!B:B,"Not Found")</f>
        <v>Singaporean Hokkien Fried Mee</v>
      </c>
    </row>
    <row r="420" spans="1:11">
      <c r="A420" s="1">
        <v>10404</v>
      </c>
      <c r="B420" s="1">
        <v>49</v>
      </c>
      <c r="C420" s="1">
        <v>16</v>
      </c>
      <c r="D420" s="1">
        <v>30</v>
      </c>
      <c r="E420" s="3">
        <v>5.000000074505806E-2</v>
      </c>
      <c r="F420" s="1" t="str">
        <f>_xlfn.XLOOKUP(A420,Orders!A:A,Orders!B:B,"not found")</f>
        <v>MAGAA</v>
      </c>
      <c r="G420" s="13">
        <f>_xlfn.XLOOKUP(OrderDetails[[#This Row],[OrderID]],Orders!A:A,Orders!C:C,"Not Found")</f>
        <v>35433</v>
      </c>
      <c r="H420" s="16">
        <f>(OrderDetails[[#This Row],[UnitPrice]]*OrderDetails[[#This Row],[Quantity]])*(1-OrderDetails[[#This Row],[Discount]])</f>
        <v>455.99999964237213</v>
      </c>
      <c r="I420" s="15" t="str">
        <f>_xlfn.XLOOKUP(OrderDetails[[#This Row],[ProductID]],Product!A:A,Product!G:G,"Not Found")</f>
        <v>Confections</v>
      </c>
      <c r="J420" s="15" t="str">
        <f>LOOKUP(MONTH(G420),{1,4,7,10},{"Winter","Spring","Summer","Autumn"})</f>
        <v>Winter</v>
      </c>
      <c r="K420" s="15" t="str">
        <f>_xlfn.XLOOKUP(OrderDetails[[#This Row],[ProductID]],Product!A:A,Product!B:B,"Not Found")</f>
        <v>Maxilaku</v>
      </c>
    </row>
    <row r="421" spans="1:11">
      <c r="A421" s="2">
        <v>10405</v>
      </c>
      <c r="B421" s="2">
        <v>3</v>
      </c>
      <c r="C421" s="2">
        <v>8</v>
      </c>
      <c r="D421" s="2">
        <v>50</v>
      </c>
      <c r="E421" s="4">
        <v>0</v>
      </c>
      <c r="F421" s="1" t="str">
        <f>_xlfn.XLOOKUP(A421,Orders!A:A,Orders!B:B,"not found")</f>
        <v>LINOD</v>
      </c>
      <c r="G421" s="13">
        <f>_xlfn.XLOOKUP(OrderDetails[[#This Row],[OrderID]],Orders!A:A,Orders!C:C,"Not Found")</f>
        <v>35436</v>
      </c>
      <c r="H421" s="16">
        <f>(OrderDetails[[#This Row],[UnitPrice]]*OrderDetails[[#This Row],[Quantity]])*(1-OrderDetails[[#This Row],[Discount]])</f>
        <v>400</v>
      </c>
      <c r="I421" s="15" t="str">
        <f>_xlfn.XLOOKUP(OrderDetails[[#This Row],[ProductID]],Product!A:A,Product!G:G,"Not Found")</f>
        <v>Condiments</v>
      </c>
      <c r="J421" s="15" t="str">
        <f>LOOKUP(MONTH(G421),{1,4,7,10},{"Winter","Spring","Summer","Autumn"})</f>
        <v>Winter</v>
      </c>
      <c r="K421" s="15" t="str">
        <f>_xlfn.XLOOKUP(OrderDetails[[#This Row],[ProductID]],Product!A:A,Product!B:B,"Not Found")</f>
        <v>Aniseed Syrup</v>
      </c>
    </row>
    <row r="422" spans="1:11">
      <c r="A422" s="1">
        <v>10406</v>
      </c>
      <c r="B422" s="1">
        <v>1</v>
      </c>
      <c r="C422" s="1">
        <v>14.4</v>
      </c>
      <c r="D422" s="1">
        <v>10</v>
      </c>
      <c r="E422" s="3">
        <v>0</v>
      </c>
      <c r="F422" s="1" t="str">
        <f>_xlfn.XLOOKUP(A422,Orders!A:A,Orders!B:B,"not found")</f>
        <v>QUEEN</v>
      </c>
      <c r="G422" s="13">
        <f>_xlfn.XLOOKUP(OrderDetails[[#This Row],[OrderID]],Orders!A:A,Orders!C:C,"Not Found")</f>
        <v>35437</v>
      </c>
      <c r="H422" s="16">
        <f>(OrderDetails[[#This Row],[UnitPrice]]*OrderDetails[[#This Row],[Quantity]])*(1-OrderDetails[[#This Row],[Discount]])</f>
        <v>144</v>
      </c>
      <c r="I422" s="15" t="str">
        <f>_xlfn.XLOOKUP(OrderDetails[[#This Row],[ProductID]],Product!A:A,Product!G:G,"Not Found")</f>
        <v>Beverages</v>
      </c>
      <c r="J422" s="15" t="str">
        <f>LOOKUP(MONTH(G422),{1,4,7,10},{"Winter","Spring","Summer","Autumn"})</f>
        <v>Winter</v>
      </c>
      <c r="K422" s="15" t="str">
        <f>_xlfn.XLOOKUP(OrderDetails[[#This Row],[ProductID]],Product!A:A,Product!B:B,"Not Found")</f>
        <v>Chai</v>
      </c>
    </row>
    <row r="423" spans="1:11">
      <c r="A423" s="2">
        <v>10406</v>
      </c>
      <c r="B423" s="2">
        <v>21</v>
      </c>
      <c r="C423" s="2">
        <v>8</v>
      </c>
      <c r="D423" s="2">
        <v>30</v>
      </c>
      <c r="E423" s="4">
        <v>0.10000000149011612</v>
      </c>
      <c r="F423" s="1" t="str">
        <f>_xlfn.XLOOKUP(A423,Orders!A:A,Orders!B:B,"not found")</f>
        <v>QUEEN</v>
      </c>
      <c r="G423" s="13">
        <f>_xlfn.XLOOKUP(OrderDetails[[#This Row],[OrderID]],Orders!A:A,Orders!C:C,"Not Found")</f>
        <v>35437</v>
      </c>
      <c r="H423" s="16">
        <f>(OrderDetails[[#This Row],[UnitPrice]]*OrderDetails[[#This Row],[Quantity]])*(1-OrderDetails[[#This Row],[Discount]])</f>
        <v>215.99999964237213</v>
      </c>
      <c r="I423" s="15" t="str">
        <f>_xlfn.XLOOKUP(OrderDetails[[#This Row],[ProductID]],Product!A:A,Product!G:G,"Not Found")</f>
        <v>Confections</v>
      </c>
      <c r="J423" s="15" t="str">
        <f>LOOKUP(MONTH(G423),{1,4,7,10},{"Winter","Spring","Summer","Autumn"})</f>
        <v>Winter</v>
      </c>
      <c r="K423" s="15" t="str">
        <f>_xlfn.XLOOKUP(OrderDetails[[#This Row],[ProductID]],Product!A:A,Product!B:B,"Not Found")</f>
        <v>Sir Rodney's Scones</v>
      </c>
    </row>
    <row r="424" spans="1:11">
      <c r="A424" s="1">
        <v>10406</v>
      </c>
      <c r="B424" s="1">
        <v>28</v>
      </c>
      <c r="C424" s="1">
        <v>36.4</v>
      </c>
      <c r="D424" s="1">
        <v>42</v>
      </c>
      <c r="E424" s="3">
        <v>0.10000000149011612</v>
      </c>
      <c r="F424" s="1" t="str">
        <f>_xlfn.XLOOKUP(A424,Orders!A:A,Orders!B:B,"not found")</f>
        <v>QUEEN</v>
      </c>
      <c r="G424" s="13">
        <f>_xlfn.XLOOKUP(OrderDetails[[#This Row],[OrderID]],Orders!A:A,Orders!C:C,"Not Found")</f>
        <v>35437</v>
      </c>
      <c r="H424" s="16">
        <f>(OrderDetails[[#This Row],[UnitPrice]]*OrderDetails[[#This Row],[Quantity]])*(1-OrderDetails[[#This Row],[Discount]])</f>
        <v>1375.9199977219105</v>
      </c>
      <c r="I424" s="15" t="str">
        <f>_xlfn.XLOOKUP(OrderDetails[[#This Row],[ProductID]],Product!A:A,Product!G:G,"Not Found")</f>
        <v>Produce</v>
      </c>
      <c r="J424" s="15" t="str">
        <f>LOOKUP(MONTH(G424),{1,4,7,10},{"Winter","Spring","Summer","Autumn"})</f>
        <v>Winter</v>
      </c>
      <c r="K424" s="15" t="str">
        <f>_xlfn.XLOOKUP(OrderDetails[[#This Row],[ProductID]],Product!A:A,Product!B:B,"Not Found")</f>
        <v>Rössle Sauerkraut</v>
      </c>
    </row>
    <row r="425" spans="1:11">
      <c r="A425" s="2">
        <v>10406</v>
      </c>
      <c r="B425" s="2">
        <v>36</v>
      </c>
      <c r="C425" s="2">
        <v>15.2</v>
      </c>
      <c r="D425" s="2">
        <v>5</v>
      </c>
      <c r="E425" s="4">
        <v>0.10000000149011612</v>
      </c>
      <c r="F425" s="1" t="str">
        <f>_xlfn.XLOOKUP(A425,Orders!A:A,Orders!B:B,"not found")</f>
        <v>QUEEN</v>
      </c>
      <c r="G425" s="13">
        <f>_xlfn.XLOOKUP(OrderDetails[[#This Row],[OrderID]],Orders!A:A,Orders!C:C,"Not Found")</f>
        <v>35437</v>
      </c>
      <c r="H425" s="16">
        <f>(OrderDetails[[#This Row],[UnitPrice]]*OrderDetails[[#This Row],[Quantity]])*(1-OrderDetails[[#This Row],[Discount]])</f>
        <v>68.399999886751175</v>
      </c>
      <c r="I425" s="15" t="str">
        <f>_xlfn.XLOOKUP(OrderDetails[[#This Row],[ProductID]],Product!A:A,Product!G:G,"Not Found")</f>
        <v>Seafood</v>
      </c>
      <c r="J425" s="15" t="str">
        <f>LOOKUP(MONTH(G425),{1,4,7,10},{"Winter","Spring","Summer","Autumn"})</f>
        <v>Winter</v>
      </c>
      <c r="K425" s="15" t="str">
        <f>_xlfn.XLOOKUP(OrderDetails[[#This Row],[ProductID]],Product!A:A,Product!B:B,"Not Found")</f>
        <v>Inlagd Sill</v>
      </c>
    </row>
    <row r="426" spans="1:11">
      <c r="A426" s="1">
        <v>10406</v>
      </c>
      <c r="B426" s="1">
        <v>40</v>
      </c>
      <c r="C426" s="1">
        <v>14.7</v>
      </c>
      <c r="D426" s="1">
        <v>2</v>
      </c>
      <c r="E426" s="3">
        <v>0.10000000149011612</v>
      </c>
      <c r="F426" s="1" t="str">
        <f>_xlfn.XLOOKUP(A426,Orders!A:A,Orders!B:B,"not found")</f>
        <v>QUEEN</v>
      </c>
      <c r="G426" s="13">
        <f>_xlfn.XLOOKUP(OrderDetails[[#This Row],[OrderID]],Orders!A:A,Orders!C:C,"Not Found")</f>
        <v>35437</v>
      </c>
      <c r="H426" s="16">
        <f>(OrderDetails[[#This Row],[UnitPrice]]*OrderDetails[[#This Row],[Quantity]])*(1-OrderDetails[[#This Row],[Discount]])</f>
        <v>26.459999956190586</v>
      </c>
      <c r="I426" s="15" t="str">
        <f>_xlfn.XLOOKUP(OrderDetails[[#This Row],[ProductID]],Product!A:A,Product!G:G,"Not Found")</f>
        <v>Seafood</v>
      </c>
      <c r="J426" s="15" t="str">
        <f>LOOKUP(MONTH(G426),{1,4,7,10},{"Winter","Spring","Summer","Autumn"})</f>
        <v>Winter</v>
      </c>
      <c r="K426" s="15" t="str">
        <f>_xlfn.XLOOKUP(OrderDetails[[#This Row],[ProductID]],Product!A:A,Product!B:B,"Not Found")</f>
        <v>Boston Crab Meat</v>
      </c>
    </row>
    <row r="427" spans="1:11">
      <c r="A427" s="2">
        <v>10407</v>
      </c>
      <c r="B427" s="2">
        <v>11</v>
      </c>
      <c r="C427" s="2">
        <v>16.8</v>
      </c>
      <c r="D427" s="2">
        <v>30</v>
      </c>
      <c r="E427" s="4">
        <v>0</v>
      </c>
      <c r="F427" s="1" t="str">
        <f>_xlfn.XLOOKUP(A427,Orders!A:A,Orders!B:B,"not found")</f>
        <v>OTTIK</v>
      </c>
      <c r="G427" s="13">
        <f>_xlfn.XLOOKUP(OrderDetails[[#This Row],[OrderID]],Orders!A:A,Orders!C:C,"Not Found")</f>
        <v>35437</v>
      </c>
      <c r="H427" s="16">
        <f>(OrderDetails[[#This Row],[UnitPrice]]*OrderDetails[[#This Row],[Quantity]])*(1-OrderDetails[[#This Row],[Discount]])</f>
        <v>504</v>
      </c>
      <c r="I427" s="15" t="str">
        <f>_xlfn.XLOOKUP(OrderDetails[[#This Row],[ProductID]],Product!A:A,Product!G:G,"Not Found")</f>
        <v>Dairy Products</v>
      </c>
      <c r="J427" s="15" t="str">
        <f>LOOKUP(MONTH(G427),{1,4,7,10},{"Winter","Spring","Summer","Autumn"})</f>
        <v>Winter</v>
      </c>
      <c r="K427" s="15" t="str">
        <f>_xlfn.XLOOKUP(OrderDetails[[#This Row],[ProductID]],Product!A:A,Product!B:B,"Not Found")</f>
        <v>Queso Cabrales</v>
      </c>
    </row>
    <row r="428" spans="1:11">
      <c r="A428" s="1">
        <v>10407</v>
      </c>
      <c r="B428" s="1">
        <v>69</v>
      </c>
      <c r="C428" s="1">
        <v>28.8</v>
      </c>
      <c r="D428" s="1">
        <v>15</v>
      </c>
      <c r="E428" s="3">
        <v>0</v>
      </c>
      <c r="F428" s="1" t="str">
        <f>_xlfn.XLOOKUP(A428,Orders!A:A,Orders!B:B,"not found")</f>
        <v>OTTIK</v>
      </c>
      <c r="G428" s="13">
        <f>_xlfn.XLOOKUP(OrderDetails[[#This Row],[OrderID]],Orders!A:A,Orders!C:C,"Not Found")</f>
        <v>35437</v>
      </c>
      <c r="H428" s="16">
        <f>(OrderDetails[[#This Row],[UnitPrice]]*OrderDetails[[#This Row],[Quantity]])*(1-OrderDetails[[#This Row],[Discount]])</f>
        <v>432</v>
      </c>
      <c r="I428" s="15" t="str">
        <f>_xlfn.XLOOKUP(OrderDetails[[#This Row],[ProductID]],Product!A:A,Product!G:G,"Not Found")</f>
        <v>Dairy Products</v>
      </c>
      <c r="J428" s="15" t="str">
        <f>LOOKUP(MONTH(G428),{1,4,7,10},{"Winter","Spring","Summer","Autumn"})</f>
        <v>Winter</v>
      </c>
      <c r="K428" s="15" t="str">
        <f>_xlfn.XLOOKUP(OrderDetails[[#This Row],[ProductID]],Product!A:A,Product!B:B,"Not Found")</f>
        <v>Gudbrandsdalsost</v>
      </c>
    </row>
    <row r="429" spans="1:11">
      <c r="A429" s="2">
        <v>10407</v>
      </c>
      <c r="B429" s="2">
        <v>71</v>
      </c>
      <c r="C429" s="2">
        <v>17.2</v>
      </c>
      <c r="D429" s="2">
        <v>15</v>
      </c>
      <c r="E429" s="4">
        <v>0</v>
      </c>
      <c r="F429" s="1" t="str">
        <f>_xlfn.XLOOKUP(A429,Orders!A:A,Orders!B:B,"not found")</f>
        <v>OTTIK</v>
      </c>
      <c r="G429" s="13">
        <f>_xlfn.XLOOKUP(OrderDetails[[#This Row],[OrderID]],Orders!A:A,Orders!C:C,"Not Found")</f>
        <v>35437</v>
      </c>
      <c r="H429" s="16">
        <f>(OrderDetails[[#This Row],[UnitPrice]]*OrderDetails[[#This Row],[Quantity]])*(1-OrderDetails[[#This Row],[Discount]])</f>
        <v>258</v>
      </c>
      <c r="I429" s="15" t="str">
        <f>_xlfn.XLOOKUP(OrderDetails[[#This Row],[ProductID]],Product!A:A,Product!G:G,"Not Found")</f>
        <v>Dairy Products</v>
      </c>
      <c r="J429" s="15" t="str">
        <f>LOOKUP(MONTH(G429),{1,4,7,10},{"Winter","Spring","Summer","Autumn"})</f>
        <v>Winter</v>
      </c>
      <c r="K429" s="15" t="str">
        <f>_xlfn.XLOOKUP(OrderDetails[[#This Row],[ProductID]],Product!A:A,Product!B:B,"Not Found")</f>
        <v>Flotemysost</v>
      </c>
    </row>
    <row r="430" spans="1:11">
      <c r="A430" s="1">
        <v>10408</v>
      </c>
      <c r="B430" s="1">
        <v>37</v>
      </c>
      <c r="C430" s="1">
        <v>20.8</v>
      </c>
      <c r="D430" s="1">
        <v>10</v>
      </c>
      <c r="E430" s="3">
        <v>0</v>
      </c>
      <c r="F430" s="1" t="str">
        <f>_xlfn.XLOOKUP(A430,Orders!A:A,Orders!B:B,"not found")</f>
        <v>FOLIG</v>
      </c>
      <c r="G430" s="13">
        <f>_xlfn.XLOOKUP(OrderDetails[[#This Row],[OrderID]],Orders!A:A,Orders!C:C,"Not Found")</f>
        <v>35438</v>
      </c>
      <c r="H430" s="16">
        <f>(OrderDetails[[#This Row],[UnitPrice]]*OrderDetails[[#This Row],[Quantity]])*(1-OrderDetails[[#This Row],[Discount]])</f>
        <v>208</v>
      </c>
      <c r="I430" s="15" t="str">
        <f>_xlfn.XLOOKUP(OrderDetails[[#This Row],[ProductID]],Product!A:A,Product!G:G,"Not Found")</f>
        <v>Seafood</v>
      </c>
      <c r="J430" s="15" t="str">
        <f>LOOKUP(MONTH(G430),{1,4,7,10},{"Winter","Spring","Summer","Autumn"})</f>
        <v>Winter</v>
      </c>
      <c r="K430" s="15" t="str">
        <f>_xlfn.XLOOKUP(OrderDetails[[#This Row],[ProductID]],Product!A:A,Product!B:B,"Not Found")</f>
        <v>Gravad lax</v>
      </c>
    </row>
    <row r="431" spans="1:11">
      <c r="A431" s="2">
        <v>10408</v>
      </c>
      <c r="B431" s="2">
        <v>54</v>
      </c>
      <c r="C431" s="2">
        <v>5.9</v>
      </c>
      <c r="D431" s="2">
        <v>6</v>
      </c>
      <c r="E431" s="4">
        <v>0</v>
      </c>
      <c r="F431" s="1" t="str">
        <f>_xlfn.XLOOKUP(A431,Orders!A:A,Orders!B:B,"not found")</f>
        <v>FOLIG</v>
      </c>
      <c r="G431" s="13">
        <f>_xlfn.XLOOKUP(OrderDetails[[#This Row],[OrderID]],Orders!A:A,Orders!C:C,"Not Found")</f>
        <v>35438</v>
      </c>
      <c r="H431" s="16">
        <f>(OrderDetails[[#This Row],[UnitPrice]]*OrderDetails[[#This Row],[Quantity]])*(1-OrderDetails[[#This Row],[Discount]])</f>
        <v>35.400000000000006</v>
      </c>
      <c r="I431" s="15" t="str">
        <f>_xlfn.XLOOKUP(OrderDetails[[#This Row],[ProductID]],Product!A:A,Product!G:G,"Not Found")</f>
        <v>Meat/Poultry</v>
      </c>
      <c r="J431" s="15" t="str">
        <f>LOOKUP(MONTH(G431),{1,4,7,10},{"Winter","Spring","Summer","Autumn"})</f>
        <v>Winter</v>
      </c>
      <c r="K431" s="15" t="str">
        <f>_xlfn.XLOOKUP(OrderDetails[[#This Row],[ProductID]],Product!A:A,Product!B:B,"Not Found")</f>
        <v>Tourtière</v>
      </c>
    </row>
    <row r="432" spans="1:11">
      <c r="A432" s="1">
        <v>10408</v>
      </c>
      <c r="B432" s="1">
        <v>62</v>
      </c>
      <c r="C432" s="1">
        <v>39.4</v>
      </c>
      <c r="D432" s="1">
        <v>35</v>
      </c>
      <c r="E432" s="3">
        <v>0</v>
      </c>
      <c r="F432" s="1" t="str">
        <f>_xlfn.XLOOKUP(A432,Orders!A:A,Orders!B:B,"not found")</f>
        <v>FOLIG</v>
      </c>
      <c r="G432" s="13">
        <f>_xlfn.XLOOKUP(OrderDetails[[#This Row],[OrderID]],Orders!A:A,Orders!C:C,"Not Found")</f>
        <v>35438</v>
      </c>
      <c r="H432" s="16">
        <f>(OrderDetails[[#This Row],[UnitPrice]]*OrderDetails[[#This Row],[Quantity]])*(1-OrderDetails[[#This Row],[Discount]])</f>
        <v>1379</v>
      </c>
      <c r="I432" s="15" t="str">
        <f>_xlfn.XLOOKUP(OrderDetails[[#This Row],[ProductID]],Product!A:A,Product!G:G,"Not Found")</f>
        <v>Confections</v>
      </c>
      <c r="J432" s="15" t="str">
        <f>LOOKUP(MONTH(G432),{1,4,7,10},{"Winter","Spring","Summer","Autumn"})</f>
        <v>Winter</v>
      </c>
      <c r="K432" s="15" t="str">
        <f>_xlfn.XLOOKUP(OrderDetails[[#This Row],[ProductID]],Product!A:A,Product!B:B,"Not Found")</f>
        <v>Tarte au sucre</v>
      </c>
    </row>
    <row r="433" spans="1:11">
      <c r="A433" s="2">
        <v>10409</v>
      </c>
      <c r="B433" s="2">
        <v>14</v>
      </c>
      <c r="C433" s="2">
        <v>18.600000000000001</v>
      </c>
      <c r="D433" s="2">
        <v>12</v>
      </c>
      <c r="E433" s="4">
        <v>0</v>
      </c>
      <c r="F433" s="1" t="str">
        <f>_xlfn.XLOOKUP(A433,Orders!A:A,Orders!B:B,"not found")</f>
        <v>OCEAN</v>
      </c>
      <c r="G433" s="13">
        <f>_xlfn.XLOOKUP(OrderDetails[[#This Row],[OrderID]],Orders!A:A,Orders!C:C,"Not Found")</f>
        <v>35439</v>
      </c>
      <c r="H433" s="16">
        <f>(OrderDetails[[#This Row],[UnitPrice]]*OrderDetails[[#This Row],[Quantity]])*(1-OrderDetails[[#This Row],[Discount]])</f>
        <v>223.20000000000002</v>
      </c>
      <c r="I433" s="15" t="str">
        <f>_xlfn.XLOOKUP(OrderDetails[[#This Row],[ProductID]],Product!A:A,Product!G:G,"Not Found")</f>
        <v>Produce</v>
      </c>
      <c r="J433" s="15" t="str">
        <f>LOOKUP(MONTH(G433),{1,4,7,10},{"Winter","Spring","Summer","Autumn"})</f>
        <v>Winter</v>
      </c>
      <c r="K433" s="15" t="str">
        <f>_xlfn.XLOOKUP(OrderDetails[[#This Row],[ProductID]],Product!A:A,Product!B:B,"Not Found")</f>
        <v>Tofu</v>
      </c>
    </row>
    <row r="434" spans="1:11">
      <c r="A434" s="1">
        <v>10409</v>
      </c>
      <c r="B434" s="1">
        <v>21</v>
      </c>
      <c r="C434" s="1">
        <v>8</v>
      </c>
      <c r="D434" s="1">
        <v>12</v>
      </c>
      <c r="E434" s="3">
        <v>0</v>
      </c>
      <c r="F434" s="1" t="str">
        <f>_xlfn.XLOOKUP(A434,Orders!A:A,Orders!B:B,"not found")</f>
        <v>OCEAN</v>
      </c>
      <c r="G434" s="13">
        <f>_xlfn.XLOOKUP(OrderDetails[[#This Row],[OrderID]],Orders!A:A,Orders!C:C,"Not Found")</f>
        <v>35439</v>
      </c>
      <c r="H434" s="16">
        <f>(OrderDetails[[#This Row],[UnitPrice]]*OrderDetails[[#This Row],[Quantity]])*(1-OrderDetails[[#This Row],[Discount]])</f>
        <v>96</v>
      </c>
      <c r="I434" s="15" t="str">
        <f>_xlfn.XLOOKUP(OrderDetails[[#This Row],[ProductID]],Product!A:A,Product!G:G,"Not Found")</f>
        <v>Confections</v>
      </c>
      <c r="J434" s="15" t="str">
        <f>LOOKUP(MONTH(G434),{1,4,7,10},{"Winter","Spring","Summer","Autumn"})</f>
        <v>Winter</v>
      </c>
      <c r="K434" s="15" t="str">
        <f>_xlfn.XLOOKUP(OrderDetails[[#This Row],[ProductID]],Product!A:A,Product!B:B,"Not Found")</f>
        <v>Sir Rodney's Scones</v>
      </c>
    </row>
    <row r="435" spans="1:11">
      <c r="A435" s="2">
        <v>10410</v>
      </c>
      <c r="B435" s="2">
        <v>33</v>
      </c>
      <c r="C435" s="2">
        <v>2</v>
      </c>
      <c r="D435" s="2">
        <v>49</v>
      </c>
      <c r="E435" s="4">
        <v>0</v>
      </c>
      <c r="F435" s="1" t="str">
        <f>_xlfn.XLOOKUP(A435,Orders!A:A,Orders!B:B,"not found")</f>
        <v>BOTTM</v>
      </c>
      <c r="G435" s="13">
        <f>_xlfn.XLOOKUP(OrderDetails[[#This Row],[OrderID]],Orders!A:A,Orders!C:C,"Not Found")</f>
        <v>35440</v>
      </c>
      <c r="H435" s="16">
        <f>(OrderDetails[[#This Row],[UnitPrice]]*OrderDetails[[#This Row],[Quantity]])*(1-OrderDetails[[#This Row],[Discount]])</f>
        <v>98</v>
      </c>
      <c r="I435" s="15" t="str">
        <f>_xlfn.XLOOKUP(OrderDetails[[#This Row],[ProductID]],Product!A:A,Product!G:G,"Not Found")</f>
        <v>Dairy Products</v>
      </c>
      <c r="J435" s="15" t="str">
        <f>LOOKUP(MONTH(G435),{1,4,7,10},{"Winter","Spring","Summer","Autumn"})</f>
        <v>Winter</v>
      </c>
      <c r="K435" s="15" t="str">
        <f>_xlfn.XLOOKUP(OrderDetails[[#This Row],[ProductID]],Product!A:A,Product!B:B,"Not Found")</f>
        <v>Geitost</v>
      </c>
    </row>
    <row r="436" spans="1:11">
      <c r="A436" s="1">
        <v>10410</v>
      </c>
      <c r="B436" s="1">
        <v>59</v>
      </c>
      <c r="C436" s="1">
        <v>44</v>
      </c>
      <c r="D436" s="1">
        <v>16</v>
      </c>
      <c r="E436" s="3">
        <v>0</v>
      </c>
      <c r="F436" s="1" t="str">
        <f>_xlfn.XLOOKUP(A436,Orders!A:A,Orders!B:B,"not found")</f>
        <v>BOTTM</v>
      </c>
      <c r="G436" s="13">
        <f>_xlfn.XLOOKUP(OrderDetails[[#This Row],[OrderID]],Orders!A:A,Orders!C:C,"Not Found")</f>
        <v>35440</v>
      </c>
      <c r="H436" s="16">
        <f>(OrderDetails[[#This Row],[UnitPrice]]*OrderDetails[[#This Row],[Quantity]])*(1-OrderDetails[[#This Row],[Discount]])</f>
        <v>704</v>
      </c>
      <c r="I436" s="15" t="str">
        <f>_xlfn.XLOOKUP(OrderDetails[[#This Row],[ProductID]],Product!A:A,Product!G:G,"Not Found")</f>
        <v>Dairy Products</v>
      </c>
      <c r="J436" s="15" t="str">
        <f>LOOKUP(MONTH(G436),{1,4,7,10},{"Winter","Spring","Summer","Autumn"})</f>
        <v>Winter</v>
      </c>
      <c r="K436" s="15" t="str">
        <f>_xlfn.XLOOKUP(OrderDetails[[#This Row],[ProductID]],Product!A:A,Product!B:B,"Not Found")</f>
        <v>Raclette Courdavault</v>
      </c>
    </row>
    <row r="437" spans="1:11">
      <c r="A437" s="2">
        <v>10411</v>
      </c>
      <c r="B437" s="2">
        <v>41</v>
      </c>
      <c r="C437" s="2">
        <v>7.7</v>
      </c>
      <c r="D437" s="2">
        <v>25</v>
      </c>
      <c r="E437" s="4">
        <v>0.20000000298023224</v>
      </c>
      <c r="F437" s="1" t="str">
        <f>_xlfn.XLOOKUP(A437,Orders!A:A,Orders!B:B,"not found")</f>
        <v>BOTTM</v>
      </c>
      <c r="G437" s="13">
        <f>_xlfn.XLOOKUP(OrderDetails[[#This Row],[OrderID]],Orders!A:A,Orders!C:C,"Not Found")</f>
        <v>35440</v>
      </c>
      <c r="H437" s="16">
        <f>(OrderDetails[[#This Row],[UnitPrice]]*OrderDetails[[#This Row],[Quantity]])*(1-OrderDetails[[#This Row],[Discount]])</f>
        <v>153.99999942630529</v>
      </c>
      <c r="I437" s="15" t="str">
        <f>_xlfn.XLOOKUP(OrderDetails[[#This Row],[ProductID]],Product!A:A,Product!G:G,"Not Found")</f>
        <v>Seafood</v>
      </c>
      <c r="J437" s="15" t="str">
        <f>LOOKUP(MONTH(G437),{1,4,7,10},{"Winter","Spring","Summer","Autumn"})</f>
        <v>Winter</v>
      </c>
      <c r="K437" s="15" t="str">
        <f>_xlfn.XLOOKUP(OrderDetails[[#This Row],[ProductID]],Product!A:A,Product!B:B,"Not Found")</f>
        <v>Jack's New England Clam Chowder</v>
      </c>
    </row>
    <row r="438" spans="1:11">
      <c r="A438" s="1">
        <v>10411</v>
      </c>
      <c r="B438" s="1">
        <v>44</v>
      </c>
      <c r="C438" s="1">
        <v>15.5</v>
      </c>
      <c r="D438" s="1">
        <v>40</v>
      </c>
      <c r="E438" s="3">
        <v>0.20000000298023224</v>
      </c>
      <c r="F438" s="1" t="str">
        <f>_xlfn.XLOOKUP(A438,Orders!A:A,Orders!B:B,"not found")</f>
        <v>BOTTM</v>
      </c>
      <c r="G438" s="13">
        <f>_xlfn.XLOOKUP(OrderDetails[[#This Row],[OrderID]],Orders!A:A,Orders!C:C,"Not Found")</f>
        <v>35440</v>
      </c>
      <c r="H438" s="16">
        <f>(OrderDetails[[#This Row],[UnitPrice]]*OrderDetails[[#This Row],[Quantity]])*(1-OrderDetails[[#This Row],[Discount]])</f>
        <v>495.99999815225601</v>
      </c>
      <c r="I438" s="15" t="str">
        <f>_xlfn.XLOOKUP(OrderDetails[[#This Row],[ProductID]],Product!A:A,Product!G:G,"Not Found")</f>
        <v>Condiments</v>
      </c>
      <c r="J438" s="15" t="str">
        <f>LOOKUP(MONTH(G438),{1,4,7,10},{"Winter","Spring","Summer","Autumn"})</f>
        <v>Winter</v>
      </c>
      <c r="K438" s="15" t="str">
        <f>_xlfn.XLOOKUP(OrderDetails[[#This Row],[ProductID]],Product!A:A,Product!B:B,"Not Found")</f>
        <v>Gula Malacca</v>
      </c>
    </row>
    <row r="439" spans="1:11">
      <c r="A439" s="2">
        <v>10411</v>
      </c>
      <c r="B439" s="2">
        <v>59</v>
      </c>
      <c r="C439" s="2">
        <v>44</v>
      </c>
      <c r="D439" s="2">
        <v>9</v>
      </c>
      <c r="E439" s="4">
        <v>0.20000000298023224</v>
      </c>
      <c r="F439" s="1" t="str">
        <f>_xlfn.XLOOKUP(A439,Orders!A:A,Orders!B:B,"not found")</f>
        <v>BOTTM</v>
      </c>
      <c r="G439" s="13">
        <f>_xlfn.XLOOKUP(OrderDetails[[#This Row],[OrderID]],Orders!A:A,Orders!C:C,"Not Found")</f>
        <v>35440</v>
      </c>
      <c r="H439" s="16">
        <f>(OrderDetails[[#This Row],[UnitPrice]]*OrderDetails[[#This Row],[Quantity]])*(1-OrderDetails[[#This Row],[Discount]])</f>
        <v>316.79999881982803</v>
      </c>
      <c r="I439" s="15" t="str">
        <f>_xlfn.XLOOKUP(OrderDetails[[#This Row],[ProductID]],Product!A:A,Product!G:G,"Not Found")</f>
        <v>Dairy Products</v>
      </c>
      <c r="J439" s="15" t="str">
        <f>LOOKUP(MONTH(G439),{1,4,7,10},{"Winter","Spring","Summer","Autumn"})</f>
        <v>Winter</v>
      </c>
      <c r="K439" s="15" t="str">
        <f>_xlfn.XLOOKUP(OrderDetails[[#This Row],[ProductID]],Product!A:A,Product!B:B,"Not Found")</f>
        <v>Raclette Courdavault</v>
      </c>
    </row>
    <row r="440" spans="1:11">
      <c r="A440" s="1">
        <v>10412</v>
      </c>
      <c r="B440" s="1">
        <v>14</v>
      </c>
      <c r="C440" s="1">
        <v>18.600000000000001</v>
      </c>
      <c r="D440" s="1">
        <v>20</v>
      </c>
      <c r="E440" s="3">
        <v>0.10000000149011612</v>
      </c>
      <c r="F440" s="1" t="str">
        <f>_xlfn.XLOOKUP(A440,Orders!A:A,Orders!B:B,"not found")</f>
        <v>WARTH</v>
      </c>
      <c r="G440" s="13">
        <f>_xlfn.XLOOKUP(OrderDetails[[#This Row],[OrderID]],Orders!A:A,Orders!C:C,"Not Found")</f>
        <v>35443</v>
      </c>
      <c r="H440" s="16">
        <f>(OrderDetails[[#This Row],[UnitPrice]]*OrderDetails[[#This Row],[Quantity]])*(1-OrderDetails[[#This Row],[Discount]])</f>
        <v>334.7999994456768</v>
      </c>
      <c r="I440" s="15" t="str">
        <f>_xlfn.XLOOKUP(OrderDetails[[#This Row],[ProductID]],Product!A:A,Product!G:G,"Not Found")</f>
        <v>Produce</v>
      </c>
      <c r="J440" s="15" t="str">
        <f>LOOKUP(MONTH(G440),{1,4,7,10},{"Winter","Spring","Summer","Autumn"})</f>
        <v>Winter</v>
      </c>
      <c r="K440" s="15" t="str">
        <f>_xlfn.XLOOKUP(OrderDetails[[#This Row],[ProductID]],Product!A:A,Product!B:B,"Not Found")</f>
        <v>Tofu</v>
      </c>
    </row>
    <row r="441" spans="1:11">
      <c r="A441" s="2">
        <v>10413</v>
      </c>
      <c r="B441" s="2">
        <v>1</v>
      </c>
      <c r="C441" s="2">
        <v>14.4</v>
      </c>
      <c r="D441" s="2">
        <v>24</v>
      </c>
      <c r="E441" s="4">
        <v>0</v>
      </c>
      <c r="F441" s="1" t="str">
        <f>_xlfn.XLOOKUP(A441,Orders!A:A,Orders!B:B,"not found")</f>
        <v>LAMAI</v>
      </c>
      <c r="G441" s="13">
        <f>_xlfn.XLOOKUP(OrderDetails[[#This Row],[OrderID]],Orders!A:A,Orders!C:C,"Not Found")</f>
        <v>35444</v>
      </c>
      <c r="H441" s="16">
        <f>(OrderDetails[[#This Row],[UnitPrice]]*OrderDetails[[#This Row],[Quantity]])*(1-OrderDetails[[#This Row],[Discount]])</f>
        <v>345.6</v>
      </c>
      <c r="I441" s="15" t="str">
        <f>_xlfn.XLOOKUP(OrderDetails[[#This Row],[ProductID]],Product!A:A,Product!G:G,"Not Found")</f>
        <v>Beverages</v>
      </c>
      <c r="J441" s="15" t="str">
        <f>LOOKUP(MONTH(G441),{1,4,7,10},{"Winter","Spring","Summer","Autumn"})</f>
        <v>Winter</v>
      </c>
      <c r="K441" s="15" t="str">
        <f>_xlfn.XLOOKUP(OrderDetails[[#This Row],[ProductID]],Product!A:A,Product!B:B,"Not Found")</f>
        <v>Chai</v>
      </c>
    </row>
    <row r="442" spans="1:11">
      <c r="A442" s="1">
        <v>10413</v>
      </c>
      <c r="B442" s="1">
        <v>62</v>
      </c>
      <c r="C442" s="1">
        <v>39.4</v>
      </c>
      <c r="D442" s="1">
        <v>40</v>
      </c>
      <c r="E442" s="3">
        <v>0</v>
      </c>
      <c r="F442" s="1" t="str">
        <f>_xlfn.XLOOKUP(A442,Orders!A:A,Orders!B:B,"not found")</f>
        <v>LAMAI</v>
      </c>
      <c r="G442" s="13">
        <f>_xlfn.XLOOKUP(OrderDetails[[#This Row],[OrderID]],Orders!A:A,Orders!C:C,"Not Found")</f>
        <v>35444</v>
      </c>
      <c r="H442" s="16">
        <f>(OrderDetails[[#This Row],[UnitPrice]]*OrderDetails[[#This Row],[Quantity]])*(1-OrderDetails[[#This Row],[Discount]])</f>
        <v>1576</v>
      </c>
      <c r="I442" s="15" t="str">
        <f>_xlfn.XLOOKUP(OrderDetails[[#This Row],[ProductID]],Product!A:A,Product!G:G,"Not Found")</f>
        <v>Confections</v>
      </c>
      <c r="J442" s="15" t="str">
        <f>LOOKUP(MONTH(G442),{1,4,7,10},{"Winter","Spring","Summer","Autumn"})</f>
        <v>Winter</v>
      </c>
      <c r="K442" s="15" t="str">
        <f>_xlfn.XLOOKUP(OrderDetails[[#This Row],[ProductID]],Product!A:A,Product!B:B,"Not Found")</f>
        <v>Tarte au sucre</v>
      </c>
    </row>
    <row r="443" spans="1:11">
      <c r="A443" s="2">
        <v>10413</v>
      </c>
      <c r="B443" s="2">
        <v>76</v>
      </c>
      <c r="C443" s="2">
        <v>14.4</v>
      </c>
      <c r="D443" s="2">
        <v>14</v>
      </c>
      <c r="E443" s="4">
        <v>0</v>
      </c>
      <c r="F443" s="1" t="str">
        <f>_xlfn.XLOOKUP(A443,Orders!A:A,Orders!B:B,"not found")</f>
        <v>LAMAI</v>
      </c>
      <c r="G443" s="13">
        <f>_xlfn.XLOOKUP(OrderDetails[[#This Row],[OrderID]],Orders!A:A,Orders!C:C,"Not Found")</f>
        <v>35444</v>
      </c>
      <c r="H443" s="16">
        <f>(OrderDetails[[#This Row],[UnitPrice]]*OrderDetails[[#This Row],[Quantity]])*(1-OrderDetails[[#This Row],[Discount]])</f>
        <v>201.6</v>
      </c>
      <c r="I443" s="15" t="str">
        <f>_xlfn.XLOOKUP(OrderDetails[[#This Row],[ProductID]],Product!A:A,Product!G:G,"Not Found")</f>
        <v>Beverages</v>
      </c>
      <c r="J443" s="15" t="str">
        <f>LOOKUP(MONTH(G443),{1,4,7,10},{"Winter","Spring","Summer","Autumn"})</f>
        <v>Winter</v>
      </c>
      <c r="K443" s="15" t="str">
        <f>_xlfn.XLOOKUP(OrderDetails[[#This Row],[ProductID]],Product!A:A,Product!B:B,"Not Found")</f>
        <v>Lakkalikööri</v>
      </c>
    </row>
    <row r="444" spans="1:11">
      <c r="A444" s="1">
        <v>10414</v>
      </c>
      <c r="B444" s="1">
        <v>19</v>
      </c>
      <c r="C444" s="1">
        <v>7.3</v>
      </c>
      <c r="D444" s="1">
        <v>18</v>
      </c>
      <c r="E444" s="3">
        <v>5.000000074505806E-2</v>
      </c>
      <c r="F444" s="1" t="str">
        <f>_xlfn.XLOOKUP(A444,Orders!A:A,Orders!B:B,"not found")</f>
        <v>FAMIA</v>
      </c>
      <c r="G444" s="13">
        <f>_xlfn.XLOOKUP(OrderDetails[[#This Row],[OrderID]],Orders!A:A,Orders!C:C,"Not Found")</f>
        <v>35444</v>
      </c>
      <c r="H444" s="16">
        <f>(OrderDetails[[#This Row],[UnitPrice]]*OrderDetails[[#This Row],[Quantity]])*(1-OrderDetails[[#This Row],[Discount]])</f>
        <v>124.82999990209937</v>
      </c>
      <c r="I444" s="15" t="str">
        <f>_xlfn.XLOOKUP(OrderDetails[[#This Row],[ProductID]],Product!A:A,Product!G:G,"Not Found")</f>
        <v>Confections</v>
      </c>
      <c r="J444" s="15" t="str">
        <f>LOOKUP(MONTH(G444),{1,4,7,10},{"Winter","Spring","Summer","Autumn"})</f>
        <v>Winter</v>
      </c>
      <c r="K444" s="15" t="str">
        <f>_xlfn.XLOOKUP(OrderDetails[[#This Row],[ProductID]],Product!A:A,Product!B:B,"Not Found")</f>
        <v>Teatime Chocolate Biscuits</v>
      </c>
    </row>
    <row r="445" spans="1:11">
      <c r="A445" s="2">
        <v>10414</v>
      </c>
      <c r="B445" s="2">
        <v>33</v>
      </c>
      <c r="C445" s="2">
        <v>2</v>
      </c>
      <c r="D445" s="2">
        <v>50</v>
      </c>
      <c r="E445" s="4">
        <v>0</v>
      </c>
      <c r="F445" s="1" t="str">
        <f>_xlfn.XLOOKUP(A445,Orders!A:A,Orders!B:B,"not found")</f>
        <v>FAMIA</v>
      </c>
      <c r="G445" s="13">
        <f>_xlfn.XLOOKUP(OrderDetails[[#This Row],[OrderID]],Orders!A:A,Orders!C:C,"Not Found")</f>
        <v>35444</v>
      </c>
      <c r="H445" s="16">
        <f>(OrderDetails[[#This Row],[UnitPrice]]*OrderDetails[[#This Row],[Quantity]])*(1-OrderDetails[[#This Row],[Discount]])</f>
        <v>100</v>
      </c>
      <c r="I445" s="15" t="str">
        <f>_xlfn.XLOOKUP(OrderDetails[[#This Row],[ProductID]],Product!A:A,Product!G:G,"Not Found")</f>
        <v>Dairy Products</v>
      </c>
      <c r="J445" s="15" t="str">
        <f>LOOKUP(MONTH(G445),{1,4,7,10},{"Winter","Spring","Summer","Autumn"})</f>
        <v>Winter</v>
      </c>
      <c r="K445" s="15" t="str">
        <f>_xlfn.XLOOKUP(OrderDetails[[#This Row],[ProductID]],Product!A:A,Product!B:B,"Not Found")</f>
        <v>Geitost</v>
      </c>
    </row>
    <row r="446" spans="1:11">
      <c r="A446" s="1">
        <v>10415</v>
      </c>
      <c r="B446" s="1">
        <v>17</v>
      </c>
      <c r="C446" s="1">
        <v>31.2</v>
      </c>
      <c r="D446" s="1">
        <v>2</v>
      </c>
      <c r="E446" s="3">
        <v>0</v>
      </c>
      <c r="F446" s="1" t="str">
        <f>_xlfn.XLOOKUP(A446,Orders!A:A,Orders!B:B,"not found")</f>
        <v>HUNGC</v>
      </c>
      <c r="G446" s="13">
        <f>_xlfn.XLOOKUP(OrderDetails[[#This Row],[OrderID]],Orders!A:A,Orders!C:C,"Not Found")</f>
        <v>35445</v>
      </c>
      <c r="H446" s="16">
        <f>(OrderDetails[[#This Row],[UnitPrice]]*OrderDetails[[#This Row],[Quantity]])*(1-OrderDetails[[#This Row],[Discount]])</f>
        <v>62.4</v>
      </c>
      <c r="I446" s="15" t="str">
        <f>_xlfn.XLOOKUP(OrderDetails[[#This Row],[ProductID]],Product!A:A,Product!G:G,"Not Found")</f>
        <v>Meat/Poultry</v>
      </c>
      <c r="J446" s="15" t="str">
        <f>LOOKUP(MONTH(G446),{1,4,7,10},{"Winter","Spring","Summer","Autumn"})</f>
        <v>Winter</v>
      </c>
      <c r="K446" s="15" t="str">
        <f>_xlfn.XLOOKUP(OrderDetails[[#This Row],[ProductID]],Product!A:A,Product!B:B,"Not Found")</f>
        <v>Alice Mutton</v>
      </c>
    </row>
    <row r="447" spans="1:11">
      <c r="A447" s="2">
        <v>10415</v>
      </c>
      <c r="B447" s="2">
        <v>33</v>
      </c>
      <c r="C447" s="2">
        <v>2</v>
      </c>
      <c r="D447" s="2">
        <v>20</v>
      </c>
      <c r="E447" s="4">
        <v>0</v>
      </c>
      <c r="F447" s="1" t="str">
        <f>_xlfn.XLOOKUP(A447,Orders!A:A,Orders!B:B,"not found")</f>
        <v>HUNGC</v>
      </c>
      <c r="G447" s="13">
        <f>_xlfn.XLOOKUP(OrderDetails[[#This Row],[OrderID]],Orders!A:A,Orders!C:C,"Not Found")</f>
        <v>35445</v>
      </c>
      <c r="H447" s="16">
        <f>(OrderDetails[[#This Row],[UnitPrice]]*OrderDetails[[#This Row],[Quantity]])*(1-OrderDetails[[#This Row],[Discount]])</f>
        <v>40</v>
      </c>
      <c r="I447" s="15" t="str">
        <f>_xlfn.XLOOKUP(OrderDetails[[#This Row],[ProductID]],Product!A:A,Product!G:G,"Not Found")</f>
        <v>Dairy Products</v>
      </c>
      <c r="J447" s="15" t="str">
        <f>LOOKUP(MONTH(G447),{1,4,7,10},{"Winter","Spring","Summer","Autumn"})</f>
        <v>Winter</v>
      </c>
      <c r="K447" s="15" t="str">
        <f>_xlfn.XLOOKUP(OrderDetails[[#This Row],[ProductID]],Product!A:A,Product!B:B,"Not Found")</f>
        <v>Geitost</v>
      </c>
    </row>
    <row r="448" spans="1:11">
      <c r="A448" s="1">
        <v>10416</v>
      </c>
      <c r="B448" s="1">
        <v>19</v>
      </c>
      <c r="C448" s="1">
        <v>7.3</v>
      </c>
      <c r="D448" s="1">
        <v>20</v>
      </c>
      <c r="E448" s="3">
        <v>0</v>
      </c>
      <c r="F448" s="1" t="str">
        <f>_xlfn.XLOOKUP(A448,Orders!A:A,Orders!B:B,"not found")</f>
        <v>WARTH</v>
      </c>
      <c r="G448" s="13">
        <f>_xlfn.XLOOKUP(OrderDetails[[#This Row],[OrderID]],Orders!A:A,Orders!C:C,"Not Found")</f>
        <v>35446</v>
      </c>
      <c r="H448" s="16">
        <f>(OrderDetails[[#This Row],[UnitPrice]]*OrderDetails[[#This Row],[Quantity]])*(1-OrderDetails[[#This Row],[Discount]])</f>
        <v>146</v>
      </c>
      <c r="I448" s="15" t="str">
        <f>_xlfn.XLOOKUP(OrderDetails[[#This Row],[ProductID]],Product!A:A,Product!G:G,"Not Found")</f>
        <v>Confections</v>
      </c>
      <c r="J448" s="15" t="str">
        <f>LOOKUP(MONTH(G448),{1,4,7,10},{"Winter","Spring","Summer","Autumn"})</f>
        <v>Winter</v>
      </c>
      <c r="K448" s="15" t="str">
        <f>_xlfn.XLOOKUP(OrderDetails[[#This Row],[ProductID]],Product!A:A,Product!B:B,"Not Found")</f>
        <v>Teatime Chocolate Biscuits</v>
      </c>
    </row>
    <row r="449" spans="1:11">
      <c r="A449" s="2">
        <v>10416</v>
      </c>
      <c r="B449" s="2">
        <v>53</v>
      </c>
      <c r="C449" s="2">
        <v>26.2</v>
      </c>
      <c r="D449" s="2">
        <v>10</v>
      </c>
      <c r="E449" s="4">
        <v>0</v>
      </c>
      <c r="F449" s="1" t="str">
        <f>_xlfn.XLOOKUP(A449,Orders!A:A,Orders!B:B,"not found")</f>
        <v>WARTH</v>
      </c>
      <c r="G449" s="13">
        <f>_xlfn.XLOOKUP(OrderDetails[[#This Row],[OrderID]],Orders!A:A,Orders!C:C,"Not Found")</f>
        <v>35446</v>
      </c>
      <c r="H449" s="16">
        <f>(OrderDetails[[#This Row],[UnitPrice]]*OrderDetails[[#This Row],[Quantity]])*(1-OrderDetails[[#This Row],[Discount]])</f>
        <v>262</v>
      </c>
      <c r="I449" s="15" t="str">
        <f>_xlfn.XLOOKUP(OrderDetails[[#This Row],[ProductID]],Product!A:A,Product!G:G,"Not Found")</f>
        <v>Meat/Poultry</v>
      </c>
      <c r="J449" s="15" t="str">
        <f>LOOKUP(MONTH(G449),{1,4,7,10},{"Winter","Spring","Summer","Autumn"})</f>
        <v>Winter</v>
      </c>
      <c r="K449" s="15" t="str">
        <f>_xlfn.XLOOKUP(OrderDetails[[#This Row],[ProductID]],Product!A:A,Product!B:B,"Not Found")</f>
        <v>Perth Pasties</v>
      </c>
    </row>
    <row r="450" spans="1:11">
      <c r="A450" s="1">
        <v>10416</v>
      </c>
      <c r="B450" s="1">
        <v>57</v>
      </c>
      <c r="C450" s="1">
        <v>15.6</v>
      </c>
      <c r="D450" s="1">
        <v>20</v>
      </c>
      <c r="E450" s="3">
        <v>0</v>
      </c>
      <c r="F450" s="1" t="str">
        <f>_xlfn.XLOOKUP(A450,Orders!A:A,Orders!B:B,"not found")</f>
        <v>WARTH</v>
      </c>
      <c r="G450" s="13">
        <f>_xlfn.XLOOKUP(OrderDetails[[#This Row],[OrderID]],Orders!A:A,Orders!C:C,"Not Found")</f>
        <v>35446</v>
      </c>
      <c r="H450" s="16">
        <f>(OrderDetails[[#This Row],[UnitPrice]]*OrderDetails[[#This Row],[Quantity]])*(1-OrderDetails[[#This Row],[Discount]])</f>
        <v>312</v>
      </c>
      <c r="I450" s="15" t="str">
        <f>_xlfn.XLOOKUP(OrderDetails[[#This Row],[ProductID]],Product!A:A,Product!G:G,"Not Found")</f>
        <v>Grains/Cereals</v>
      </c>
      <c r="J450" s="15" t="str">
        <f>LOOKUP(MONTH(G450),{1,4,7,10},{"Winter","Spring","Summer","Autumn"})</f>
        <v>Winter</v>
      </c>
      <c r="K450" s="15" t="str">
        <f>_xlfn.XLOOKUP(OrderDetails[[#This Row],[ProductID]],Product!A:A,Product!B:B,"Not Found")</f>
        <v>Ravioli Angelo</v>
      </c>
    </row>
    <row r="451" spans="1:11">
      <c r="A451" s="2">
        <v>10417</v>
      </c>
      <c r="B451" s="2">
        <v>38</v>
      </c>
      <c r="C451" s="2">
        <v>210.8</v>
      </c>
      <c r="D451" s="2">
        <v>50</v>
      </c>
      <c r="E451" s="4">
        <v>0</v>
      </c>
      <c r="F451" s="1" t="str">
        <f>_xlfn.XLOOKUP(A451,Orders!A:A,Orders!B:B,"not found")</f>
        <v>SIMOB</v>
      </c>
      <c r="G451" s="13">
        <f>_xlfn.XLOOKUP(OrderDetails[[#This Row],[OrderID]],Orders!A:A,Orders!C:C,"Not Found")</f>
        <v>35446</v>
      </c>
      <c r="H451" s="16">
        <f>(OrderDetails[[#This Row],[UnitPrice]]*OrderDetails[[#This Row],[Quantity]])*(1-OrderDetails[[#This Row],[Discount]])</f>
        <v>10540</v>
      </c>
      <c r="I451" s="15" t="str">
        <f>_xlfn.XLOOKUP(OrderDetails[[#This Row],[ProductID]],Product!A:A,Product!G:G,"Not Found")</f>
        <v>Beverages</v>
      </c>
      <c r="J451" s="15" t="str">
        <f>LOOKUP(MONTH(G451),{1,4,7,10},{"Winter","Spring","Summer","Autumn"})</f>
        <v>Winter</v>
      </c>
      <c r="K451" s="15" t="str">
        <f>_xlfn.XLOOKUP(OrderDetails[[#This Row],[ProductID]],Product!A:A,Product!B:B,"Not Found")</f>
        <v>Côte de Blaye</v>
      </c>
    </row>
    <row r="452" spans="1:11">
      <c r="A452" s="1">
        <v>10417</v>
      </c>
      <c r="B452" s="1">
        <v>46</v>
      </c>
      <c r="C452" s="1">
        <v>9.6</v>
      </c>
      <c r="D452" s="1">
        <v>2</v>
      </c>
      <c r="E452" s="3">
        <v>0.25</v>
      </c>
      <c r="F452" s="1" t="str">
        <f>_xlfn.XLOOKUP(A452,Orders!A:A,Orders!B:B,"not found")</f>
        <v>SIMOB</v>
      </c>
      <c r="G452" s="13">
        <f>_xlfn.XLOOKUP(OrderDetails[[#This Row],[OrderID]],Orders!A:A,Orders!C:C,"Not Found")</f>
        <v>35446</v>
      </c>
      <c r="H452" s="16">
        <f>(OrderDetails[[#This Row],[UnitPrice]]*OrderDetails[[#This Row],[Quantity]])*(1-OrderDetails[[#This Row],[Discount]])</f>
        <v>14.399999999999999</v>
      </c>
      <c r="I452" s="15" t="str">
        <f>_xlfn.XLOOKUP(OrderDetails[[#This Row],[ProductID]],Product!A:A,Product!G:G,"Not Found")</f>
        <v>Seafood</v>
      </c>
      <c r="J452" s="15" t="str">
        <f>LOOKUP(MONTH(G452),{1,4,7,10},{"Winter","Spring","Summer","Autumn"})</f>
        <v>Winter</v>
      </c>
      <c r="K452" s="15" t="str">
        <f>_xlfn.XLOOKUP(OrderDetails[[#This Row],[ProductID]],Product!A:A,Product!B:B,"Not Found")</f>
        <v>Spegesild</v>
      </c>
    </row>
    <row r="453" spans="1:11">
      <c r="A453" s="2">
        <v>10417</v>
      </c>
      <c r="B453" s="2">
        <v>68</v>
      </c>
      <c r="C453" s="2">
        <v>10</v>
      </c>
      <c r="D453" s="2">
        <v>36</v>
      </c>
      <c r="E453" s="4">
        <v>0.25</v>
      </c>
      <c r="F453" s="1" t="str">
        <f>_xlfn.XLOOKUP(A453,Orders!A:A,Orders!B:B,"not found")</f>
        <v>SIMOB</v>
      </c>
      <c r="G453" s="13">
        <f>_xlfn.XLOOKUP(OrderDetails[[#This Row],[OrderID]],Orders!A:A,Orders!C:C,"Not Found")</f>
        <v>35446</v>
      </c>
      <c r="H453" s="16">
        <f>(OrderDetails[[#This Row],[UnitPrice]]*OrderDetails[[#This Row],[Quantity]])*(1-OrderDetails[[#This Row],[Discount]])</f>
        <v>270</v>
      </c>
      <c r="I453" s="15" t="str">
        <f>_xlfn.XLOOKUP(OrderDetails[[#This Row],[ProductID]],Product!A:A,Product!G:G,"Not Found")</f>
        <v>Confections</v>
      </c>
      <c r="J453" s="15" t="str">
        <f>LOOKUP(MONTH(G453),{1,4,7,10},{"Winter","Spring","Summer","Autumn"})</f>
        <v>Winter</v>
      </c>
      <c r="K453" s="15" t="str">
        <f>_xlfn.XLOOKUP(OrderDetails[[#This Row],[ProductID]],Product!A:A,Product!B:B,"Not Found")</f>
        <v>Scottish Longbreads</v>
      </c>
    </row>
    <row r="454" spans="1:11">
      <c r="A454" s="1">
        <v>10417</v>
      </c>
      <c r="B454" s="1">
        <v>77</v>
      </c>
      <c r="C454" s="1">
        <v>10.4</v>
      </c>
      <c r="D454" s="1">
        <v>35</v>
      </c>
      <c r="E454" s="3">
        <v>0</v>
      </c>
      <c r="F454" s="1" t="str">
        <f>_xlfn.XLOOKUP(A454,Orders!A:A,Orders!B:B,"not found")</f>
        <v>SIMOB</v>
      </c>
      <c r="G454" s="13">
        <f>_xlfn.XLOOKUP(OrderDetails[[#This Row],[OrderID]],Orders!A:A,Orders!C:C,"Not Found")</f>
        <v>35446</v>
      </c>
      <c r="H454" s="16">
        <f>(OrderDetails[[#This Row],[UnitPrice]]*OrderDetails[[#This Row],[Quantity]])*(1-OrderDetails[[#This Row],[Discount]])</f>
        <v>364</v>
      </c>
      <c r="I454" s="15" t="str">
        <f>_xlfn.XLOOKUP(OrderDetails[[#This Row],[ProductID]],Product!A:A,Product!G:G,"Not Found")</f>
        <v>Condiments</v>
      </c>
      <c r="J454" s="15" t="str">
        <f>LOOKUP(MONTH(G454),{1,4,7,10},{"Winter","Spring","Summer","Autumn"})</f>
        <v>Winter</v>
      </c>
      <c r="K454" s="15" t="str">
        <f>_xlfn.XLOOKUP(OrderDetails[[#This Row],[ProductID]],Product!A:A,Product!B:B,"Not Found")</f>
        <v>Original Frankfurter grüne Soße</v>
      </c>
    </row>
    <row r="455" spans="1:11">
      <c r="A455" s="2">
        <v>10418</v>
      </c>
      <c r="B455" s="2">
        <v>2</v>
      </c>
      <c r="C455" s="2">
        <v>15.2</v>
      </c>
      <c r="D455" s="2">
        <v>60</v>
      </c>
      <c r="E455" s="4">
        <v>0</v>
      </c>
      <c r="F455" s="1" t="str">
        <f>_xlfn.XLOOKUP(A455,Orders!A:A,Orders!B:B,"not found")</f>
        <v>QUICK</v>
      </c>
      <c r="G455" s="13">
        <f>_xlfn.XLOOKUP(OrderDetails[[#This Row],[OrderID]],Orders!A:A,Orders!C:C,"Not Found")</f>
        <v>35447</v>
      </c>
      <c r="H455" s="16">
        <f>(OrderDetails[[#This Row],[UnitPrice]]*OrderDetails[[#This Row],[Quantity]])*(1-OrderDetails[[#This Row],[Discount]])</f>
        <v>912</v>
      </c>
      <c r="I455" s="15" t="str">
        <f>_xlfn.XLOOKUP(OrderDetails[[#This Row],[ProductID]],Product!A:A,Product!G:G,"Not Found")</f>
        <v>Beverages</v>
      </c>
      <c r="J455" s="15" t="str">
        <f>LOOKUP(MONTH(G455),{1,4,7,10},{"Winter","Spring","Summer","Autumn"})</f>
        <v>Winter</v>
      </c>
      <c r="K455" s="15" t="str">
        <f>_xlfn.XLOOKUP(OrderDetails[[#This Row],[ProductID]],Product!A:A,Product!B:B,"Not Found")</f>
        <v>Chang</v>
      </c>
    </row>
    <row r="456" spans="1:11">
      <c r="A456" s="1">
        <v>10418</v>
      </c>
      <c r="B456" s="1">
        <v>47</v>
      </c>
      <c r="C456" s="1">
        <v>7.6</v>
      </c>
      <c r="D456" s="1">
        <v>55</v>
      </c>
      <c r="E456" s="3">
        <v>0</v>
      </c>
      <c r="F456" s="1" t="str">
        <f>_xlfn.XLOOKUP(A456,Orders!A:A,Orders!B:B,"not found")</f>
        <v>QUICK</v>
      </c>
      <c r="G456" s="13">
        <f>_xlfn.XLOOKUP(OrderDetails[[#This Row],[OrderID]],Orders!A:A,Orders!C:C,"Not Found")</f>
        <v>35447</v>
      </c>
      <c r="H456" s="16">
        <f>(OrderDetails[[#This Row],[UnitPrice]]*OrderDetails[[#This Row],[Quantity]])*(1-OrderDetails[[#This Row],[Discount]])</f>
        <v>418</v>
      </c>
      <c r="I456" s="15" t="str">
        <f>_xlfn.XLOOKUP(OrderDetails[[#This Row],[ProductID]],Product!A:A,Product!G:G,"Not Found")</f>
        <v>Confections</v>
      </c>
      <c r="J456" s="15" t="str">
        <f>LOOKUP(MONTH(G456),{1,4,7,10},{"Winter","Spring","Summer","Autumn"})</f>
        <v>Winter</v>
      </c>
      <c r="K456" s="15" t="str">
        <f>_xlfn.XLOOKUP(OrderDetails[[#This Row],[ProductID]],Product!A:A,Product!B:B,"Not Found")</f>
        <v>Zaanse koeken</v>
      </c>
    </row>
    <row r="457" spans="1:11">
      <c r="A457" s="2">
        <v>10418</v>
      </c>
      <c r="B457" s="2">
        <v>61</v>
      </c>
      <c r="C457" s="2">
        <v>22.8</v>
      </c>
      <c r="D457" s="2">
        <v>16</v>
      </c>
      <c r="E457" s="4">
        <v>0</v>
      </c>
      <c r="F457" s="1" t="str">
        <f>_xlfn.XLOOKUP(A457,Orders!A:A,Orders!B:B,"not found")</f>
        <v>QUICK</v>
      </c>
      <c r="G457" s="13">
        <f>_xlfn.XLOOKUP(OrderDetails[[#This Row],[OrderID]],Orders!A:A,Orders!C:C,"Not Found")</f>
        <v>35447</v>
      </c>
      <c r="H457" s="16">
        <f>(OrderDetails[[#This Row],[UnitPrice]]*OrderDetails[[#This Row],[Quantity]])*(1-OrderDetails[[#This Row],[Discount]])</f>
        <v>364.8</v>
      </c>
      <c r="I457" s="15" t="str">
        <f>_xlfn.XLOOKUP(OrderDetails[[#This Row],[ProductID]],Product!A:A,Product!G:G,"Not Found")</f>
        <v>Condiments</v>
      </c>
      <c r="J457" s="15" t="str">
        <f>LOOKUP(MONTH(G457),{1,4,7,10},{"Winter","Spring","Summer","Autumn"})</f>
        <v>Winter</v>
      </c>
      <c r="K457" s="15" t="str">
        <f>_xlfn.XLOOKUP(OrderDetails[[#This Row],[ProductID]],Product!A:A,Product!B:B,"Not Found")</f>
        <v>Sirop d'érable</v>
      </c>
    </row>
    <row r="458" spans="1:11">
      <c r="A458" s="1">
        <v>10418</v>
      </c>
      <c r="B458" s="1">
        <v>74</v>
      </c>
      <c r="C458" s="1">
        <v>8</v>
      </c>
      <c r="D458" s="1">
        <v>15</v>
      </c>
      <c r="E458" s="3">
        <v>0</v>
      </c>
      <c r="F458" s="1" t="str">
        <f>_xlfn.XLOOKUP(A458,Orders!A:A,Orders!B:B,"not found")</f>
        <v>QUICK</v>
      </c>
      <c r="G458" s="13">
        <f>_xlfn.XLOOKUP(OrderDetails[[#This Row],[OrderID]],Orders!A:A,Orders!C:C,"Not Found")</f>
        <v>35447</v>
      </c>
      <c r="H458" s="16">
        <f>(OrderDetails[[#This Row],[UnitPrice]]*OrderDetails[[#This Row],[Quantity]])*(1-OrderDetails[[#This Row],[Discount]])</f>
        <v>120</v>
      </c>
      <c r="I458" s="15" t="str">
        <f>_xlfn.XLOOKUP(OrderDetails[[#This Row],[ProductID]],Product!A:A,Product!G:G,"Not Found")</f>
        <v>Produce</v>
      </c>
      <c r="J458" s="15" t="str">
        <f>LOOKUP(MONTH(G458),{1,4,7,10},{"Winter","Spring","Summer","Autumn"})</f>
        <v>Winter</v>
      </c>
      <c r="K458" s="15" t="str">
        <f>_xlfn.XLOOKUP(OrderDetails[[#This Row],[ProductID]],Product!A:A,Product!B:B,"Not Found")</f>
        <v>Longlife Tofu</v>
      </c>
    </row>
    <row r="459" spans="1:11">
      <c r="A459" s="2">
        <v>10419</v>
      </c>
      <c r="B459" s="2">
        <v>60</v>
      </c>
      <c r="C459" s="2">
        <v>27.2</v>
      </c>
      <c r="D459" s="2">
        <v>60</v>
      </c>
      <c r="E459" s="4">
        <v>5.000000074505806E-2</v>
      </c>
      <c r="F459" s="1" t="str">
        <f>_xlfn.XLOOKUP(A459,Orders!A:A,Orders!B:B,"not found")</f>
        <v>RICSU</v>
      </c>
      <c r="G459" s="13">
        <f>_xlfn.XLOOKUP(OrderDetails[[#This Row],[OrderID]],Orders!A:A,Orders!C:C,"Not Found")</f>
        <v>35450</v>
      </c>
      <c r="H459" s="16">
        <f>(OrderDetails[[#This Row],[UnitPrice]]*OrderDetails[[#This Row],[Quantity]])*(1-OrderDetails[[#This Row],[Discount]])</f>
        <v>1550.3999987840652</v>
      </c>
      <c r="I459" s="15" t="str">
        <f>_xlfn.XLOOKUP(OrderDetails[[#This Row],[ProductID]],Product!A:A,Product!G:G,"Not Found")</f>
        <v>Dairy Products</v>
      </c>
      <c r="J459" s="15" t="str">
        <f>LOOKUP(MONTH(G459),{1,4,7,10},{"Winter","Spring","Summer","Autumn"})</f>
        <v>Winter</v>
      </c>
      <c r="K459" s="15" t="str">
        <f>_xlfn.XLOOKUP(OrderDetails[[#This Row],[ProductID]],Product!A:A,Product!B:B,"Not Found")</f>
        <v>Camembert Pierrot</v>
      </c>
    </row>
    <row r="460" spans="1:11">
      <c r="A460" s="1">
        <v>10419</v>
      </c>
      <c r="B460" s="1">
        <v>69</v>
      </c>
      <c r="C460" s="1">
        <v>28.8</v>
      </c>
      <c r="D460" s="1">
        <v>20</v>
      </c>
      <c r="E460" s="3">
        <v>5.000000074505806E-2</v>
      </c>
      <c r="F460" s="1" t="str">
        <f>_xlfn.XLOOKUP(A460,Orders!A:A,Orders!B:B,"not found")</f>
        <v>RICSU</v>
      </c>
      <c r="G460" s="13">
        <f>_xlfn.XLOOKUP(OrderDetails[[#This Row],[OrderID]],Orders!A:A,Orders!C:C,"Not Found")</f>
        <v>35450</v>
      </c>
      <c r="H460" s="16">
        <f>(OrderDetails[[#This Row],[UnitPrice]]*OrderDetails[[#This Row],[Quantity]])*(1-OrderDetails[[#This Row],[Discount]])</f>
        <v>547.19999957084656</v>
      </c>
      <c r="I460" s="15" t="str">
        <f>_xlfn.XLOOKUP(OrderDetails[[#This Row],[ProductID]],Product!A:A,Product!G:G,"Not Found")</f>
        <v>Dairy Products</v>
      </c>
      <c r="J460" s="15" t="str">
        <f>LOOKUP(MONTH(G460),{1,4,7,10},{"Winter","Spring","Summer","Autumn"})</f>
        <v>Winter</v>
      </c>
      <c r="K460" s="15" t="str">
        <f>_xlfn.XLOOKUP(OrderDetails[[#This Row],[ProductID]],Product!A:A,Product!B:B,"Not Found")</f>
        <v>Gudbrandsdalsost</v>
      </c>
    </row>
    <row r="461" spans="1:11">
      <c r="A461" s="2">
        <v>10420</v>
      </c>
      <c r="B461" s="2">
        <v>9</v>
      </c>
      <c r="C461" s="2">
        <v>77.599999999999994</v>
      </c>
      <c r="D461" s="2">
        <v>20</v>
      </c>
      <c r="E461" s="4">
        <v>0.10000000149011612</v>
      </c>
      <c r="F461" s="1" t="str">
        <f>_xlfn.XLOOKUP(A461,Orders!A:A,Orders!B:B,"not found")</f>
        <v>WELLI</v>
      </c>
      <c r="G461" s="13">
        <f>_xlfn.XLOOKUP(OrderDetails[[#This Row],[OrderID]],Orders!A:A,Orders!C:C,"Not Found")</f>
        <v>35451</v>
      </c>
      <c r="H461" s="16">
        <f>(OrderDetails[[#This Row],[UnitPrice]]*OrderDetails[[#This Row],[Quantity]])*(1-OrderDetails[[#This Row],[Discount]])</f>
        <v>1396.7999976873398</v>
      </c>
      <c r="I461" s="15" t="str">
        <f>_xlfn.XLOOKUP(OrderDetails[[#This Row],[ProductID]],Product!A:A,Product!G:G,"Not Found")</f>
        <v>Meat/Poultry</v>
      </c>
      <c r="J461" s="15" t="str">
        <f>LOOKUP(MONTH(G461),{1,4,7,10},{"Winter","Spring","Summer","Autumn"})</f>
        <v>Winter</v>
      </c>
      <c r="K461" s="15" t="str">
        <f>_xlfn.XLOOKUP(OrderDetails[[#This Row],[ProductID]],Product!A:A,Product!B:B,"Not Found")</f>
        <v>Mishi Kobe Niku</v>
      </c>
    </row>
    <row r="462" spans="1:11">
      <c r="A462" s="1">
        <v>10420</v>
      </c>
      <c r="B462" s="1">
        <v>13</v>
      </c>
      <c r="C462" s="1">
        <v>4.8</v>
      </c>
      <c r="D462" s="1">
        <v>2</v>
      </c>
      <c r="E462" s="3">
        <v>0.10000000149011612</v>
      </c>
      <c r="F462" s="1" t="str">
        <f>_xlfn.XLOOKUP(A462,Orders!A:A,Orders!B:B,"not found")</f>
        <v>WELLI</v>
      </c>
      <c r="G462" s="13">
        <f>_xlfn.XLOOKUP(OrderDetails[[#This Row],[OrderID]],Orders!A:A,Orders!C:C,"Not Found")</f>
        <v>35451</v>
      </c>
      <c r="H462" s="16">
        <f>(OrderDetails[[#This Row],[UnitPrice]]*OrderDetails[[#This Row],[Quantity]])*(1-OrderDetails[[#This Row],[Discount]])</f>
        <v>8.6399999856948853</v>
      </c>
      <c r="I462" s="15" t="str">
        <f>_xlfn.XLOOKUP(OrderDetails[[#This Row],[ProductID]],Product!A:A,Product!G:G,"Not Found")</f>
        <v>Seafood</v>
      </c>
      <c r="J462" s="15" t="str">
        <f>LOOKUP(MONTH(G462),{1,4,7,10},{"Winter","Spring","Summer","Autumn"})</f>
        <v>Winter</v>
      </c>
      <c r="K462" s="15" t="str">
        <f>_xlfn.XLOOKUP(OrderDetails[[#This Row],[ProductID]],Product!A:A,Product!B:B,"Not Found")</f>
        <v>Konbu</v>
      </c>
    </row>
    <row r="463" spans="1:11">
      <c r="A463" s="2">
        <v>10420</v>
      </c>
      <c r="B463" s="2">
        <v>70</v>
      </c>
      <c r="C463" s="2">
        <v>12</v>
      </c>
      <c r="D463" s="2">
        <v>8</v>
      </c>
      <c r="E463" s="4">
        <v>0.10000000149011612</v>
      </c>
      <c r="F463" s="1" t="str">
        <f>_xlfn.XLOOKUP(A463,Orders!A:A,Orders!B:B,"not found")</f>
        <v>WELLI</v>
      </c>
      <c r="G463" s="13">
        <f>_xlfn.XLOOKUP(OrderDetails[[#This Row],[OrderID]],Orders!A:A,Orders!C:C,"Not Found")</f>
        <v>35451</v>
      </c>
      <c r="H463" s="16">
        <f>(OrderDetails[[#This Row],[UnitPrice]]*OrderDetails[[#This Row],[Quantity]])*(1-OrderDetails[[#This Row],[Discount]])</f>
        <v>86.399999856948853</v>
      </c>
      <c r="I463" s="15" t="str">
        <f>_xlfn.XLOOKUP(OrderDetails[[#This Row],[ProductID]],Product!A:A,Product!G:G,"Not Found")</f>
        <v>Beverages</v>
      </c>
      <c r="J463" s="15" t="str">
        <f>LOOKUP(MONTH(G463),{1,4,7,10},{"Winter","Spring","Summer","Autumn"})</f>
        <v>Winter</v>
      </c>
      <c r="K463" s="15" t="str">
        <f>_xlfn.XLOOKUP(OrderDetails[[#This Row],[ProductID]],Product!A:A,Product!B:B,"Not Found")</f>
        <v>Outback Lager</v>
      </c>
    </row>
    <row r="464" spans="1:11">
      <c r="A464" s="1">
        <v>10420</v>
      </c>
      <c r="B464" s="1">
        <v>73</v>
      </c>
      <c r="C464" s="1">
        <v>12</v>
      </c>
      <c r="D464" s="1">
        <v>20</v>
      </c>
      <c r="E464" s="3">
        <v>0.10000000149011612</v>
      </c>
      <c r="F464" s="1" t="str">
        <f>_xlfn.XLOOKUP(A464,Orders!A:A,Orders!B:B,"not found")</f>
        <v>WELLI</v>
      </c>
      <c r="G464" s="13">
        <f>_xlfn.XLOOKUP(OrderDetails[[#This Row],[OrderID]],Orders!A:A,Orders!C:C,"Not Found")</f>
        <v>35451</v>
      </c>
      <c r="H464" s="16">
        <f>(OrderDetails[[#This Row],[UnitPrice]]*OrderDetails[[#This Row],[Quantity]])*(1-OrderDetails[[#This Row],[Discount]])</f>
        <v>215.99999964237213</v>
      </c>
      <c r="I464" s="15" t="str">
        <f>_xlfn.XLOOKUP(OrderDetails[[#This Row],[ProductID]],Product!A:A,Product!G:G,"Not Found")</f>
        <v>Seafood</v>
      </c>
      <c r="J464" s="15" t="str">
        <f>LOOKUP(MONTH(G464),{1,4,7,10},{"Winter","Spring","Summer","Autumn"})</f>
        <v>Winter</v>
      </c>
      <c r="K464" s="15" t="str">
        <f>_xlfn.XLOOKUP(OrderDetails[[#This Row],[ProductID]],Product!A:A,Product!B:B,"Not Found")</f>
        <v>Röd Kaviar</v>
      </c>
    </row>
    <row r="465" spans="1:11">
      <c r="A465" s="2">
        <v>10421</v>
      </c>
      <c r="B465" s="2">
        <v>19</v>
      </c>
      <c r="C465" s="2">
        <v>7.3</v>
      </c>
      <c r="D465" s="2">
        <v>4</v>
      </c>
      <c r="E465" s="4">
        <v>0.15000000596046448</v>
      </c>
      <c r="F465" s="1" t="str">
        <f>_xlfn.XLOOKUP(A465,Orders!A:A,Orders!B:B,"not found")</f>
        <v>QUEDE</v>
      </c>
      <c r="G465" s="13">
        <f>_xlfn.XLOOKUP(OrderDetails[[#This Row],[OrderID]],Orders!A:A,Orders!C:C,"Not Found")</f>
        <v>35451</v>
      </c>
      <c r="H465" s="16">
        <f>(OrderDetails[[#This Row],[UnitPrice]]*OrderDetails[[#This Row],[Quantity]])*(1-OrderDetails[[#This Row],[Discount]])</f>
        <v>24.819999825954437</v>
      </c>
      <c r="I465" s="15" t="str">
        <f>_xlfn.XLOOKUP(OrderDetails[[#This Row],[ProductID]],Product!A:A,Product!G:G,"Not Found")</f>
        <v>Confections</v>
      </c>
      <c r="J465" s="15" t="str">
        <f>LOOKUP(MONTH(G465),{1,4,7,10},{"Winter","Spring","Summer","Autumn"})</f>
        <v>Winter</v>
      </c>
      <c r="K465" s="15" t="str">
        <f>_xlfn.XLOOKUP(OrderDetails[[#This Row],[ProductID]],Product!A:A,Product!B:B,"Not Found")</f>
        <v>Teatime Chocolate Biscuits</v>
      </c>
    </row>
    <row r="466" spans="1:11">
      <c r="A466" s="1">
        <v>10421</v>
      </c>
      <c r="B466" s="1">
        <v>26</v>
      </c>
      <c r="C466" s="1">
        <v>24.9</v>
      </c>
      <c r="D466" s="1">
        <v>30</v>
      </c>
      <c r="E466" s="3">
        <v>0</v>
      </c>
      <c r="F466" s="1" t="str">
        <f>_xlfn.XLOOKUP(A466,Orders!A:A,Orders!B:B,"not found")</f>
        <v>QUEDE</v>
      </c>
      <c r="G466" s="13">
        <f>_xlfn.XLOOKUP(OrderDetails[[#This Row],[OrderID]],Orders!A:A,Orders!C:C,"Not Found")</f>
        <v>35451</v>
      </c>
      <c r="H466" s="16">
        <f>(OrderDetails[[#This Row],[UnitPrice]]*OrderDetails[[#This Row],[Quantity]])*(1-OrderDetails[[#This Row],[Discount]])</f>
        <v>747</v>
      </c>
      <c r="I466" s="15" t="str">
        <f>_xlfn.XLOOKUP(OrderDetails[[#This Row],[ProductID]],Product!A:A,Product!G:G,"Not Found")</f>
        <v>Confections</v>
      </c>
      <c r="J466" s="15" t="str">
        <f>LOOKUP(MONTH(G466),{1,4,7,10},{"Winter","Spring","Summer","Autumn"})</f>
        <v>Winter</v>
      </c>
      <c r="K466" s="15" t="str">
        <f>_xlfn.XLOOKUP(OrderDetails[[#This Row],[ProductID]],Product!A:A,Product!B:B,"Not Found")</f>
        <v>Gumbär Gummibärchen</v>
      </c>
    </row>
    <row r="467" spans="1:11">
      <c r="A467" s="2">
        <v>10421</v>
      </c>
      <c r="B467" s="2">
        <v>53</v>
      </c>
      <c r="C467" s="2">
        <v>26.2</v>
      </c>
      <c r="D467" s="2">
        <v>15</v>
      </c>
      <c r="E467" s="4">
        <v>0.15000000596046448</v>
      </c>
      <c r="F467" s="1" t="str">
        <f>_xlfn.XLOOKUP(A467,Orders!A:A,Orders!B:B,"not found")</f>
        <v>QUEDE</v>
      </c>
      <c r="G467" s="13">
        <f>_xlfn.XLOOKUP(OrderDetails[[#This Row],[OrderID]],Orders!A:A,Orders!C:C,"Not Found")</f>
        <v>35451</v>
      </c>
      <c r="H467" s="16">
        <f>(OrderDetails[[#This Row],[UnitPrice]]*OrderDetails[[#This Row],[Quantity]])*(1-OrderDetails[[#This Row],[Discount]])</f>
        <v>334.04999765753746</v>
      </c>
      <c r="I467" s="15" t="str">
        <f>_xlfn.XLOOKUP(OrderDetails[[#This Row],[ProductID]],Product!A:A,Product!G:G,"Not Found")</f>
        <v>Meat/Poultry</v>
      </c>
      <c r="J467" s="15" t="str">
        <f>LOOKUP(MONTH(G467),{1,4,7,10},{"Winter","Spring","Summer","Autumn"})</f>
        <v>Winter</v>
      </c>
      <c r="K467" s="15" t="str">
        <f>_xlfn.XLOOKUP(OrderDetails[[#This Row],[ProductID]],Product!A:A,Product!B:B,"Not Found")</f>
        <v>Perth Pasties</v>
      </c>
    </row>
    <row r="468" spans="1:11">
      <c r="A468" s="1">
        <v>10421</v>
      </c>
      <c r="B468" s="1">
        <v>77</v>
      </c>
      <c r="C468" s="1">
        <v>10.4</v>
      </c>
      <c r="D468" s="1">
        <v>10</v>
      </c>
      <c r="E468" s="3">
        <v>0.15000000596046448</v>
      </c>
      <c r="F468" s="1" t="str">
        <f>_xlfn.XLOOKUP(A468,Orders!A:A,Orders!B:B,"not found")</f>
        <v>QUEDE</v>
      </c>
      <c r="G468" s="13">
        <f>_xlfn.XLOOKUP(OrderDetails[[#This Row],[OrderID]],Orders!A:A,Orders!C:C,"Not Found")</f>
        <v>35451</v>
      </c>
      <c r="H468" s="16">
        <f>(OrderDetails[[#This Row],[UnitPrice]]*OrderDetails[[#This Row],[Quantity]])*(1-OrderDetails[[#This Row],[Discount]])</f>
        <v>88.399999380111694</v>
      </c>
      <c r="I468" s="15" t="str">
        <f>_xlfn.XLOOKUP(OrderDetails[[#This Row],[ProductID]],Product!A:A,Product!G:G,"Not Found")</f>
        <v>Condiments</v>
      </c>
      <c r="J468" s="15" t="str">
        <f>LOOKUP(MONTH(G468),{1,4,7,10},{"Winter","Spring","Summer","Autumn"})</f>
        <v>Winter</v>
      </c>
      <c r="K468" s="15" t="str">
        <f>_xlfn.XLOOKUP(OrderDetails[[#This Row],[ProductID]],Product!A:A,Product!B:B,"Not Found")</f>
        <v>Original Frankfurter grüne Soße</v>
      </c>
    </row>
    <row r="469" spans="1:11">
      <c r="A469" s="2">
        <v>10422</v>
      </c>
      <c r="B469" s="2">
        <v>26</v>
      </c>
      <c r="C469" s="2">
        <v>24.9</v>
      </c>
      <c r="D469" s="2">
        <v>2</v>
      </c>
      <c r="E469" s="4">
        <v>0</v>
      </c>
      <c r="F469" s="1" t="str">
        <f>_xlfn.XLOOKUP(A469,Orders!A:A,Orders!B:B,"not found")</f>
        <v>FRANS</v>
      </c>
      <c r="G469" s="13">
        <f>_xlfn.XLOOKUP(OrderDetails[[#This Row],[OrderID]],Orders!A:A,Orders!C:C,"Not Found")</f>
        <v>35452</v>
      </c>
      <c r="H469" s="16">
        <f>(OrderDetails[[#This Row],[UnitPrice]]*OrderDetails[[#This Row],[Quantity]])*(1-OrderDetails[[#This Row],[Discount]])</f>
        <v>49.8</v>
      </c>
      <c r="I469" s="15" t="str">
        <f>_xlfn.XLOOKUP(OrderDetails[[#This Row],[ProductID]],Product!A:A,Product!G:G,"Not Found")</f>
        <v>Confections</v>
      </c>
      <c r="J469" s="15" t="str">
        <f>LOOKUP(MONTH(G469),{1,4,7,10},{"Winter","Spring","Summer","Autumn"})</f>
        <v>Winter</v>
      </c>
      <c r="K469" s="15" t="str">
        <f>_xlfn.XLOOKUP(OrderDetails[[#This Row],[ProductID]],Product!A:A,Product!B:B,"Not Found")</f>
        <v>Gumbär Gummibärchen</v>
      </c>
    </row>
    <row r="470" spans="1:11">
      <c r="A470" s="1">
        <v>10423</v>
      </c>
      <c r="B470" s="1">
        <v>31</v>
      </c>
      <c r="C470" s="1">
        <v>10</v>
      </c>
      <c r="D470" s="1">
        <v>14</v>
      </c>
      <c r="E470" s="3">
        <v>0</v>
      </c>
      <c r="F470" s="1" t="str">
        <f>_xlfn.XLOOKUP(A470,Orders!A:A,Orders!B:B,"not found")</f>
        <v>GOURL</v>
      </c>
      <c r="G470" s="13">
        <f>_xlfn.XLOOKUP(OrderDetails[[#This Row],[OrderID]],Orders!A:A,Orders!C:C,"Not Found")</f>
        <v>35453</v>
      </c>
      <c r="H470" s="16">
        <f>(OrderDetails[[#This Row],[UnitPrice]]*OrderDetails[[#This Row],[Quantity]])*(1-OrderDetails[[#This Row],[Discount]])</f>
        <v>140</v>
      </c>
      <c r="I470" s="15" t="str">
        <f>_xlfn.XLOOKUP(OrderDetails[[#This Row],[ProductID]],Product!A:A,Product!G:G,"Not Found")</f>
        <v>Dairy Products</v>
      </c>
      <c r="J470" s="15" t="str">
        <f>LOOKUP(MONTH(G470),{1,4,7,10},{"Winter","Spring","Summer","Autumn"})</f>
        <v>Winter</v>
      </c>
      <c r="K470" s="15" t="str">
        <f>_xlfn.XLOOKUP(OrderDetails[[#This Row],[ProductID]],Product!A:A,Product!B:B,"Not Found")</f>
        <v>Gorgonzola Telino</v>
      </c>
    </row>
    <row r="471" spans="1:11">
      <c r="A471" s="2">
        <v>10423</v>
      </c>
      <c r="B471" s="2">
        <v>59</v>
      </c>
      <c r="C471" s="2">
        <v>44</v>
      </c>
      <c r="D471" s="2">
        <v>20</v>
      </c>
      <c r="E471" s="4">
        <v>0</v>
      </c>
      <c r="F471" s="1" t="str">
        <f>_xlfn.XLOOKUP(A471,Orders!A:A,Orders!B:B,"not found")</f>
        <v>GOURL</v>
      </c>
      <c r="G471" s="13">
        <f>_xlfn.XLOOKUP(OrderDetails[[#This Row],[OrderID]],Orders!A:A,Orders!C:C,"Not Found")</f>
        <v>35453</v>
      </c>
      <c r="H471" s="16">
        <f>(OrderDetails[[#This Row],[UnitPrice]]*OrderDetails[[#This Row],[Quantity]])*(1-OrderDetails[[#This Row],[Discount]])</f>
        <v>880</v>
      </c>
      <c r="I471" s="15" t="str">
        <f>_xlfn.XLOOKUP(OrderDetails[[#This Row],[ProductID]],Product!A:A,Product!G:G,"Not Found")</f>
        <v>Dairy Products</v>
      </c>
      <c r="J471" s="15" t="str">
        <f>LOOKUP(MONTH(G471),{1,4,7,10},{"Winter","Spring","Summer","Autumn"})</f>
        <v>Winter</v>
      </c>
      <c r="K471" s="15" t="str">
        <f>_xlfn.XLOOKUP(OrderDetails[[#This Row],[ProductID]],Product!A:A,Product!B:B,"Not Found")</f>
        <v>Raclette Courdavault</v>
      </c>
    </row>
    <row r="472" spans="1:11">
      <c r="A472" s="1">
        <v>10424</v>
      </c>
      <c r="B472" s="1">
        <v>35</v>
      </c>
      <c r="C472" s="1">
        <v>14.4</v>
      </c>
      <c r="D472" s="1">
        <v>60</v>
      </c>
      <c r="E472" s="3">
        <v>0.20000000298023224</v>
      </c>
      <c r="F472" s="1" t="str">
        <f>_xlfn.XLOOKUP(A472,Orders!A:A,Orders!B:B,"not found")</f>
        <v>MEREP</v>
      </c>
      <c r="G472" s="13">
        <f>_xlfn.XLOOKUP(OrderDetails[[#This Row],[OrderID]],Orders!A:A,Orders!C:C,"Not Found")</f>
        <v>35453</v>
      </c>
      <c r="H472" s="16">
        <f>(OrderDetails[[#This Row],[UnitPrice]]*OrderDetails[[#This Row],[Quantity]])*(1-OrderDetails[[#This Row],[Discount]])</f>
        <v>691.19999742507935</v>
      </c>
      <c r="I472" s="15" t="str">
        <f>_xlfn.XLOOKUP(OrderDetails[[#This Row],[ProductID]],Product!A:A,Product!G:G,"Not Found")</f>
        <v>Beverages</v>
      </c>
      <c r="J472" s="15" t="str">
        <f>LOOKUP(MONTH(G472),{1,4,7,10},{"Winter","Spring","Summer","Autumn"})</f>
        <v>Winter</v>
      </c>
      <c r="K472" s="15" t="str">
        <f>_xlfn.XLOOKUP(OrderDetails[[#This Row],[ProductID]],Product!A:A,Product!B:B,"Not Found")</f>
        <v>Steeleye Stout</v>
      </c>
    </row>
    <row r="473" spans="1:11">
      <c r="A473" s="2">
        <v>10424</v>
      </c>
      <c r="B473" s="2">
        <v>38</v>
      </c>
      <c r="C473" s="2">
        <v>210.8</v>
      </c>
      <c r="D473" s="2">
        <v>49</v>
      </c>
      <c r="E473" s="4">
        <v>0.20000000298023224</v>
      </c>
      <c r="F473" s="1" t="str">
        <f>_xlfn.XLOOKUP(A473,Orders!A:A,Orders!B:B,"not found")</f>
        <v>MEREP</v>
      </c>
      <c r="G473" s="13">
        <f>_xlfn.XLOOKUP(OrderDetails[[#This Row],[OrderID]],Orders!A:A,Orders!C:C,"Not Found")</f>
        <v>35453</v>
      </c>
      <c r="H473" s="16">
        <f>(OrderDetails[[#This Row],[UnitPrice]]*OrderDetails[[#This Row],[Quantity]])*(1-OrderDetails[[#This Row],[Discount]])</f>
        <v>8263.3599692165863</v>
      </c>
      <c r="I473" s="15" t="str">
        <f>_xlfn.XLOOKUP(OrderDetails[[#This Row],[ProductID]],Product!A:A,Product!G:G,"Not Found")</f>
        <v>Beverages</v>
      </c>
      <c r="J473" s="15" t="str">
        <f>LOOKUP(MONTH(G473),{1,4,7,10},{"Winter","Spring","Summer","Autumn"})</f>
        <v>Winter</v>
      </c>
      <c r="K473" s="15" t="str">
        <f>_xlfn.XLOOKUP(OrderDetails[[#This Row],[ProductID]],Product!A:A,Product!B:B,"Not Found")</f>
        <v>Côte de Blaye</v>
      </c>
    </row>
    <row r="474" spans="1:11">
      <c r="A474" s="1">
        <v>10424</v>
      </c>
      <c r="B474" s="1">
        <v>68</v>
      </c>
      <c r="C474" s="1">
        <v>10</v>
      </c>
      <c r="D474" s="1">
        <v>30</v>
      </c>
      <c r="E474" s="3">
        <v>0.20000000298023224</v>
      </c>
      <c r="F474" s="1" t="str">
        <f>_xlfn.XLOOKUP(A474,Orders!A:A,Orders!B:B,"not found")</f>
        <v>MEREP</v>
      </c>
      <c r="G474" s="13">
        <f>_xlfn.XLOOKUP(OrderDetails[[#This Row],[OrderID]],Orders!A:A,Orders!C:C,"Not Found")</f>
        <v>35453</v>
      </c>
      <c r="H474" s="16">
        <f>(OrderDetails[[#This Row],[UnitPrice]]*OrderDetails[[#This Row],[Quantity]])*(1-OrderDetails[[#This Row],[Discount]])</f>
        <v>239.99999910593033</v>
      </c>
      <c r="I474" s="15" t="str">
        <f>_xlfn.XLOOKUP(OrderDetails[[#This Row],[ProductID]],Product!A:A,Product!G:G,"Not Found")</f>
        <v>Confections</v>
      </c>
      <c r="J474" s="15" t="str">
        <f>LOOKUP(MONTH(G474),{1,4,7,10},{"Winter","Spring","Summer","Autumn"})</f>
        <v>Winter</v>
      </c>
      <c r="K474" s="15" t="str">
        <f>_xlfn.XLOOKUP(OrderDetails[[#This Row],[ProductID]],Product!A:A,Product!B:B,"Not Found")</f>
        <v>Scottish Longbreads</v>
      </c>
    </row>
    <row r="475" spans="1:11">
      <c r="A475" s="2">
        <v>10425</v>
      </c>
      <c r="B475" s="2">
        <v>55</v>
      </c>
      <c r="C475" s="2">
        <v>19.2</v>
      </c>
      <c r="D475" s="2">
        <v>10</v>
      </c>
      <c r="E475" s="4">
        <v>0.25</v>
      </c>
      <c r="F475" s="1" t="str">
        <f>_xlfn.XLOOKUP(A475,Orders!A:A,Orders!B:B,"not found")</f>
        <v>LAMAI</v>
      </c>
      <c r="G475" s="13">
        <f>_xlfn.XLOOKUP(OrderDetails[[#This Row],[OrderID]],Orders!A:A,Orders!C:C,"Not Found")</f>
        <v>35454</v>
      </c>
      <c r="H475" s="16">
        <f>(OrderDetails[[#This Row],[UnitPrice]]*OrderDetails[[#This Row],[Quantity]])*(1-OrderDetails[[#This Row],[Discount]])</f>
        <v>144</v>
      </c>
      <c r="I475" s="15" t="str">
        <f>_xlfn.XLOOKUP(OrderDetails[[#This Row],[ProductID]],Product!A:A,Product!G:G,"Not Found")</f>
        <v>Meat/Poultry</v>
      </c>
      <c r="J475" s="15" t="str">
        <f>LOOKUP(MONTH(G475),{1,4,7,10},{"Winter","Spring","Summer","Autumn"})</f>
        <v>Winter</v>
      </c>
      <c r="K475" s="15" t="str">
        <f>_xlfn.XLOOKUP(OrderDetails[[#This Row],[ProductID]],Product!A:A,Product!B:B,"Not Found")</f>
        <v>Pâté chinois</v>
      </c>
    </row>
    <row r="476" spans="1:11">
      <c r="A476" s="1">
        <v>10425</v>
      </c>
      <c r="B476" s="1">
        <v>76</v>
      </c>
      <c r="C476" s="1">
        <v>14.4</v>
      </c>
      <c r="D476" s="1">
        <v>20</v>
      </c>
      <c r="E476" s="3">
        <v>0.25</v>
      </c>
      <c r="F476" s="1" t="str">
        <f>_xlfn.XLOOKUP(A476,Orders!A:A,Orders!B:B,"not found")</f>
        <v>LAMAI</v>
      </c>
      <c r="G476" s="13">
        <f>_xlfn.XLOOKUP(OrderDetails[[#This Row],[OrderID]],Orders!A:A,Orders!C:C,"Not Found")</f>
        <v>35454</v>
      </c>
      <c r="H476" s="16">
        <f>(OrderDetails[[#This Row],[UnitPrice]]*OrderDetails[[#This Row],[Quantity]])*(1-OrderDetails[[#This Row],[Discount]])</f>
        <v>216</v>
      </c>
      <c r="I476" s="15" t="str">
        <f>_xlfn.XLOOKUP(OrderDetails[[#This Row],[ProductID]],Product!A:A,Product!G:G,"Not Found")</f>
        <v>Beverages</v>
      </c>
      <c r="J476" s="15" t="str">
        <f>LOOKUP(MONTH(G476),{1,4,7,10},{"Winter","Spring","Summer","Autumn"})</f>
        <v>Winter</v>
      </c>
      <c r="K476" s="15" t="str">
        <f>_xlfn.XLOOKUP(OrderDetails[[#This Row],[ProductID]],Product!A:A,Product!B:B,"Not Found")</f>
        <v>Lakkalikööri</v>
      </c>
    </row>
    <row r="477" spans="1:11">
      <c r="A477" s="2">
        <v>10426</v>
      </c>
      <c r="B477" s="2">
        <v>56</v>
      </c>
      <c r="C477" s="2">
        <v>30.4</v>
      </c>
      <c r="D477" s="2">
        <v>5</v>
      </c>
      <c r="E477" s="4">
        <v>0</v>
      </c>
      <c r="F477" s="1" t="str">
        <f>_xlfn.XLOOKUP(A477,Orders!A:A,Orders!B:B,"not found")</f>
        <v>GALED</v>
      </c>
      <c r="G477" s="13">
        <f>_xlfn.XLOOKUP(OrderDetails[[#This Row],[OrderID]],Orders!A:A,Orders!C:C,"Not Found")</f>
        <v>35457</v>
      </c>
      <c r="H477" s="16">
        <f>(OrderDetails[[#This Row],[UnitPrice]]*OrderDetails[[#This Row],[Quantity]])*(1-OrderDetails[[#This Row],[Discount]])</f>
        <v>152</v>
      </c>
      <c r="I477" s="15" t="str">
        <f>_xlfn.XLOOKUP(OrderDetails[[#This Row],[ProductID]],Product!A:A,Product!G:G,"Not Found")</f>
        <v>Grains/Cereals</v>
      </c>
      <c r="J477" s="15" t="str">
        <f>LOOKUP(MONTH(G477),{1,4,7,10},{"Winter","Spring","Summer","Autumn"})</f>
        <v>Winter</v>
      </c>
      <c r="K477" s="15" t="str">
        <f>_xlfn.XLOOKUP(OrderDetails[[#This Row],[ProductID]],Product!A:A,Product!B:B,"Not Found")</f>
        <v>Gnocchi di nonna Alice</v>
      </c>
    </row>
    <row r="478" spans="1:11">
      <c r="A478" s="1">
        <v>10426</v>
      </c>
      <c r="B478" s="1">
        <v>64</v>
      </c>
      <c r="C478" s="1">
        <v>26.6</v>
      </c>
      <c r="D478" s="1">
        <v>7</v>
      </c>
      <c r="E478" s="3">
        <v>0</v>
      </c>
      <c r="F478" s="1" t="str">
        <f>_xlfn.XLOOKUP(A478,Orders!A:A,Orders!B:B,"not found")</f>
        <v>GALED</v>
      </c>
      <c r="G478" s="13">
        <f>_xlfn.XLOOKUP(OrderDetails[[#This Row],[OrderID]],Orders!A:A,Orders!C:C,"Not Found")</f>
        <v>35457</v>
      </c>
      <c r="H478" s="16">
        <f>(OrderDetails[[#This Row],[UnitPrice]]*OrderDetails[[#This Row],[Quantity]])*(1-OrderDetails[[#This Row],[Discount]])</f>
        <v>186.20000000000002</v>
      </c>
      <c r="I478" s="15" t="str">
        <f>_xlfn.XLOOKUP(OrderDetails[[#This Row],[ProductID]],Product!A:A,Product!G:G,"Not Found")</f>
        <v>Grains/Cereals</v>
      </c>
      <c r="J478" s="15" t="str">
        <f>LOOKUP(MONTH(G478),{1,4,7,10},{"Winter","Spring","Summer","Autumn"})</f>
        <v>Winter</v>
      </c>
      <c r="K478" s="15" t="str">
        <f>_xlfn.XLOOKUP(OrderDetails[[#This Row],[ProductID]],Product!A:A,Product!B:B,"Not Found")</f>
        <v>Wimmers gute Semmelknödel</v>
      </c>
    </row>
    <row r="479" spans="1:11">
      <c r="A479" s="2">
        <v>10427</v>
      </c>
      <c r="B479" s="2">
        <v>14</v>
      </c>
      <c r="C479" s="2">
        <v>18.600000000000001</v>
      </c>
      <c r="D479" s="2">
        <v>35</v>
      </c>
      <c r="E479" s="4">
        <v>0</v>
      </c>
      <c r="F479" s="1" t="str">
        <f>_xlfn.XLOOKUP(A479,Orders!A:A,Orders!B:B,"not found")</f>
        <v>PICCO</v>
      </c>
      <c r="G479" s="13">
        <f>_xlfn.XLOOKUP(OrderDetails[[#This Row],[OrderID]],Orders!A:A,Orders!C:C,"Not Found")</f>
        <v>35457</v>
      </c>
      <c r="H479" s="16">
        <f>(OrderDetails[[#This Row],[UnitPrice]]*OrderDetails[[#This Row],[Quantity]])*(1-OrderDetails[[#This Row],[Discount]])</f>
        <v>651</v>
      </c>
      <c r="I479" s="15" t="str">
        <f>_xlfn.XLOOKUP(OrderDetails[[#This Row],[ProductID]],Product!A:A,Product!G:G,"Not Found")</f>
        <v>Produce</v>
      </c>
      <c r="J479" s="15" t="str">
        <f>LOOKUP(MONTH(G479),{1,4,7,10},{"Winter","Spring","Summer","Autumn"})</f>
        <v>Winter</v>
      </c>
      <c r="K479" s="15" t="str">
        <f>_xlfn.XLOOKUP(OrderDetails[[#This Row],[ProductID]],Product!A:A,Product!B:B,"Not Found")</f>
        <v>Tofu</v>
      </c>
    </row>
    <row r="480" spans="1:11">
      <c r="A480" s="1">
        <v>10428</v>
      </c>
      <c r="B480" s="1">
        <v>46</v>
      </c>
      <c r="C480" s="1">
        <v>9.6</v>
      </c>
      <c r="D480" s="1">
        <v>20</v>
      </c>
      <c r="E480" s="3">
        <v>0</v>
      </c>
      <c r="F480" s="1" t="str">
        <f>_xlfn.XLOOKUP(A480,Orders!A:A,Orders!B:B,"not found")</f>
        <v>REGGC</v>
      </c>
      <c r="G480" s="13">
        <f>_xlfn.XLOOKUP(OrderDetails[[#This Row],[OrderID]],Orders!A:A,Orders!C:C,"Not Found")</f>
        <v>35458</v>
      </c>
      <c r="H480" s="16">
        <f>(OrderDetails[[#This Row],[UnitPrice]]*OrderDetails[[#This Row],[Quantity]])*(1-OrderDetails[[#This Row],[Discount]])</f>
        <v>192</v>
      </c>
      <c r="I480" s="15" t="str">
        <f>_xlfn.XLOOKUP(OrderDetails[[#This Row],[ProductID]],Product!A:A,Product!G:G,"Not Found")</f>
        <v>Seafood</v>
      </c>
      <c r="J480" s="15" t="str">
        <f>LOOKUP(MONTH(G480),{1,4,7,10},{"Winter","Spring","Summer","Autumn"})</f>
        <v>Winter</v>
      </c>
      <c r="K480" s="15" t="str">
        <f>_xlfn.XLOOKUP(OrderDetails[[#This Row],[ProductID]],Product!A:A,Product!B:B,"Not Found")</f>
        <v>Spegesild</v>
      </c>
    </row>
    <row r="481" spans="1:11">
      <c r="A481" s="2">
        <v>10429</v>
      </c>
      <c r="B481" s="2">
        <v>50</v>
      </c>
      <c r="C481" s="2">
        <v>13</v>
      </c>
      <c r="D481" s="2">
        <v>40</v>
      </c>
      <c r="E481" s="4">
        <v>0</v>
      </c>
      <c r="F481" s="1" t="str">
        <f>_xlfn.XLOOKUP(A481,Orders!A:A,Orders!B:B,"not found")</f>
        <v>HUNGO</v>
      </c>
      <c r="G481" s="13">
        <f>_xlfn.XLOOKUP(OrderDetails[[#This Row],[OrderID]],Orders!A:A,Orders!C:C,"Not Found")</f>
        <v>35459</v>
      </c>
      <c r="H481" s="16">
        <f>(OrderDetails[[#This Row],[UnitPrice]]*OrderDetails[[#This Row],[Quantity]])*(1-OrderDetails[[#This Row],[Discount]])</f>
        <v>520</v>
      </c>
      <c r="I481" s="15" t="str">
        <f>_xlfn.XLOOKUP(OrderDetails[[#This Row],[ProductID]],Product!A:A,Product!G:G,"Not Found")</f>
        <v>Confections</v>
      </c>
      <c r="J481" s="15" t="str">
        <f>LOOKUP(MONTH(G481),{1,4,7,10},{"Winter","Spring","Summer","Autumn"})</f>
        <v>Winter</v>
      </c>
      <c r="K481" s="15" t="str">
        <f>_xlfn.XLOOKUP(OrderDetails[[#This Row],[ProductID]],Product!A:A,Product!B:B,"Not Found")</f>
        <v>Valkoinen suklaa</v>
      </c>
    </row>
    <row r="482" spans="1:11">
      <c r="A482" s="1">
        <v>10429</v>
      </c>
      <c r="B482" s="1">
        <v>63</v>
      </c>
      <c r="C482" s="1">
        <v>35.1</v>
      </c>
      <c r="D482" s="1">
        <v>35</v>
      </c>
      <c r="E482" s="3">
        <v>0.25</v>
      </c>
      <c r="F482" s="1" t="str">
        <f>_xlfn.XLOOKUP(A482,Orders!A:A,Orders!B:B,"not found")</f>
        <v>HUNGO</v>
      </c>
      <c r="G482" s="13">
        <f>_xlfn.XLOOKUP(OrderDetails[[#This Row],[OrderID]],Orders!A:A,Orders!C:C,"Not Found")</f>
        <v>35459</v>
      </c>
      <c r="H482" s="16">
        <f>(OrderDetails[[#This Row],[UnitPrice]]*OrderDetails[[#This Row],[Quantity]])*(1-OrderDetails[[#This Row],[Discount]])</f>
        <v>921.375</v>
      </c>
      <c r="I482" s="15" t="str">
        <f>_xlfn.XLOOKUP(OrderDetails[[#This Row],[ProductID]],Product!A:A,Product!G:G,"Not Found")</f>
        <v>Condiments</v>
      </c>
      <c r="J482" s="15" t="str">
        <f>LOOKUP(MONTH(G482),{1,4,7,10},{"Winter","Spring","Summer","Autumn"})</f>
        <v>Winter</v>
      </c>
      <c r="K482" s="15" t="str">
        <f>_xlfn.XLOOKUP(OrderDetails[[#This Row],[ProductID]],Product!A:A,Product!B:B,"Not Found")</f>
        <v>Vegie-spread</v>
      </c>
    </row>
    <row r="483" spans="1:11">
      <c r="A483" s="2">
        <v>10430</v>
      </c>
      <c r="B483" s="2">
        <v>17</v>
      </c>
      <c r="C483" s="2">
        <v>31.2</v>
      </c>
      <c r="D483" s="2">
        <v>45</v>
      </c>
      <c r="E483" s="4">
        <v>0.20000000298023224</v>
      </c>
      <c r="F483" s="1" t="str">
        <f>_xlfn.XLOOKUP(A483,Orders!A:A,Orders!B:B,"not found")</f>
        <v>ERNSH</v>
      </c>
      <c r="G483" s="13">
        <f>_xlfn.XLOOKUP(OrderDetails[[#This Row],[OrderID]],Orders!A:A,Orders!C:C,"Not Found")</f>
        <v>35460</v>
      </c>
      <c r="H483" s="16">
        <f>(OrderDetails[[#This Row],[UnitPrice]]*OrderDetails[[#This Row],[Quantity]])*(1-OrderDetails[[#This Row],[Discount]])</f>
        <v>1123.1999958157539</v>
      </c>
      <c r="I483" s="15" t="str">
        <f>_xlfn.XLOOKUP(OrderDetails[[#This Row],[ProductID]],Product!A:A,Product!G:G,"Not Found")</f>
        <v>Meat/Poultry</v>
      </c>
      <c r="J483" s="15" t="str">
        <f>LOOKUP(MONTH(G483),{1,4,7,10},{"Winter","Spring","Summer","Autumn"})</f>
        <v>Winter</v>
      </c>
      <c r="K483" s="15" t="str">
        <f>_xlfn.XLOOKUP(OrderDetails[[#This Row],[ProductID]],Product!A:A,Product!B:B,"Not Found")</f>
        <v>Alice Mutton</v>
      </c>
    </row>
    <row r="484" spans="1:11">
      <c r="A484" s="1">
        <v>10430</v>
      </c>
      <c r="B484" s="1">
        <v>21</v>
      </c>
      <c r="C484" s="1">
        <v>8</v>
      </c>
      <c r="D484" s="1">
        <v>50</v>
      </c>
      <c r="E484" s="3">
        <v>0</v>
      </c>
      <c r="F484" s="1" t="str">
        <f>_xlfn.XLOOKUP(A484,Orders!A:A,Orders!B:B,"not found")</f>
        <v>ERNSH</v>
      </c>
      <c r="G484" s="13">
        <f>_xlfn.XLOOKUP(OrderDetails[[#This Row],[OrderID]],Orders!A:A,Orders!C:C,"Not Found")</f>
        <v>35460</v>
      </c>
      <c r="H484" s="16">
        <f>(OrderDetails[[#This Row],[UnitPrice]]*OrderDetails[[#This Row],[Quantity]])*(1-OrderDetails[[#This Row],[Discount]])</f>
        <v>400</v>
      </c>
      <c r="I484" s="15" t="str">
        <f>_xlfn.XLOOKUP(OrderDetails[[#This Row],[ProductID]],Product!A:A,Product!G:G,"Not Found")</f>
        <v>Confections</v>
      </c>
      <c r="J484" s="15" t="str">
        <f>LOOKUP(MONTH(G484),{1,4,7,10},{"Winter","Spring","Summer","Autumn"})</f>
        <v>Winter</v>
      </c>
      <c r="K484" s="15" t="str">
        <f>_xlfn.XLOOKUP(OrderDetails[[#This Row],[ProductID]],Product!A:A,Product!B:B,"Not Found")</f>
        <v>Sir Rodney's Scones</v>
      </c>
    </row>
    <row r="485" spans="1:11">
      <c r="A485" s="2">
        <v>10430</v>
      </c>
      <c r="B485" s="2">
        <v>56</v>
      </c>
      <c r="C485" s="2">
        <v>30.4</v>
      </c>
      <c r="D485" s="2">
        <v>30</v>
      </c>
      <c r="E485" s="4">
        <v>0</v>
      </c>
      <c r="F485" s="1" t="str">
        <f>_xlfn.XLOOKUP(A485,Orders!A:A,Orders!B:B,"not found")</f>
        <v>ERNSH</v>
      </c>
      <c r="G485" s="13">
        <f>_xlfn.XLOOKUP(OrderDetails[[#This Row],[OrderID]],Orders!A:A,Orders!C:C,"Not Found")</f>
        <v>35460</v>
      </c>
      <c r="H485" s="16">
        <f>(OrderDetails[[#This Row],[UnitPrice]]*OrderDetails[[#This Row],[Quantity]])*(1-OrderDetails[[#This Row],[Discount]])</f>
        <v>912</v>
      </c>
      <c r="I485" s="15" t="str">
        <f>_xlfn.XLOOKUP(OrderDetails[[#This Row],[ProductID]],Product!A:A,Product!G:G,"Not Found")</f>
        <v>Grains/Cereals</v>
      </c>
      <c r="J485" s="15" t="str">
        <f>LOOKUP(MONTH(G485),{1,4,7,10},{"Winter","Spring","Summer","Autumn"})</f>
        <v>Winter</v>
      </c>
      <c r="K485" s="15" t="str">
        <f>_xlfn.XLOOKUP(OrderDetails[[#This Row],[ProductID]],Product!A:A,Product!B:B,"Not Found")</f>
        <v>Gnocchi di nonna Alice</v>
      </c>
    </row>
    <row r="486" spans="1:11">
      <c r="A486" s="1">
        <v>10430</v>
      </c>
      <c r="B486" s="1">
        <v>59</v>
      </c>
      <c r="C486" s="1">
        <v>44</v>
      </c>
      <c r="D486" s="1">
        <v>70</v>
      </c>
      <c r="E486" s="3">
        <v>0.20000000298023224</v>
      </c>
      <c r="F486" s="1" t="str">
        <f>_xlfn.XLOOKUP(A486,Orders!A:A,Orders!B:B,"not found")</f>
        <v>ERNSH</v>
      </c>
      <c r="G486" s="13">
        <f>_xlfn.XLOOKUP(OrderDetails[[#This Row],[OrderID]],Orders!A:A,Orders!C:C,"Not Found")</f>
        <v>35460</v>
      </c>
      <c r="H486" s="16">
        <f>(OrderDetails[[#This Row],[UnitPrice]]*OrderDetails[[#This Row],[Quantity]])*(1-OrderDetails[[#This Row],[Discount]])</f>
        <v>2463.9999908208847</v>
      </c>
      <c r="I486" s="15" t="str">
        <f>_xlfn.XLOOKUP(OrderDetails[[#This Row],[ProductID]],Product!A:A,Product!G:G,"Not Found")</f>
        <v>Dairy Products</v>
      </c>
      <c r="J486" s="15" t="str">
        <f>LOOKUP(MONTH(G486),{1,4,7,10},{"Winter","Spring","Summer","Autumn"})</f>
        <v>Winter</v>
      </c>
      <c r="K486" s="15" t="str">
        <f>_xlfn.XLOOKUP(OrderDetails[[#This Row],[ProductID]],Product!A:A,Product!B:B,"Not Found")</f>
        <v>Raclette Courdavault</v>
      </c>
    </row>
    <row r="487" spans="1:11">
      <c r="A487" s="2">
        <v>10431</v>
      </c>
      <c r="B487" s="2">
        <v>17</v>
      </c>
      <c r="C487" s="2">
        <v>31.2</v>
      </c>
      <c r="D487" s="2">
        <v>50</v>
      </c>
      <c r="E487" s="4">
        <v>0.25</v>
      </c>
      <c r="F487" s="1" t="str">
        <f>_xlfn.XLOOKUP(A487,Orders!A:A,Orders!B:B,"not found")</f>
        <v>BOTTM</v>
      </c>
      <c r="G487" s="13">
        <f>_xlfn.XLOOKUP(OrderDetails[[#This Row],[OrderID]],Orders!A:A,Orders!C:C,"Not Found")</f>
        <v>35460</v>
      </c>
      <c r="H487" s="16">
        <f>(OrderDetails[[#This Row],[UnitPrice]]*OrderDetails[[#This Row],[Quantity]])*(1-OrderDetails[[#This Row],[Discount]])</f>
        <v>1170</v>
      </c>
      <c r="I487" s="15" t="str">
        <f>_xlfn.XLOOKUP(OrderDetails[[#This Row],[ProductID]],Product!A:A,Product!G:G,"Not Found")</f>
        <v>Meat/Poultry</v>
      </c>
      <c r="J487" s="15" t="str">
        <f>LOOKUP(MONTH(G487),{1,4,7,10},{"Winter","Spring","Summer","Autumn"})</f>
        <v>Winter</v>
      </c>
      <c r="K487" s="15" t="str">
        <f>_xlfn.XLOOKUP(OrderDetails[[#This Row],[ProductID]],Product!A:A,Product!B:B,"Not Found")</f>
        <v>Alice Mutton</v>
      </c>
    </row>
    <row r="488" spans="1:11">
      <c r="A488" s="1">
        <v>10431</v>
      </c>
      <c r="B488" s="1">
        <v>40</v>
      </c>
      <c r="C488" s="1">
        <v>14.7</v>
      </c>
      <c r="D488" s="1">
        <v>50</v>
      </c>
      <c r="E488" s="3">
        <v>0.25</v>
      </c>
      <c r="F488" s="1" t="str">
        <f>_xlfn.XLOOKUP(A488,Orders!A:A,Orders!B:B,"not found")</f>
        <v>BOTTM</v>
      </c>
      <c r="G488" s="13">
        <f>_xlfn.XLOOKUP(OrderDetails[[#This Row],[OrderID]],Orders!A:A,Orders!C:C,"Not Found")</f>
        <v>35460</v>
      </c>
      <c r="H488" s="16">
        <f>(OrderDetails[[#This Row],[UnitPrice]]*OrderDetails[[#This Row],[Quantity]])*(1-OrderDetails[[#This Row],[Discount]])</f>
        <v>551.25</v>
      </c>
      <c r="I488" s="15" t="str">
        <f>_xlfn.XLOOKUP(OrderDetails[[#This Row],[ProductID]],Product!A:A,Product!G:G,"Not Found")</f>
        <v>Seafood</v>
      </c>
      <c r="J488" s="15" t="str">
        <f>LOOKUP(MONTH(G488),{1,4,7,10},{"Winter","Spring","Summer","Autumn"})</f>
        <v>Winter</v>
      </c>
      <c r="K488" s="15" t="str">
        <f>_xlfn.XLOOKUP(OrderDetails[[#This Row],[ProductID]],Product!A:A,Product!B:B,"Not Found")</f>
        <v>Boston Crab Meat</v>
      </c>
    </row>
    <row r="489" spans="1:11">
      <c r="A489" s="2">
        <v>10431</v>
      </c>
      <c r="B489" s="2">
        <v>47</v>
      </c>
      <c r="C489" s="2">
        <v>7.6</v>
      </c>
      <c r="D489" s="2">
        <v>30</v>
      </c>
      <c r="E489" s="4">
        <v>0.25</v>
      </c>
      <c r="F489" s="1" t="str">
        <f>_xlfn.XLOOKUP(A489,Orders!A:A,Orders!B:B,"not found")</f>
        <v>BOTTM</v>
      </c>
      <c r="G489" s="13">
        <f>_xlfn.XLOOKUP(OrderDetails[[#This Row],[OrderID]],Orders!A:A,Orders!C:C,"Not Found")</f>
        <v>35460</v>
      </c>
      <c r="H489" s="16">
        <f>(OrderDetails[[#This Row],[UnitPrice]]*OrderDetails[[#This Row],[Quantity]])*(1-OrderDetails[[#This Row],[Discount]])</f>
        <v>171</v>
      </c>
      <c r="I489" s="15" t="str">
        <f>_xlfn.XLOOKUP(OrderDetails[[#This Row],[ProductID]],Product!A:A,Product!G:G,"Not Found")</f>
        <v>Confections</v>
      </c>
      <c r="J489" s="15" t="str">
        <f>LOOKUP(MONTH(G489),{1,4,7,10},{"Winter","Spring","Summer","Autumn"})</f>
        <v>Winter</v>
      </c>
      <c r="K489" s="15" t="str">
        <f>_xlfn.XLOOKUP(OrderDetails[[#This Row],[ProductID]],Product!A:A,Product!B:B,"Not Found")</f>
        <v>Zaanse koeken</v>
      </c>
    </row>
    <row r="490" spans="1:11">
      <c r="A490" s="1">
        <v>10432</v>
      </c>
      <c r="B490" s="1">
        <v>26</v>
      </c>
      <c r="C490" s="1">
        <v>24.9</v>
      </c>
      <c r="D490" s="1">
        <v>10</v>
      </c>
      <c r="E490" s="3">
        <v>0</v>
      </c>
      <c r="F490" s="1" t="str">
        <f>_xlfn.XLOOKUP(A490,Orders!A:A,Orders!B:B,"not found")</f>
        <v>SPLIR</v>
      </c>
      <c r="G490" s="13">
        <f>_xlfn.XLOOKUP(OrderDetails[[#This Row],[OrderID]],Orders!A:A,Orders!C:C,"Not Found")</f>
        <v>35461</v>
      </c>
      <c r="H490" s="16">
        <f>(OrderDetails[[#This Row],[UnitPrice]]*OrderDetails[[#This Row],[Quantity]])*(1-OrderDetails[[#This Row],[Discount]])</f>
        <v>249</v>
      </c>
      <c r="I490" s="15" t="str">
        <f>_xlfn.XLOOKUP(OrderDetails[[#This Row],[ProductID]],Product!A:A,Product!G:G,"Not Found")</f>
        <v>Confections</v>
      </c>
      <c r="J490" s="15" t="str">
        <f>LOOKUP(MONTH(G490),{1,4,7,10},{"Winter","Spring","Summer","Autumn"})</f>
        <v>Winter</v>
      </c>
      <c r="K490" s="15" t="str">
        <f>_xlfn.XLOOKUP(OrderDetails[[#This Row],[ProductID]],Product!A:A,Product!B:B,"Not Found")</f>
        <v>Gumbär Gummibärchen</v>
      </c>
    </row>
    <row r="491" spans="1:11">
      <c r="A491" s="2">
        <v>10432</v>
      </c>
      <c r="B491" s="2">
        <v>54</v>
      </c>
      <c r="C491" s="2">
        <v>5.9</v>
      </c>
      <c r="D491" s="2">
        <v>40</v>
      </c>
      <c r="E491" s="4">
        <v>0</v>
      </c>
      <c r="F491" s="1" t="str">
        <f>_xlfn.XLOOKUP(A491,Orders!A:A,Orders!B:B,"not found")</f>
        <v>SPLIR</v>
      </c>
      <c r="G491" s="13">
        <f>_xlfn.XLOOKUP(OrderDetails[[#This Row],[OrderID]],Orders!A:A,Orders!C:C,"Not Found")</f>
        <v>35461</v>
      </c>
      <c r="H491" s="16">
        <f>(OrderDetails[[#This Row],[UnitPrice]]*OrderDetails[[#This Row],[Quantity]])*(1-OrderDetails[[#This Row],[Discount]])</f>
        <v>236</v>
      </c>
      <c r="I491" s="15" t="str">
        <f>_xlfn.XLOOKUP(OrderDetails[[#This Row],[ProductID]],Product!A:A,Product!G:G,"Not Found")</f>
        <v>Meat/Poultry</v>
      </c>
      <c r="J491" s="15" t="str">
        <f>LOOKUP(MONTH(G491),{1,4,7,10},{"Winter","Spring","Summer","Autumn"})</f>
        <v>Winter</v>
      </c>
      <c r="K491" s="15" t="str">
        <f>_xlfn.XLOOKUP(OrderDetails[[#This Row],[ProductID]],Product!A:A,Product!B:B,"Not Found")</f>
        <v>Tourtière</v>
      </c>
    </row>
    <row r="492" spans="1:11">
      <c r="A492" s="1">
        <v>10433</v>
      </c>
      <c r="B492" s="1">
        <v>56</v>
      </c>
      <c r="C492" s="1">
        <v>30.4</v>
      </c>
      <c r="D492" s="1">
        <v>28</v>
      </c>
      <c r="E492" s="3">
        <v>0</v>
      </c>
      <c r="F492" s="1" t="str">
        <f>_xlfn.XLOOKUP(A492,Orders!A:A,Orders!B:B,"not found")</f>
        <v>PRINI</v>
      </c>
      <c r="G492" s="13">
        <f>_xlfn.XLOOKUP(OrderDetails[[#This Row],[OrderID]],Orders!A:A,Orders!C:C,"Not Found")</f>
        <v>35464</v>
      </c>
      <c r="H492" s="16">
        <f>(OrderDetails[[#This Row],[UnitPrice]]*OrderDetails[[#This Row],[Quantity]])*(1-OrderDetails[[#This Row],[Discount]])</f>
        <v>851.19999999999993</v>
      </c>
      <c r="I492" s="15" t="str">
        <f>_xlfn.XLOOKUP(OrderDetails[[#This Row],[ProductID]],Product!A:A,Product!G:G,"Not Found")</f>
        <v>Grains/Cereals</v>
      </c>
      <c r="J492" s="15" t="str">
        <f>LOOKUP(MONTH(G492),{1,4,7,10},{"Winter","Spring","Summer","Autumn"})</f>
        <v>Winter</v>
      </c>
      <c r="K492" s="15" t="str">
        <f>_xlfn.XLOOKUP(OrderDetails[[#This Row],[ProductID]],Product!A:A,Product!B:B,"Not Found")</f>
        <v>Gnocchi di nonna Alice</v>
      </c>
    </row>
    <row r="493" spans="1:11">
      <c r="A493" s="2">
        <v>10434</v>
      </c>
      <c r="B493" s="2">
        <v>11</v>
      </c>
      <c r="C493" s="2">
        <v>16.8</v>
      </c>
      <c r="D493" s="2">
        <v>6</v>
      </c>
      <c r="E493" s="4">
        <v>0</v>
      </c>
      <c r="F493" s="1" t="str">
        <f>_xlfn.XLOOKUP(A493,Orders!A:A,Orders!B:B,"not found")</f>
        <v>FOLKO</v>
      </c>
      <c r="G493" s="13">
        <f>_xlfn.XLOOKUP(OrderDetails[[#This Row],[OrderID]],Orders!A:A,Orders!C:C,"Not Found")</f>
        <v>35464</v>
      </c>
      <c r="H493" s="16">
        <f>(OrderDetails[[#This Row],[UnitPrice]]*OrderDetails[[#This Row],[Quantity]])*(1-OrderDetails[[#This Row],[Discount]])</f>
        <v>100.80000000000001</v>
      </c>
      <c r="I493" s="15" t="str">
        <f>_xlfn.XLOOKUP(OrderDetails[[#This Row],[ProductID]],Product!A:A,Product!G:G,"Not Found")</f>
        <v>Dairy Products</v>
      </c>
      <c r="J493" s="15" t="str">
        <f>LOOKUP(MONTH(G493),{1,4,7,10},{"Winter","Spring","Summer","Autumn"})</f>
        <v>Winter</v>
      </c>
      <c r="K493" s="15" t="str">
        <f>_xlfn.XLOOKUP(OrderDetails[[#This Row],[ProductID]],Product!A:A,Product!B:B,"Not Found")</f>
        <v>Queso Cabrales</v>
      </c>
    </row>
    <row r="494" spans="1:11">
      <c r="A494" s="1">
        <v>10434</v>
      </c>
      <c r="B494" s="1">
        <v>76</v>
      </c>
      <c r="C494" s="1">
        <v>14.4</v>
      </c>
      <c r="D494" s="1">
        <v>18</v>
      </c>
      <c r="E494" s="3">
        <v>0.15000000596046448</v>
      </c>
      <c r="F494" s="1" t="str">
        <f>_xlfn.XLOOKUP(A494,Orders!A:A,Orders!B:B,"not found")</f>
        <v>FOLKO</v>
      </c>
      <c r="G494" s="13">
        <f>_xlfn.XLOOKUP(OrderDetails[[#This Row],[OrderID]],Orders!A:A,Orders!C:C,"Not Found")</f>
        <v>35464</v>
      </c>
      <c r="H494" s="16">
        <f>(OrderDetails[[#This Row],[UnitPrice]]*OrderDetails[[#This Row],[Quantity]])*(1-OrderDetails[[#This Row],[Discount]])</f>
        <v>220.3199984550476</v>
      </c>
      <c r="I494" s="15" t="str">
        <f>_xlfn.XLOOKUP(OrderDetails[[#This Row],[ProductID]],Product!A:A,Product!G:G,"Not Found")</f>
        <v>Beverages</v>
      </c>
      <c r="J494" s="15" t="str">
        <f>LOOKUP(MONTH(G494),{1,4,7,10},{"Winter","Spring","Summer","Autumn"})</f>
        <v>Winter</v>
      </c>
      <c r="K494" s="15" t="str">
        <f>_xlfn.XLOOKUP(OrderDetails[[#This Row],[ProductID]],Product!A:A,Product!B:B,"Not Found")</f>
        <v>Lakkalikööri</v>
      </c>
    </row>
    <row r="495" spans="1:11">
      <c r="A495" s="2">
        <v>10435</v>
      </c>
      <c r="B495" s="2">
        <v>2</v>
      </c>
      <c r="C495" s="2">
        <v>15.2</v>
      </c>
      <c r="D495" s="2">
        <v>10</v>
      </c>
      <c r="E495" s="4">
        <v>0</v>
      </c>
      <c r="F495" s="1" t="str">
        <f>_xlfn.XLOOKUP(A495,Orders!A:A,Orders!B:B,"not found")</f>
        <v>CONSH</v>
      </c>
      <c r="G495" s="13">
        <f>_xlfn.XLOOKUP(OrderDetails[[#This Row],[OrderID]],Orders!A:A,Orders!C:C,"Not Found")</f>
        <v>35465</v>
      </c>
      <c r="H495" s="16">
        <f>(OrderDetails[[#This Row],[UnitPrice]]*OrderDetails[[#This Row],[Quantity]])*(1-OrderDetails[[#This Row],[Discount]])</f>
        <v>152</v>
      </c>
      <c r="I495" s="15" t="str">
        <f>_xlfn.XLOOKUP(OrderDetails[[#This Row],[ProductID]],Product!A:A,Product!G:G,"Not Found")</f>
        <v>Beverages</v>
      </c>
      <c r="J495" s="15" t="str">
        <f>LOOKUP(MONTH(G495),{1,4,7,10},{"Winter","Spring","Summer","Autumn"})</f>
        <v>Winter</v>
      </c>
      <c r="K495" s="15" t="str">
        <f>_xlfn.XLOOKUP(OrderDetails[[#This Row],[ProductID]],Product!A:A,Product!B:B,"Not Found")</f>
        <v>Chang</v>
      </c>
    </row>
    <row r="496" spans="1:11">
      <c r="A496" s="1">
        <v>10435</v>
      </c>
      <c r="B496" s="1">
        <v>22</v>
      </c>
      <c r="C496" s="1">
        <v>16.8</v>
      </c>
      <c r="D496" s="1">
        <v>12</v>
      </c>
      <c r="E496" s="3">
        <v>0</v>
      </c>
      <c r="F496" s="1" t="str">
        <f>_xlfn.XLOOKUP(A496,Orders!A:A,Orders!B:B,"not found")</f>
        <v>CONSH</v>
      </c>
      <c r="G496" s="13">
        <f>_xlfn.XLOOKUP(OrderDetails[[#This Row],[OrderID]],Orders!A:A,Orders!C:C,"Not Found")</f>
        <v>35465</v>
      </c>
      <c r="H496" s="16">
        <f>(OrderDetails[[#This Row],[UnitPrice]]*OrderDetails[[#This Row],[Quantity]])*(1-OrderDetails[[#This Row],[Discount]])</f>
        <v>201.60000000000002</v>
      </c>
      <c r="I496" s="15" t="str">
        <f>_xlfn.XLOOKUP(OrderDetails[[#This Row],[ProductID]],Product!A:A,Product!G:G,"Not Found")</f>
        <v>Grains/Cereals</v>
      </c>
      <c r="J496" s="15" t="str">
        <f>LOOKUP(MONTH(G496),{1,4,7,10},{"Winter","Spring","Summer","Autumn"})</f>
        <v>Winter</v>
      </c>
      <c r="K496" s="15" t="str">
        <f>_xlfn.XLOOKUP(OrderDetails[[#This Row],[ProductID]],Product!A:A,Product!B:B,"Not Found")</f>
        <v>Gustaf's Knäckebröd</v>
      </c>
    </row>
    <row r="497" spans="1:11">
      <c r="A497" s="2">
        <v>10435</v>
      </c>
      <c r="B497" s="2">
        <v>72</v>
      </c>
      <c r="C497" s="2">
        <v>27.8</v>
      </c>
      <c r="D497" s="2">
        <v>10</v>
      </c>
      <c r="E497" s="4">
        <v>0</v>
      </c>
      <c r="F497" s="1" t="str">
        <f>_xlfn.XLOOKUP(A497,Orders!A:A,Orders!B:B,"not found")</f>
        <v>CONSH</v>
      </c>
      <c r="G497" s="13">
        <f>_xlfn.XLOOKUP(OrderDetails[[#This Row],[OrderID]],Orders!A:A,Orders!C:C,"Not Found")</f>
        <v>35465</v>
      </c>
      <c r="H497" s="16">
        <f>(OrderDetails[[#This Row],[UnitPrice]]*OrderDetails[[#This Row],[Quantity]])*(1-OrderDetails[[#This Row],[Discount]])</f>
        <v>278</v>
      </c>
      <c r="I497" s="15" t="str">
        <f>_xlfn.XLOOKUP(OrderDetails[[#This Row],[ProductID]],Product!A:A,Product!G:G,"Not Found")</f>
        <v>Dairy Products</v>
      </c>
      <c r="J497" s="15" t="str">
        <f>LOOKUP(MONTH(G497),{1,4,7,10},{"Winter","Spring","Summer","Autumn"})</f>
        <v>Winter</v>
      </c>
      <c r="K497" s="15" t="str">
        <f>_xlfn.XLOOKUP(OrderDetails[[#This Row],[ProductID]],Product!A:A,Product!B:B,"Not Found")</f>
        <v>Mozzarella di Giovanni</v>
      </c>
    </row>
    <row r="498" spans="1:11">
      <c r="A498" s="1">
        <v>10436</v>
      </c>
      <c r="B498" s="1">
        <v>46</v>
      </c>
      <c r="C498" s="1">
        <v>9.6</v>
      </c>
      <c r="D498" s="1">
        <v>5</v>
      </c>
      <c r="E498" s="3">
        <v>0</v>
      </c>
      <c r="F498" s="1" t="str">
        <f>_xlfn.XLOOKUP(A498,Orders!A:A,Orders!B:B,"not found")</f>
        <v>BLONP</v>
      </c>
      <c r="G498" s="13">
        <f>_xlfn.XLOOKUP(OrderDetails[[#This Row],[OrderID]],Orders!A:A,Orders!C:C,"Not Found")</f>
        <v>35466</v>
      </c>
      <c r="H498" s="16">
        <f>(OrderDetails[[#This Row],[UnitPrice]]*OrderDetails[[#This Row],[Quantity]])*(1-OrderDetails[[#This Row],[Discount]])</f>
        <v>48</v>
      </c>
      <c r="I498" s="15" t="str">
        <f>_xlfn.XLOOKUP(OrderDetails[[#This Row],[ProductID]],Product!A:A,Product!G:G,"Not Found")</f>
        <v>Seafood</v>
      </c>
      <c r="J498" s="15" t="str">
        <f>LOOKUP(MONTH(G498),{1,4,7,10},{"Winter","Spring","Summer","Autumn"})</f>
        <v>Winter</v>
      </c>
      <c r="K498" s="15" t="str">
        <f>_xlfn.XLOOKUP(OrderDetails[[#This Row],[ProductID]],Product!A:A,Product!B:B,"Not Found")</f>
        <v>Spegesild</v>
      </c>
    </row>
    <row r="499" spans="1:11">
      <c r="A499" s="2">
        <v>10436</v>
      </c>
      <c r="B499" s="2">
        <v>56</v>
      </c>
      <c r="C499" s="2">
        <v>30.4</v>
      </c>
      <c r="D499" s="2">
        <v>40</v>
      </c>
      <c r="E499" s="4">
        <v>0.10000000149011612</v>
      </c>
      <c r="F499" s="1" t="str">
        <f>_xlfn.XLOOKUP(A499,Orders!A:A,Orders!B:B,"not found")</f>
        <v>BLONP</v>
      </c>
      <c r="G499" s="13">
        <f>_xlfn.XLOOKUP(OrderDetails[[#This Row],[OrderID]],Orders!A:A,Orders!C:C,"Not Found")</f>
        <v>35466</v>
      </c>
      <c r="H499" s="16">
        <f>(OrderDetails[[#This Row],[UnitPrice]]*OrderDetails[[#This Row],[Quantity]])*(1-OrderDetails[[#This Row],[Discount]])</f>
        <v>1094.3999981880188</v>
      </c>
      <c r="I499" s="15" t="str">
        <f>_xlfn.XLOOKUP(OrderDetails[[#This Row],[ProductID]],Product!A:A,Product!G:G,"Not Found")</f>
        <v>Grains/Cereals</v>
      </c>
      <c r="J499" s="15" t="str">
        <f>LOOKUP(MONTH(G499),{1,4,7,10},{"Winter","Spring","Summer","Autumn"})</f>
        <v>Winter</v>
      </c>
      <c r="K499" s="15" t="str">
        <f>_xlfn.XLOOKUP(OrderDetails[[#This Row],[ProductID]],Product!A:A,Product!B:B,"Not Found")</f>
        <v>Gnocchi di nonna Alice</v>
      </c>
    </row>
    <row r="500" spans="1:11">
      <c r="A500" s="1">
        <v>10436</v>
      </c>
      <c r="B500" s="1">
        <v>64</v>
      </c>
      <c r="C500" s="1">
        <v>26.6</v>
      </c>
      <c r="D500" s="1">
        <v>30</v>
      </c>
      <c r="E500" s="3">
        <v>0.10000000149011612</v>
      </c>
      <c r="F500" s="1" t="str">
        <f>_xlfn.XLOOKUP(A500,Orders!A:A,Orders!B:B,"not found")</f>
        <v>BLONP</v>
      </c>
      <c r="G500" s="13">
        <f>_xlfn.XLOOKUP(OrderDetails[[#This Row],[OrderID]],Orders!A:A,Orders!C:C,"Not Found")</f>
        <v>35466</v>
      </c>
      <c r="H500" s="16">
        <f>(OrderDetails[[#This Row],[UnitPrice]]*OrderDetails[[#This Row],[Quantity]])*(1-OrderDetails[[#This Row],[Discount]])</f>
        <v>718.19999881088734</v>
      </c>
      <c r="I500" s="15" t="str">
        <f>_xlfn.XLOOKUP(OrderDetails[[#This Row],[ProductID]],Product!A:A,Product!G:G,"Not Found")</f>
        <v>Grains/Cereals</v>
      </c>
      <c r="J500" s="15" t="str">
        <f>LOOKUP(MONTH(G500),{1,4,7,10},{"Winter","Spring","Summer","Autumn"})</f>
        <v>Winter</v>
      </c>
      <c r="K500" s="15" t="str">
        <f>_xlfn.XLOOKUP(OrderDetails[[#This Row],[ProductID]],Product!A:A,Product!B:B,"Not Found")</f>
        <v>Wimmers gute Semmelknödel</v>
      </c>
    </row>
    <row r="501" spans="1:11">
      <c r="A501" s="2">
        <v>10436</v>
      </c>
      <c r="B501" s="2">
        <v>75</v>
      </c>
      <c r="C501" s="2">
        <v>6.2</v>
      </c>
      <c r="D501" s="2">
        <v>24</v>
      </c>
      <c r="E501" s="4">
        <v>0.10000000149011612</v>
      </c>
      <c r="F501" s="1" t="str">
        <f>_xlfn.XLOOKUP(A501,Orders!A:A,Orders!B:B,"not found")</f>
        <v>BLONP</v>
      </c>
      <c r="G501" s="13">
        <f>_xlfn.XLOOKUP(OrderDetails[[#This Row],[OrderID]],Orders!A:A,Orders!C:C,"Not Found")</f>
        <v>35466</v>
      </c>
      <c r="H501" s="16">
        <f>(OrderDetails[[#This Row],[UnitPrice]]*OrderDetails[[#This Row],[Quantity]])*(1-OrderDetails[[#This Row],[Discount]])</f>
        <v>133.91999977827072</v>
      </c>
      <c r="I501" s="15" t="str">
        <f>_xlfn.XLOOKUP(OrderDetails[[#This Row],[ProductID]],Product!A:A,Product!G:G,"Not Found")</f>
        <v>Beverages</v>
      </c>
      <c r="J501" s="15" t="str">
        <f>LOOKUP(MONTH(G501),{1,4,7,10},{"Winter","Spring","Summer","Autumn"})</f>
        <v>Winter</v>
      </c>
      <c r="K501" s="15" t="str">
        <f>_xlfn.XLOOKUP(OrderDetails[[#This Row],[ProductID]],Product!A:A,Product!B:B,"Not Found")</f>
        <v>Rhönbräu Klosterbier</v>
      </c>
    </row>
    <row r="502" spans="1:11">
      <c r="A502" s="1">
        <v>10437</v>
      </c>
      <c r="B502" s="1">
        <v>53</v>
      </c>
      <c r="C502" s="1">
        <v>26.2</v>
      </c>
      <c r="D502" s="1">
        <v>15</v>
      </c>
      <c r="E502" s="3">
        <v>0</v>
      </c>
      <c r="F502" s="1" t="str">
        <f>_xlfn.XLOOKUP(A502,Orders!A:A,Orders!B:B,"not found")</f>
        <v>WARTH</v>
      </c>
      <c r="G502" s="13">
        <f>_xlfn.XLOOKUP(OrderDetails[[#This Row],[OrderID]],Orders!A:A,Orders!C:C,"Not Found")</f>
        <v>35466</v>
      </c>
      <c r="H502" s="16">
        <f>(OrderDetails[[#This Row],[UnitPrice]]*OrderDetails[[#This Row],[Quantity]])*(1-OrderDetails[[#This Row],[Discount]])</f>
        <v>393</v>
      </c>
      <c r="I502" s="15" t="str">
        <f>_xlfn.XLOOKUP(OrderDetails[[#This Row],[ProductID]],Product!A:A,Product!G:G,"Not Found")</f>
        <v>Meat/Poultry</v>
      </c>
      <c r="J502" s="15" t="str">
        <f>LOOKUP(MONTH(G502),{1,4,7,10},{"Winter","Spring","Summer","Autumn"})</f>
        <v>Winter</v>
      </c>
      <c r="K502" s="15" t="str">
        <f>_xlfn.XLOOKUP(OrderDetails[[#This Row],[ProductID]],Product!A:A,Product!B:B,"Not Found")</f>
        <v>Perth Pasties</v>
      </c>
    </row>
    <row r="503" spans="1:11">
      <c r="A503" s="2">
        <v>10438</v>
      </c>
      <c r="B503" s="2">
        <v>19</v>
      </c>
      <c r="C503" s="2">
        <v>7.3</v>
      </c>
      <c r="D503" s="2">
        <v>15</v>
      </c>
      <c r="E503" s="4">
        <v>0.20000000298023224</v>
      </c>
      <c r="F503" s="1" t="str">
        <f>_xlfn.XLOOKUP(A503,Orders!A:A,Orders!B:B,"not found")</f>
        <v>TOMSP</v>
      </c>
      <c r="G503" s="13">
        <f>_xlfn.XLOOKUP(OrderDetails[[#This Row],[OrderID]],Orders!A:A,Orders!C:C,"Not Found")</f>
        <v>35467</v>
      </c>
      <c r="H503" s="16">
        <f>(OrderDetails[[#This Row],[UnitPrice]]*OrderDetails[[#This Row],[Quantity]])*(1-OrderDetails[[#This Row],[Discount]])</f>
        <v>87.59999967366457</v>
      </c>
      <c r="I503" s="15" t="str">
        <f>_xlfn.XLOOKUP(OrderDetails[[#This Row],[ProductID]],Product!A:A,Product!G:G,"Not Found")</f>
        <v>Confections</v>
      </c>
      <c r="J503" s="15" t="str">
        <f>LOOKUP(MONTH(G503),{1,4,7,10},{"Winter","Spring","Summer","Autumn"})</f>
        <v>Winter</v>
      </c>
      <c r="K503" s="15" t="str">
        <f>_xlfn.XLOOKUP(OrderDetails[[#This Row],[ProductID]],Product!A:A,Product!B:B,"Not Found")</f>
        <v>Teatime Chocolate Biscuits</v>
      </c>
    </row>
    <row r="504" spans="1:11">
      <c r="A504" s="1">
        <v>10438</v>
      </c>
      <c r="B504" s="1">
        <v>34</v>
      </c>
      <c r="C504" s="1">
        <v>11.2</v>
      </c>
      <c r="D504" s="1">
        <v>20</v>
      </c>
      <c r="E504" s="3">
        <v>0.20000000298023224</v>
      </c>
      <c r="F504" s="1" t="str">
        <f>_xlfn.XLOOKUP(A504,Orders!A:A,Orders!B:B,"not found")</f>
        <v>TOMSP</v>
      </c>
      <c r="G504" s="13">
        <f>_xlfn.XLOOKUP(OrderDetails[[#This Row],[OrderID]],Orders!A:A,Orders!C:C,"Not Found")</f>
        <v>35467</v>
      </c>
      <c r="H504" s="16">
        <f>(OrderDetails[[#This Row],[UnitPrice]]*OrderDetails[[#This Row],[Quantity]])*(1-OrderDetails[[#This Row],[Discount]])</f>
        <v>179.19999933242798</v>
      </c>
      <c r="I504" s="15" t="str">
        <f>_xlfn.XLOOKUP(OrderDetails[[#This Row],[ProductID]],Product!A:A,Product!G:G,"Not Found")</f>
        <v>Beverages</v>
      </c>
      <c r="J504" s="15" t="str">
        <f>LOOKUP(MONTH(G504),{1,4,7,10},{"Winter","Spring","Summer","Autumn"})</f>
        <v>Winter</v>
      </c>
      <c r="K504" s="15" t="str">
        <f>_xlfn.XLOOKUP(OrderDetails[[#This Row],[ProductID]],Product!A:A,Product!B:B,"Not Found")</f>
        <v>Sasquatch Ale</v>
      </c>
    </row>
    <row r="505" spans="1:11">
      <c r="A505" s="2">
        <v>10438</v>
      </c>
      <c r="B505" s="2">
        <v>57</v>
      </c>
      <c r="C505" s="2">
        <v>15.6</v>
      </c>
      <c r="D505" s="2">
        <v>15</v>
      </c>
      <c r="E505" s="4">
        <v>0.20000000298023224</v>
      </c>
      <c r="F505" s="1" t="str">
        <f>_xlfn.XLOOKUP(A505,Orders!A:A,Orders!B:B,"not found")</f>
        <v>TOMSP</v>
      </c>
      <c r="G505" s="13">
        <f>_xlfn.XLOOKUP(OrderDetails[[#This Row],[OrderID]],Orders!A:A,Orders!C:C,"Not Found")</f>
        <v>35467</v>
      </c>
      <c r="H505" s="16">
        <f>(OrderDetails[[#This Row],[UnitPrice]]*OrderDetails[[#This Row],[Quantity]])*(1-OrderDetails[[#This Row],[Discount]])</f>
        <v>187.19999930262566</v>
      </c>
      <c r="I505" s="15" t="str">
        <f>_xlfn.XLOOKUP(OrderDetails[[#This Row],[ProductID]],Product!A:A,Product!G:G,"Not Found")</f>
        <v>Grains/Cereals</v>
      </c>
      <c r="J505" s="15" t="str">
        <f>LOOKUP(MONTH(G505),{1,4,7,10},{"Winter","Spring","Summer","Autumn"})</f>
        <v>Winter</v>
      </c>
      <c r="K505" s="15" t="str">
        <f>_xlfn.XLOOKUP(OrderDetails[[#This Row],[ProductID]],Product!A:A,Product!B:B,"Not Found")</f>
        <v>Ravioli Angelo</v>
      </c>
    </row>
    <row r="506" spans="1:11">
      <c r="A506" s="1">
        <v>10439</v>
      </c>
      <c r="B506" s="1">
        <v>12</v>
      </c>
      <c r="C506" s="1">
        <v>30.4</v>
      </c>
      <c r="D506" s="1">
        <v>15</v>
      </c>
      <c r="E506" s="3">
        <v>0</v>
      </c>
      <c r="F506" s="1" t="str">
        <f>_xlfn.XLOOKUP(A506,Orders!A:A,Orders!B:B,"not found")</f>
        <v>MEREP</v>
      </c>
      <c r="G506" s="13">
        <f>_xlfn.XLOOKUP(OrderDetails[[#This Row],[OrderID]],Orders!A:A,Orders!C:C,"Not Found")</f>
        <v>35468</v>
      </c>
      <c r="H506" s="16">
        <f>(OrderDetails[[#This Row],[UnitPrice]]*OrderDetails[[#This Row],[Quantity]])*(1-OrderDetails[[#This Row],[Discount]])</f>
        <v>456</v>
      </c>
      <c r="I506" s="15" t="str">
        <f>_xlfn.XLOOKUP(OrderDetails[[#This Row],[ProductID]],Product!A:A,Product!G:G,"Not Found")</f>
        <v>Dairy Products</v>
      </c>
      <c r="J506" s="15" t="str">
        <f>LOOKUP(MONTH(G506),{1,4,7,10},{"Winter","Spring","Summer","Autumn"})</f>
        <v>Winter</v>
      </c>
      <c r="K506" s="15" t="str">
        <f>_xlfn.XLOOKUP(OrderDetails[[#This Row],[ProductID]],Product!A:A,Product!B:B,"Not Found")</f>
        <v>Queso Manchego La Pastora</v>
      </c>
    </row>
    <row r="507" spans="1:11">
      <c r="A507" s="2">
        <v>10439</v>
      </c>
      <c r="B507" s="2">
        <v>16</v>
      </c>
      <c r="C507" s="2">
        <v>13.9</v>
      </c>
      <c r="D507" s="2">
        <v>16</v>
      </c>
      <c r="E507" s="4">
        <v>0</v>
      </c>
      <c r="F507" s="1" t="str">
        <f>_xlfn.XLOOKUP(A507,Orders!A:A,Orders!B:B,"not found")</f>
        <v>MEREP</v>
      </c>
      <c r="G507" s="13">
        <f>_xlfn.XLOOKUP(OrderDetails[[#This Row],[OrderID]],Orders!A:A,Orders!C:C,"Not Found")</f>
        <v>35468</v>
      </c>
      <c r="H507" s="16">
        <f>(OrderDetails[[#This Row],[UnitPrice]]*OrderDetails[[#This Row],[Quantity]])*(1-OrderDetails[[#This Row],[Discount]])</f>
        <v>222.4</v>
      </c>
      <c r="I507" s="15" t="str">
        <f>_xlfn.XLOOKUP(OrderDetails[[#This Row],[ProductID]],Product!A:A,Product!G:G,"Not Found")</f>
        <v>Confections</v>
      </c>
      <c r="J507" s="15" t="str">
        <f>LOOKUP(MONTH(G507),{1,4,7,10},{"Winter","Spring","Summer","Autumn"})</f>
        <v>Winter</v>
      </c>
      <c r="K507" s="15" t="str">
        <f>_xlfn.XLOOKUP(OrderDetails[[#This Row],[ProductID]],Product!A:A,Product!B:B,"Not Found")</f>
        <v>Pavlova</v>
      </c>
    </row>
    <row r="508" spans="1:11">
      <c r="A508" s="1">
        <v>10439</v>
      </c>
      <c r="B508" s="1">
        <v>64</v>
      </c>
      <c r="C508" s="1">
        <v>26.6</v>
      </c>
      <c r="D508" s="1">
        <v>6</v>
      </c>
      <c r="E508" s="3">
        <v>0</v>
      </c>
      <c r="F508" s="1" t="str">
        <f>_xlfn.XLOOKUP(A508,Orders!A:A,Orders!B:B,"not found")</f>
        <v>MEREP</v>
      </c>
      <c r="G508" s="13">
        <f>_xlfn.XLOOKUP(OrderDetails[[#This Row],[OrderID]],Orders!A:A,Orders!C:C,"Not Found")</f>
        <v>35468</v>
      </c>
      <c r="H508" s="16">
        <f>(OrderDetails[[#This Row],[UnitPrice]]*OrderDetails[[#This Row],[Quantity]])*(1-OrderDetails[[#This Row],[Discount]])</f>
        <v>159.60000000000002</v>
      </c>
      <c r="I508" s="15" t="str">
        <f>_xlfn.XLOOKUP(OrderDetails[[#This Row],[ProductID]],Product!A:A,Product!G:G,"Not Found")</f>
        <v>Grains/Cereals</v>
      </c>
      <c r="J508" s="15" t="str">
        <f>LOOKUP(MONTH(G508),{1,4,7,10},{"Winter","Spring","Summer","Autumn"})</f>
        <v>Winter</v>
      </c>
      <c r="K508" s="15" t="str">
        <f>_xlfn.XLOOKUP(OrderDetails[[#This Row],[ProductID]],Product!A:A,Product!B:B,"Not Found")</f>
        <v>Wimmers gute Semmelknödel</v>
      </c>
    </row>
    <row r="509" spans="1:11">
      <c r="A509" s="2">
        <v>10439</v>
      </c>
      <c r="B509" s="2">
        <v>74</v>
      </c>
      <c r="C509" s="2">
        <v>8</v>
      </c>
      <c r="D509" s="2">
        <v>30</v>
      </c>
      <c r="E509" s="4">
        <v>0</v>
      </c>
      <c r="F509" s="1" t="str">
        <f>_xlfn.XLOOKUP(A509,Orders!A:A,Orders!B:B,"not found")</f>
        <v>MEREP</v>
      </c>
      <c r="G509" s="13">
        <f>_xlfn.XLOOKUP(OrderDetails[[#This Row],[OrderID]],Orders!A:A,Orders!C:C,"Not Found")</f>
        <v>35468</v>
      </c>
      <c r="H509" s="16">
        <f>(OrderDetails[[#This Row],[UnitPrice]]*OrderDetails[[#This Row],[Quantity]])*(1-OrderDetails[[#This Row],[Discount]])</f>
        <v>240</v>
      </c>
      <c r="I509" s="15" t="str">
        <f>_xlfn.XLOOKUP(OrderDetails[[#This Row],[ProductID]],Product!A:A,Product!G:G,"Not Found")</f>
        <v>Produce</v>
      </c>
      <c r="J509" s="15" t="str">
        <f>LOOKUP(MONTH(G509),{1,4,7,10},{"Winter","Spring","Summer","Autumn"})</f>
        <v>Winter</v>
      </c>
      <c r="K509" s="15" t="str">
        <f>_xlfn.XLOOKUP(OrderDetails[[#This Row],[ProductID]],Product!A:A,Product!B:B,"Not Found")</f>
        <v>Longlife Tofu</v>
      </c>
    </row>
    <row r="510" spans="1:11">
      <c r="A510" s="1">
        <v>10440</v>
      </c>
      <c r="B510" s="1">
        <v>2</v>
      </c>
      <c r="C510" s="1">
        <v>15.2</v>
      </c>
      <c r="D510" s="1">
        <v>45</v>
      </c>
      <c r="E510" s="3">
        <v>0.15000000596046448</v>
      </c>
      <c r="F510" s="1" t="str">
        <f>_xlfn.XLOOKUP(A510,Orders!A:A,Orders!B:B,"not found")</f>
        <v>SAVEA</v>
      </c>
      <c r="G510" s="13">
        <f>_xlfn.XLOOKUP(OrderDetails[[#This Row],[OrderID]],Orders!A:A,Orders!C:C,"Not Found")</f>
        <v>35471</v>
      </c>
      <c r="H510" s="16">
        <f>(OrderDetails[[#This Row],[UnitPrice]]*OrderDetails[[#This Row],[Quantity]])*(1-OrderDetails[[#This Row],[Discount]])</f>
        <v>581.3999959230423</v>
      </c>
      <c r="I510" s="15" t="str">
        <f>_xlfn.XLOOKUP(OrderDetails[[#This Row],[ProductID]],Product!A:A,Product!G:G,"Not Found")</f>
        <v>Beverages</v>
      </c>
      <c r="J510" s="15" t="str">
        <f>LOOKUP(MONTH(G510),{1,4,7,10},{"Winter","Spring","Summer","Autumn"})</f>
        <v>Winter</v>
      </c>
      <c r="K510" s="15" t="str">
        <f>_xlfn.XLOOKUP(OrderDetails[[#This Row],[ProductID]],Product!A:A,Product!B:B,"Not Found")</f>
        <v>Chang</v>
      </c>
    </row>
    <row r="511" spans="1:11">
      <c r="A511" s="2">
        <v>10440</v>
      </c>
      <c r="B511" s="2">
        <v>16</v>
      </c>
      <c r="C511" s="2">
        <v>13.9</v>
      </c>
      <c r="D511" s="2">
        <v>49</v>
      </c>
      <c r="E511" s="4">
        <v>0.15000000596046448</v>
      </c>
      <c r="F511" s="1" t="str">
        <f>_xlfn.XLOOKUP(A511,Orders!A:A,Orders!B:B,"not found")</f>
        <v>SAVEA</v>
      </c>
      <c r="G511" s="13">
        <f>_xlfn.XLOOKUP(OrderDetails[[#This Row],[OrderID]],Orders!A:A,Orders!C:C,"Not Found")</f>
        <v>35471</v>
      </c>
      <c r="H511" s="16">
        <f>(OrderDetails[[#This Row],[UnitPrice]]*OrderDetails[[#This Row],[Quantity]])*(1-OrderDetails[[#This Row],[Discount]])</f>
        <v>578.93499594032767</v>
      </c>
      <c r="I511" s="15" t="str">
        <f>_xlfn.XLOOKUP(OrderDetails[[#This Row],[ProductID]],Product!A:A,Product!G:G,"Not Found")</f>
        <v>Confections</v>
      </c>
      <c r="J511" s="15" t="str">
        <f>LOOKUP(MONTH(G511),{1,4,7,10},{"Winter","Spring","Summer","Autumn"})</f>
        <v>Winter</v>
      </c>
      <c r="K511" s="15" t="str">
        <f>_xlfn.XLOOKUP(OrderDetails[[#This Row],[ProductID]],Product!A:A,Product!B:B,"Not Found")</f>
        <v>Pavlova</v>
      </c>
    </row>
    <row r="512" spans="1:11">
      <c r="A512" s="1">
        <v>10440</v>
      </c>
      <c r="B512" s="1">
        <v>29</v>
      </c>
      <c r="C512" s="1">
        <v>99</v>
      </c>
      <c r="D512" s="1">
        <v>24</v>
      </c>
      <c r="E512" s="3">
        <v>0.15000000596046448</v>
      </c>
      <c r="F512" s="1" t="str">
        <f>_xlfn.XLOOKUP(A512,Orders!A:A,Orders!B:B,"not found")</f>
        <v>SAVEA</v>
      </c>
      <c r="G512" s="13">
        <f>_xlfn.XLOOKUP(OrderDetails[[#This Row],[OrderID]],Orders!A:A,Orders!C:C,"Not Found")</f>
        <v>35471</v>
      </c>
      <c r="H512" s="16">
        <f>(OrderDetails[[#This Row],[UnitPrice]]*OrderDetails[[#This Row],[Quantity]])*(1-OrderDetails[[#This Row],[Discount]])</f>
        <v>2019.5999858379364</v>
      </c>
      <c r="I512" s="15" t="str">
        <f>_xlfn.XLOOKUP(OrderDetails[[#This Row],[ProductID]],Product!A:A,Product!G:G,"Not Found")</f>
        <v>Meat/Poultry</v>
      </c>
      <c r="J512" s="15" t="str">
        <f>LOOKUP(MONTH(G512),{1,4,7,10},{"Winter","Spring","Summer","Autumn"})</f>
        <v>Winter</v>
      </c>
      <c r="K512" s="15" t="str">
        <f>_xlfn.XLOOKUP(OrderDetails[[#This Row],[ProductID]],Product!A:A,Product!B:B,"Not Found")</f>
        <v>Thüringer Rostbratwurst</v>
      </c>
    </row>
    <row r="513" spans="1:11">
      <c r="A513" s="2">
        <v>10440</v>
      </c>
      <c r="B513" s="2">
        <v>61</v>
      </c>
      <c r="C513" s="2">
        <v>22.8</v>
      </c>
      <c r="D513" s="2">
        <v>90</v>
      </c>
      <c r="E513" s="4">
        <v>0.15000000596046448</v>
      </c>
      <c r="F513" s="1" t="str">
        <f>_xlfn.XLOOKUP(A513,Orders!A:A,Orders!B:B,"not found")</f>
        <v>SAVEA</v>
      </c>
      <c r="G513" s="13">
        <f>_xlfn.XLOOKUP(OrderDetails[[#This Row],[OrderID]],Orders!A:A,Orders!C:C,"Not Found")</f>
        <v>35471</v>
      </c>
      <c r="H513" s="16">
        <f>(OrderDetails[[#This Row],[UnitPrice]]*OrderDetails[[#This Row],[Quantity]])*(1-OrderDetails[[#This Row],[Discount]])</f>
        <v>1744.1999877691269</v>
      </c>
      <c r="I513" s="15" t="str">
        <f>_xlfn.XLOOKUP(OrderDetails[[#This Row],[ProductID]],Product!A:A,Product!G:G,"Not Found")</f>
        <v>Condiments</v>
      </c>
      <c r="J513" s="15" t="str">
        <f>LOOKUP(MONTH(G513),{1,4,7,10},{"Winter","Spring","Summer","Autumn"})</f>
        <v>Winter</v>
      </c>
      <c r="K513" s="15" t="str">
        <f>_xlfn.XLOOKUP(OrderDetails[[#This Row],[ProductID]],Product!A:A,Product!B:B,"Not Found")</f>
        <v>Sirop d'érable</v>
      </c>
    </row>
    <row r="514" spans="1:11">
      <c r="A514" s="1">
        <v>10441</v>
      </c>
      <c r="B514" s="1">
        <v>27</v>
      </c>
      <c r="C514" s="1">
        <v>35.1</v>
      </c>
      <c r="D514" s="1">
        <v>50</v>
      </c>
      <c r="E514" s="3">
        <v>0</v>
      </c>
      <c r="F514" s="1" t="str">
        <f>_xlfn.XLOOKUP(A514,Orders!A:A,Orders!B:B,"not found")</f>
        <v>OLDWO</v>
      </c>
      <c r="G514" s="13">
        <f>_xlfn.XLOOKUP(OrderDetails[[#This Row],[OrderID]],Orders!A:A,Orders!C:C,"Not Found")</f>
        <v>35471</v>
      </c>
      <c r="H514" s="16">
        <f>(OrderDetails[[#This Row],[UnitPrice]]*OrderDetails[[#This Row],[Quantity]])*(1-OrderDetails[[#This Row],[Discount]])</f>
        <v>1755</v>
      </c>
      <c r="I514" s="15" t="str">
        <f>_xlfn.XLOOKUP(OrderDetails[[#This Row],[ProductID]],Product!A:A,Product!G:G,"Not Found")</f>
        <v>Confections</v>
      </c>
      <c r="J514" s="15" t="str">
        <f>LOOKUP(MONTH(G514),{1,4,7,10},{"Winter","Spring","Summer","Autumn"})</f>
        <v>Winter</v>
      </c>
      <c r="K514" s="15" t="str">
        <f>_xlfn.XLOOKUP(OrderDetails[[#This Row],[ProductID]],Product!A:A,Product!B:B,"Not Found")</f>
        <v>Schoggi Schokolade</v>
      </c>
    </row>
    <row r="515" spans="1:11">
      <c r="A515" s="2">
        <v>10442</v>
      </c>
      <c r="B515" s="2">
        <v>11</v>
      </c>
      <c r="C515" s="2">
        <v>16.8</v>
      </c>
      <c r="D515" s="2">
        <v>30</v>
      </c>
      <c r="E515" s="4">
        <v>0</v>
      </c>
      <c r="F515" s="1" t="str">
        <f>_xlfn.XLOOKUP(A515,Orders!A:A,Orders!B:B,"not found")</f>
        <v>ERNSH</v>
      </c>
      <c r="G515" s="13">
        <f>_xlfn.XLOOKUP(OrderDetails[[#This Row],[OrderID]],Orders!A:A,Orders!C:C,"Not Found")</f>
        <v>35472</v>
      </c>
      <c r="H515" s="16">
        <f>(OrderDetails[[#This Row],[UnitPrice]]*OrderDetails[[#This Row],[Quantity]])*(1-OrderDetails[[#This Row],[Discount]])</f>
        <v>504</v>
      </c>
      <c r="I515" s="15" t="str">
        <f>_xlfn.XLOOKUP(OrderDetails[[#This Row],[ProductID]],Product!A:A,Product!G:G,"Not Found")</f>
        <v>Dairy Products</v>
      </c>
      <c r="J515" s="15" t="str">
        <f>LOOKUP(MONTH(G515),{1,4,7,10},{"Winter","Spring","Summer","Autumn"})</f>
        <v>Winter</v>
      </c>
      <c r="K515" s="15" t="str">
        <f>_xlfn.XLOOKUP(OrderDetails[[#This Row],[ProductID]],Product!A:A,Product!B:B,"Not Found")</f>
        <v>Queso Cabrales</v>
      </c>
    </row>
    <row r="516" spans="1:11">
      <c r="A516" s="1">
        <v>10442</v>
      </c>
      <c r="B516" s="1">
        <v>54</v>
      </c>
      <c r="C516" s="1">
        <v>5.9</v>
      </c>
      <c r="D516" s="1">
        <v>80</v>
      </c>
      <c r="E516" s="3">
        <v>0</v>
      </c>
      <c r="F516" s="1" t="str">
        <f>_xlfn.XLOOKUP(A516,Orders!A:A,Orders!B:B,"not found")</f>
        <v>ERNSH</v>
      </c>
      <c r="G516" s="13">
        <f>_xlfn.XLOOKUP(OrderDetails[[#This Row],[OrderID]],Orders!A:A,Orders!C:C,"Not Found")</f>
        <v>35472</v>
      </c>
      <c r="H516" s="16">
        <f>(OrderDetails[[#This Row],[UnitPrice]]*OrderDetails[[#This Row],[Quantity]])*(1-OrderDetails[[#This Row],[Discount]])</f>
        <v>472</v>
      </c>
      <c r="I516" s="15" t="str">
        <f>_xlfn.XLOOKUP(OrderDetails[[#This Row],[ProductID]],Product!A:A,Product!G:G,"Not Found")</f>
        <v>Meat/Poultry</v>
      </c>
      <c r="J516" s="15" t="str">
        <f>LOOKUP(MONTH(G516),{1,4,7,10},{"Winter","Spring","Summer","Autumn"})</f>
        <v>Winter</v>
      </c>
      <c r="K516" s="15" t="str">
        <f>_xlfn.XLOOKUP(OrderDetails[[#This Row],[ProductID]],Product!A:A,Product!B:B,"Not Found")</f>
        <v>Tourtière</v>
      </c>
    </row>
    <row r="517" spans="1:11">
      <c r="A517" s="2">
        <v>10442</v>
      </c>
      <c r="B517" s="2">
        <v>66</v>
      </c>
      <c r="C517" s="2">
        <v>13.6</v>
      </c>
      <c r="D517" s="2">
        <v>60</v>
      </c>
      <c r="E517" s="4">
        <v>0</v>
      </c>
      <c r="F517" s="1" t="str">
        <f>_xlfn.XLOOKUP(A517,Orders!A:A,Orders!B:B,"not found")</f>
        <v>ERNSH</v>
      </c>
      <c r="G517" s="13">
        <f>_xlfn.XLOOKUP(OrderDetails[[#This Row],[OrderID]],Orders!A:A,Orders!C:C,"Not Found")</f>
        <v>35472</v>
      </c>
      <c r="H517" s="16">
        <f>(OrderDetails[[#This Row],[UnitPrice]]*OrderDetails[[#This Row],[Quantity]])*(1-OrderDetails[[#This Row],[Discount]])</f>
        <v>816</v>
      </c>
      <c r="I517" s="15" t="str">
        <f>_xlfn.XLOOKUP(OrderDetails[[#This Row],[ProductID]],Product!A:A,Product!G:G,"Not Found")</f>
        <v>Condiments</v>
      </c>
      <c r="J517" s="15" t="str">
        <f>LOOKUP(MONTH(G517),{1,4,7,10},{"Winter","Spring","Summer","Autumn"})</f>
        <v>Winter</v>
      </c>
      <c r="K517" s="15" t="str">
        <f>_xlfn.XLOOKUP(OrderDetails[[#This Row],[ProductID]],Product!A:A,Product!B:B,"Not Found")</f>
        <v>Louisiana Hot Spiced Okra</v>
      </c>
    </row>
    <row r="518" spans="1:11">
      <c r="A518" s="1">
        <v>10443</v>
      </c>
      <c r="B518" s="1">
        <v>11</v>
      </c>
      <c r="C518" s="1">
        <v>16.8</v>
      </c>
      <c r="D518" s="1">
        <v>6</v>
      </c>
      <c r="E518" s="3">
        <v>0.20000000298023224</v>
      </c>
      <c r="F518" s="1" t="str">
        <f>_xlfn.XLOOKUP(A518,Orders!A:A,Orders!B:B,"not found")</f>
        <v>REGGC</v>
      </c>
      <c r="G518" s="13">
        <f>_xlfn.XLOOKUP(OrderDetails[[#This Row],[OrderID]],Orders!A:A,Orders!C:C,"Not Found")</f>
        <v>35473</v>
      </c>
      <c r="H518" s="16">
        <f>(OrderDetails[[#This Row],[UnitPrice]]*OrderDetails[[#This Row],[Quantity]])*(1-OrderDetails[[#This Row],[Discount]])</f>
        <v>80.639999699592593</v>
      </c>
      <c r="I518" s="15" t="str">
        <f>_xlfn.XLOOKUP(OrderDetails[[#This Row],[ProductID]],Product!A:A,Product!G:G,"Not Found")</f>
        <v>Dairy Products</v>
      </c>
      <c r="J518" s="15" t="str">
        <f>LOOKUP(MONTH(G518),{1,4,7,10},{"Winter","Spring","Summer","Autumn"})</f>
        <v>Winter</v>
      </c>
      <c r="K518" s="15" t="str">
        <f>_xlfn.XLOOKUP(OrderDetails[[#This Row],[ProductID]],Product!A:A,Product!B:B,"Not Found")</f>
        <v>Queso Cabrales</v>
      </c>
    </row>
    <row r="519" spans="1:11">
      <c r="A519" s="2">
        <v>10443</v>
      </c>
      <c r="B519" s="2">
        <v>28</v>
      </c>
      <c r="C519" s="2">
        <v>36.4</v>
      </c>
      <c r="D519" s="2">
        <v>12</v>
      </c>
      <c r="E519" s="4">
        <v>0</v>
      </c>
      <c r="F519" s="1" t="str">
        <f>_xlfn.XLOOKUP(A519,Orders!A:A,Orders!B:B,"not found")</f>
        <v>REGGC</v>
      </c>
      <c r="G519" s="13">
        <f>_xlfn.XLOOKUP(OrderDetails[[#This Row],[OrderID]],Orders!A:A,Orders!C:C,"Not Found")</f>
        <v>35473</v>
      </c>
      <c r="H519" s="16">
        <f>(OrderDetails[[#This Row],[UnitPrice]]*OrderDetails[[#This Row],[Quantity]])*(1-OrderDetails[[#This Row],[Discount]])</f>
        <v>436.79999999999995</v>
      </c>
      <c r="I519" s="15" t="str">
        <f>_xlfn.XLOOKUP(OrderDetails[[#This Row],[ProductID]],Product!A:A,Product!G:G,"Not Found")</f>
        <v>Produce</v>
      </c>
      <c r="J519" s="15" t="str">
        <f>LOOKUP(MONTH(G519),{1,4,7,10},{"Winter","Spring","Summer","Autumn"})</f>
        <v>Winter</v>
      </c>
      <c r="K519" s="15" t="str">
        <f>_xlfn.XLOOKUP(OrderDetails[[#This Row],[ProductID]],Product!A:A,Product!B:B,"Not Found")</f>
        <v>Rössle Sauerkraut</v>
      </c>
    </row>
    <row r="520" spans="1:11">
      <c r="A520" s="1">
        <v>10444</v>
      </c>
      <c r="B520" s="1">
        <v>17</v>
      </c>
      <c r="C520" s="1">
        <v>31.2</v>
      </c>
      <c r="D520" s="1">
        <v>10</v>
      </c>
      <c r="E520" s="3">
        <v>0</v>
      </c>
      <c r="F520" s="1" t="str">
        <f>_xlfn.XLOOKUP(A520,Orders!A:A,Orders!B:B,"not found")</f>
        <v>BERGS</v>
      </c>
      <c r="G520" s="13">
        <f>_xlfn.XLOOKUP(OrderDetails[[#This Row],[OrderID]],Orders!A:A,Orders!C:C,"Not Found")</f>
        <v>35473</v>
      </c>
      <c r="H520" s="16">
        <f>(OrderDetails[[#This Row],[UnitPrice]]*OrderDetails[[#This Row],[Quantity]])*(1-OrderDetails[[#This Row],[Discount]])</f>
        <v>312</v>
      </c>
      <c r="I520" s="15" t="str">
        <f>_xlfn.XLOOKUP(OrderDetails[[#This Row],[ProductID]],Product!A:A,Product!G:G,"Not Found")</f>
        <v>Meat/Poultry</v>
      </c>
      <c r="J520" s="15" t="str">
        <f>LOOKUP(MONTH(G520),{1,4,7,10},{"Winter","Spring","Summer","Autumn"})</f>
        <v>Winter</v>
      </c>
      <c r="K520" s="15" t="str">
        <f>_xlfn.XLOOKUP(OrderDetails[[#This Row],[ProductID]],Product!A:A,Product!B:B,"Not Found")</f>
        <v>Alice Mutton</v>
      </c>
    </row>
    <row r="521" spans="1:11">
      <c r="A521" s="2">
        <v>10444</v>
      </c>
      <c r="B521" s="2">
        <v>26</v>
      </c>
      <c r="C521" s="2">
        <v>24.9</v>
      </c>
      <c r="D521" s="2">
        <v>15</v>
      </c>
      <c r="E521" s="4">
        <v>0</v>
      </c>
      <c r="F521" s="1" t="str">
        <f>_xlfn.XLOOKUP(A521,Orders!A:A,Orders!B:B,"not found")</f>
        <v>BERGS</v>
      </c>
      <c r="G521" s="13">
        <f>_xlfn.XLOOKUP(OrderDetails[[#This Row],[OrderID]],Orders!A:A,Orders!C:C,"Not Found")</f>
        <v>35473</v>
      </c>
      <c r="H521" s="16">
        <f>(OrderDetails[[#This Row],[UnitPrice]]*OrderDetails[[#This Row],[Quantity]])*(1-OrderDetails[[#This Row],[Discount]])</f>
        <v>373.5</v>
      </c>
      <c r="I521" s="15" t="str">
        <f>_xlfn.XLOOKUP(OrderDetails[[#This Row],[ProductID]],Product!A:A,Product!G:G,"Not Found")</f>
        <v>Confections</v>
      </c>
      <c r="J521" s="15" t="str">
        <f>LOOKUP(MONTH(G521),{1,4,7,10},{"Winter","Spring","Summer","Autumn"})</f>
        <v>Winter</v>
      </c>
      <c r="K521" s="15" t="str">
        <f>_xlfn.XLOOKUP(OrderDetails[[#This Row],[ProductID]],Product!A:A,Product!B:B,"Not Found")</f>
        <v>Gumbär Gummibärchen</v>
      </c>
    </row>
    <row r="522" spans="1:11">
      <c r="A522" s="1">
        <v>10444</v>
      </c>
      <c r="B522" s="1">
        <v>35</v>
      </c>
      <c r="C522" s="1">
        <v>14.4</v>
      </c>
      <c r="D522" s="1">
        <v>8</v>
      </c>
      <c r="E522" s="3">
        <v>0</v>
      </c>
      <c r="F522" s="1" t="str">
        <f>_xlfn.XLOOKUP(A522,Orders!A:A,Orders!B:B,"not found")</f>
        <v>BERGS</v>
      </c>
      <c r="G522" s="13">
        <f>_xlfn.XLOOKUP(OrderDetails[[#This Row],[OrderID]],Orders!A:A,Orders!C:C,"Not Found")</f>
        <v>35473</v>
      </c>
      <c r="H522" s="16">
        <f>(OrderDetails[[#This Row],[UnitPrice]]*OrderDetails[[#This Row],[Quantity]])*(1-OrderDetails[[#This Row],[Discount]])</f>
        <v>115.2</v>
      </c>
      <c r="I522" s="15" t="str">
        <f>_xlfn.XLOOKUP(OrderDetails[[#This Row],[ProductID]],Product!A:A,Product!G:G,"Not Found")</f>
        <v>Beverages</v>
      </c>
      <c r="J522" s="15" t="str">
        <f>LOOKUP(MONTH(G522),{1,4,7,10},{"Winter","Spring","Summer","Autumn"})</f>
        <v>Winter</v>
      </c>
      <c r="K522" s="15" t="str">
        <f>_xlfn.XLOOKUP(OrderDetails[[#This Row],[ProductID]],Product!A:A,Product!B:B,"Not Found")</f>
        <v>Steeleye Stout</v>
      </c>
    </row>
    <row r="523" spans="1:11">
      <c r="A523" s="2">
        <v>10444</v>
      </c>
      <c r="B523" s="2">
        <v>41</v>
      </c>
      <c r="C523" s="2">
        <v>7.7</v>
      </c>
      <c r="D523" s="2">
        <v>30</v>
      </c>
      <c r="E523" s="4">
        <v>0</v>
      </c>
      <c r="F523" s="1" t="str">
        <f>_xlfn.XLOOKUP(A523,Orders!A:A,Orders!B:B,"not found")</f>
        <v>BERGS</v>
      </c>
      <c r="G523" s="13">
        <f>_xlfn.XLOOKUP(OrderDetails[[#This Row],[OrderID]],Orders!A:A,Orders!C:C,"Not Found")</f>
        <v>35473</v>
      </c>
      <c r="H523" s="16">
        <f>(OrderDetails[[#This Row],[UnitPrice]]*OrderDetails[[#This Row],[Quantity]])*(1-OrderDetails[[#This Row],[Discount]])</f>
        <v>231</v>
      </c>
      <c r="I523" s="15" t="str">
        <f>_xlfn.XLOOKUP(OrderDetails[[#This Row],[ProductID]],Product!A:A,Product!G:G,"Not Found")</f>
        <v>Seafood</v>
      </c>
      <c r="J523" s="15" t="str">
        <f>LOOKUP(MONTH(G523),{1,4,7,10},{"Winter","Spring","Summer","Autumn"})</f>
        <v>Winter</v>
      </c>
      <c r="K523" s="15" t="str">
        <f>_xlfn.XLOOKUP(OrderDetails[[#This Row],[ProductID]],Product!A:A,Product!B:B,"Not Found")</f>
        <v>Jack's New England Clam Chowder</v>
      </c>
    </row>
    <row r="524" spans="1:11">
      <c r="A524" s="1">
        <v>10445</v>
      </c>
      <c r="B524" s="1">
        <v>39</v>
      </c>
      <c r="C524" s="1">
        <v>14.4</v>
      </c>
      <c r="D524" s="1">
        <v>6</v>
      </c>
      <c r="E524" s="3">
        <v>0</v>
      </c>
      <c r="F524" s="1" t="str">
        <f>_xlfn.XLOOKUP(A524,Orders!A:A,Orders!B:B,"not found")</f>
        <v>BERGS</v>
      </c>
      <c r="G524" s="13">
        <f>_xlfn.XLOOKUP(OrderDetails[[#This Row],[OrderID]],Orders!A:A,Orders!C:C,"Not Found")</f>
        <v>35474</v>
      </c>
      <c r="H524" s="16">
        <f>(OrderDetails[[#This Row],[UnitPrice]]*OrderDetails[[#This Row],[Quantity]])*(1-OrderDetails[[#This Row],[Discount]])</f>
        <v>86.4</v>
      </c>
      <c r="I524" s="15" t="str">
        <f>_xlfn.XLOOKUP(OrderDetails[[#This Row],[ProductID]],Product!A:A,Product!G:G,"Not Found")</f>
        <v>Beverages</v>
      </c>
      <c r="J524" s="15" t="str">
        <f>LOOKUP(MONTH(G524),{1,4,7,10},{"Winter","Spring","Summer","Autumn"})</f>
        <v>Winter</v>
      </c>
      <c r="K524" s="15" t="str">
        <f>_xlfn.XLOOKUP(OrderDetails[[#This Row],[ProductID]],Product!A:A,Product!B:B,"Not Found")</f>
        <v>Chartreuse verte</v>
      </c>
    </row>
    <row r="525" spans="1:11">
      <c r="A525" s="2">
        <v>10445</v>
      </c>
      <c r="B525" s="2">
        <v>54</v>
      </c>
      <c r="C525" s="2">
        <v>5.9</v>
      </c>
      <c r="D525" s="2">
        <v>15</v>
      </c>
      <c r="E525" s="4">
        <v>0</v>
      </c>
      <c r="F525" s="1" t="str">
        <f>_xlfn.XLOOKUP(A525,Orders!A:A,Orders!B:B,"not found")</f>
        <v>BERGS</v>
      </c>
      <c r="G525" s="13">
        <f>_xlfn.XLOOKUP(OrderDetails[[#This Row],[OrderID]],Orders!A:A,Orders!C:C,"Not Found")</f>
        <v>35474</v>
      </c>
      <c r="H525" s="16">
        <f>(OrderDetails[[#This Row],[UnitPrice]]*OrderDetails[[#This Row],[Quantity]])*(1-OrderDetails[[#This Row],[Discount]])</f>
        <v>88.5</v>
      </c>
      <c r="I525" s="15" t="str">
        <f>_xlfn.XLOOKUP(OrderDetails[[#This Row],[ProductID]],Product!A:A,Product!G:G,"Not Found")</f>
        <v>Meat/Poultry</v>
      </c>
      <c r="J525" s="15" t="str">
        <f>LOOKUP(MONTH(G525),{1,4,7,10},{"Winter","Spring","Summer","Autumn"})</f>
        <v>Winter</v>
      </c>
      <c r="K525" s="15" t="str">
        <f>_xlfn.XLOOKUP(OrderDetails[[#This Row],[ProductID]],Product!A:A,Product!B:B,"Not Found")</f>
        <v>Tourtière</v>
      </c>
    </row>
    <row r="526" spans="1:11">
      <c r="A526" s="1">
        <v>10446</v>
      </c>
      <c r="B526" s="1">
        <v>19</v>
      </c>
      <c r="C526" s="1">
        <v>7.3</v>
      </c>
      <c r="D526" s="1">
        <v>12</v>
      </c>
      <c r="E526" s="3">
        <v>0.10000000149011612</v>
      </c>
      <c r="F526" s="1" t="str">
        <f>_xlfn.XLOOKUP(A526,Orders!A:A,Orders!B:B,"not found")</f>
        <v>TOMSP</v>
      </c>
      <c r="G526" s="13">
        <f>_xlfn.XLOOKUP(OrderDetails[[#This Row],[OrderID]],Orders!A:A,Orders!C:C,"Not Found")</f>
        <v>35475</v>
      </c>
      <c r="H526" s="16">
        <f>(OrderDetails[[#This Row],[UnitPrice]]*OrderDetails[[#This Row],[Quantity]])*(1-OrderDetails[[#This Row],[Discount]])</f>
        <v>78.839999869465828</v>
      </c>
      <c r="I526" s="15" t="str">
        <f>_xlfn.XLOOKUP(OrderDetails[[#This Row],[ProductID]],Product!A:A,Product!G:G,"Not Found")</f>
        <v>Confections</v>
      </c>
      <c r="J526" s="15" t="str">
        <f>LOOKUP(MONTH(G526),{1,4,7,10},{"Winter","Spring","Summer","Autumn"})</f>
        <v>Winter</v>
      </c>
      <c r="K526" s="15" t="str">
        <f>_xlfn.XLOOKUP(OrderDetails[[#This Row],[ProductID]],Product!A:A,Product!B:B,"Not Found")</f>
        <v>Teatime Chocolate Biscuits</v>
      </c>
    </row>
    <row r="527" spans="1:11">
      <c r="A527" s="2">
        <v>10446</v>
      </c>
      <c r="B527" s="2">
        <v>24</v>
      </c>
      <c r="C527" s="2">
        <v>3.6</v>
      </c>
      <c r="D527" s="2">
        <v>20</v>
      </c>
      <c r="E527" s="4">
        <v>0.10000000149011612</v>
      </c>
      <c r="F527" s="1" t="str">
        <f>_xlfn.XLOOKUP(A527,Orders!A:A,Orders!B:B,"not found")</f>
        <v>TOMSP</v>
      </c>
      <c r="G527" s="13">
        <f>_xlfn.XLOOKUP(OrderDetails[[#This Row],[OrderID]],Orders!A:A,Orders!C:C,"Not Found")</f>
        <v>35475</v>
      </c>
      <c r="H527" s="16">
        <f>(OrderDetails[[#This Row],[UnitPrice]]*OrderDetails[[#This Row],[Quantity]])*(1-OrderDetails[[#This Row],[Discount]])</f>
        <v>64.799999892711639</v>
      </c>
      <c r="I527" s="15" t="str">
        <f>_xlfn.XLOOKUP(OrderDetails[[#This Row],[ProductID]],Product!A:A,Product!G:G,"Not Found")</f>
        <v>Beverages</v>
      </c>
      <c r="J527" s="15" t="str">
        <f>LOOKUP(MONTH(G527),{1,4,7,10},{"Winter","Spring","Summer","Autumn"})</f>
        <v>Winter</v>
      </c>
      <c r="K527" s="15" t="str">
        <f>_xlfn.XLOOKUP(OrderDetails[[#This Row],[ProductID]],Product!A:A,Product!B:B,"Not Found")</f>
        <v>Guaraná Fantástica</v>
      </c>
    </row>
    <row r="528" spans="1:11">
      <c r="A528" s="1">
        <v>10446</v>
      </c>
      <c r="B528" s="1">
        <v>31</v>
      </c>
      <c r="C528" s="1">
        <v>10</v>
      </c>
      <c r="D528" s="1">
        <v>3</v>
      </c>
      <c r="E528" s="3">
        <v>0.10000000149011612</v>
      </c>
      <c r="F528" s="1" t="str">
        <f>_xlfn.XLOOKUP(A528,Orders!A:A,Orders!B:B,"not found")</f>
        <v>TOMSP</v>
      </c>
      <c r="G528" s="13">
        <f>_xlfn.XLOOKUP(OrderDetails[[#This Row],[OrderID]],Orders!A:A,Orders!C:C,"Not Found")</f>
        <v>35475</v>
      </c>
      <c r="H528" s="16">
        <f>(OrderDetails[[#This Row],[UnitPrice]]*OrderDetails[[#This Row],[Quantity]])*(1-OrderDetails[[#This Row],[Discount]])</f>
        <v>26.999999955296516</v>
      </c>
      <c r="I528" s="15" t="str">
        <f>_xlfn.XLOOKUP(OrderDetails[[#This Row],[ProductID]],Product!A:A,Product!G:G,"Not Found")</f>
        <v>Dairy Products</v>
      </c>
      <c r="J528" s="15" t="str">
        <f>LOOKUP(MONTH(G528),{1,4,7,10},{"Winter","Spring","Summer","Autumn"})</f>
        <v>Winter</v>
      </c>
      <c r="K528" s="15" t="str">
        <f>_xlfn.XLOOKUP(OrderDetails[[#This Row],[ProductID]],Product!A:A,Product!B:B,"Not Found")</f>
        <v>Gorgonzola Telino</v>
      </c>
    </row>
    <row r="529" spans="1:11">
      <c r="A529" s="2">
        <v>10446</v>
      </c>
      <c r="B529" s="2">
        <v>52</v>
      </c>
      <c r="C529" s="2">
        <v>5.6</v>
      </c>
      <c r="D529" s="2">
        <v>15</v>
      </c>
      <c r="E529" s="4">
        <v>0.10000000149011612</v>
      </c>
      <c r="F529" s="1" t="str">
        <f>_xlfn.XLOOKUP(A529,Orders!A:A,Orders!B:B,"not found")</f>
        <v>TOMSP</v>
      </c>
      <c r="G529" s="13">
        <f>_xlfn.XLOOKUP(OrderDetails[[#This Row],[OrderID]],Orders!A:A,Orders!C:C,"Not Found")</f>
        <v>35475</v>
      </c>
      <c r="H529" s="16">
        <f>(OrderDetails[[#This Row],[UnitPrice]]*OrderDetails[[#This Row],[Quantity]])*(1-OrderDetails[[#This Row],[Discount]])</f>
        <v>75.599999874830246</v>
      </c>
      <c r="I529" s="15" t="str">
        <f>_xlfn.XLOOKUP(OrderDetails[[#This Row],[ProductID]],Product!A:A,Product!G:G,"Not Found")</f>
        <v>Grains/Cereals</v>
      </c>
      <c r="J529" s="15" t="str">
        <f>LOOKUP(MONTH(G529),{1,4,7,10},{"Winter","Spring","Summer","Autumn"})</f>
        <v>Winter</v>
      </c>
      <c r="K529" s="15" t="str">
        <f>_xlfn.XLOOKUP(OrderDetails[[#This Row],[ProductID]],Product!A:A,Product!B:B,"Not Found")</f>
        <v>Filo Mix</v>
      </c>
    </row>
    <row r="530" spans="1:11">
      <c r="A530" s="1">
        <v>10447</v>
      </c>
      <c r="B530" s="1">
        <v>19</v>
      </c>
      <c r="C530" s="1">
        <v>7.3</v>
      </c>
      <c r="D530" s="1">
        <v>40</v>
      </c>
      <c r="E530" s="3">
        <v>0</v>
      </c>
      <c r="F530" s="1" t="str">
        <f>_xlfn.XLOOKUP(A530,Orders!A:A,Orders!B:B,"not found")</f>
        <v>RICAR</v>
      </c>
      <c r="G530" s="13">
        <f>_xlfn.XLOOKUP(OrderDetails[[#This Row],[OrderID]],Orders!A:A,Orders!C:C,"Not Found")</f>
        <v>35475</v>
      </c>
      <c r="H530" s="16">
        <f>(OrderDetails[[#This Row],[UnitPrice]]*OrderDetails[[#This Row],[Quantity]])*(1-OrderDetails[[#This Row],[Discount]])</f>
        <v>292</v>
      </c>
      <c r="I530" s="15" t="str">
        <f>_xlfn.XLOOKUP(OrderDetails[[#This Row],[ProductID]],Product!A:A,Product!G:G,"Not Found")</f>
        <v>Confections</v>
      </c>
      <c r="J530" s="15" t="str">
        <f>LOOKUP(MONTH(G530),{1,4,7,10},{"Winter","Spring","Summer","Autumn"})</f>
        <v>Winter</v>
      </c>
      <c r="K530" s="15" t="str">
        <f>_xlfn.XLOOKUP(OrderDetails[[#This Row],[ProductID]],Product!A:A,Product!B:B,"Not Found")</f>
        <v>Teatime Chocolate Biscuits</v>
      </c>
    </row>
    <row r="531" spans="1:11">
      <c r="A531" s="2">
        <v>10447</v>
      </c>
      <c r="B531" s="2">
        <v>65</v>
      </c>
      <c r="C531" s="2">
        <v>16.8</v>
      </c>
      <c r="D531" s="2">
        <v>35</v>
      </c>
      <c r="E531" s="4">
        <v>0</v>
      </c>
      <c r="F531" s="1" t="str">
        <f>_xlfn.XLOOKUP(A531,Orders!A:A,Orders!B:B,"not found")</f>
        <v>RICAR</v>
      </c>
      <c r="G531" s="13">
        <f>_xlfn.XLOOKUP(OrderDetails[[#This Row],[OrderID]],Orders!A:A,Orders!C:C,"Not Found")</f>
        <v>35475</v>
      </c>
      <c r="H531" s="16">
        <f>(OrderDetails[[#This Row],[UnitPrice]]*OrderDetails[[#This Row],[Quantity]])*(1-OrderDetails[[#This Row],[Discount]])</f>
        <v>588</v>
      </c>
      <c r="I531" s="15" t="str">
        <f>_xlfn.XLOOKUP(OrderDetails[[#This Row],[ProductID]],Product!A:A,Product!G:G,"Not Found")</f>
        <v>Condiments</v>
      </c>
      <c r="J531" s="15" t="str">
        <f>LOOKUP(MONTH(G531),{1,4,7,10},{"Winter","Spring","Summer","Autumn"})</f>
        <v>Winter</v>
      </c>
      <c r="K531" s="15" t="str">
        <f>_xlfn.XLOOKUP(OrderDetails[[#This Row],[ProductID]],Product!A:A,Product!B:B,"Not Found")</f>
        <v>Louisiana Fiery Hot Pepper Sauce</v>
      </c>
    </row>
    <row r="532" spans="1:11">
      <c r="A532" s="1">
        <v>10447</v>
      </c>
      <c r="B532" s="1">
        <v>71</v>
      </c>
      <c r="C532" s="1">
        <v>17.2</v>
      </c>
      <c r="D532" s="1">
        <v>2</v>
      </c>
      <c r="E532" s="3">
        <v>0</v>
      </c>
      <c r="F532" s="1" t="str">
        <f>_xlfn.XLOOKUP(A532,Orders!A:A,Orders!B:B,"not found")</f>
        <v>RICAR</v>
      </c>
      <c r="G532" s="13">
        <f>_xlfn.XLOOKUP(OrderDetails[[#This Row],[OrderID]],Orders!A:A,Orders!C:C,"Not Found")</f>
        <v>35475</v>
      </c>
      <c r="H532" s="16">
        <f>(OrderDetails[[#This Row],[UnitPrice]]*OrderDetails[[#This Row],[Quantity]])*(1-OrderDetails[[#This Row],[Discount]])</f>
        <v>34.4</v>
      </c>
      <c r="I532" s="15" t="str">
        <f>_xlfn.XLOOKUP(OrderDetails[[#This Row],[ProductID]],Product!A:A,Product!G:G,"Not Found")</f>
        <v>Dairy Products</v>
      </c>
      <c r="J532" s="15" t="str">
        <f>LOOKUP(MONTH(G532),{1,4,7,10},{"Winter","Spring","Summer","Autumn"})</f>
        <v>Winter</v>
      </c>
      <c r="K532" s="15" t="str">
        <f>_xlfn.XLOOKUP(OrderDetails[[#This Row],[ProductID]],Product!A:A,Product!B:B,"Not Found")</f>
        <v>Flotemysost</v>
      </c>
    </row>
    <row r="533" spans="1:11">
      <c r="A533" s="2">
        <v>10448</v>
      </c>
      <c r="B533" s="2">
        <v>26</v>
      </c>
      <c r="C533" s="2">
        <v>24.9</v>
      </c>
      <c r="D533" s="2">
        <v>6</v>
      </c>
      <c r="E533" s="4">
        <v>0</v>
      </c>
      <c r="F533" s="1" t="str">
        <f>_xlfn.XLOOKUP(A533,Orders!A:A,Orders!B:B,"not found")</f>
        <v>RANCH</v>
      </c>
      <c r="G533" s="13">
        <f>_xlfn.XLOOKUP(OrderDetails[[#This Row],[OrderID]],Orders!A:A,Orders!C:C,"Not Found")</f>
        <v>35478</v>
      </c>
      <c r="H533" s="16">
        <f>(OrderDetails[[#This Row],[UnitPrice]]*OrderDetails[[#This Row],[Quantity]])*(1-OrderDetails[[#This Row],[Discount]])</f>
        <v>149.39999999999998</v>
      </c>
      <c r="I533" s="15" t="str">
        <f>_xlfn.XLOOKUP(OrderDetails[[#This Row],[ProductID]],Product!A:A,Product!G:G,"Not Found")</f>
        <v>Confections</v>
      </c>
      <c r="J533" s="15" t="str">
        <f>LOOKUP(MONTH(G533),{1,4,7,10},{"Winter","Spring","Summer","Autumn"})</f>
        <v>Winter</v>
      </c>
      <c r="K533" s="15" t="str">
        <f>_xlfn.XLOOKUP(OrderDetails[[#This Row],[ProductID]],Product!A:A,Product!B:B,"Not Found")</f>
        <v>Gumbär Gummibärchen</v>
      </c>
    </row>
    <row r="534" spans="1:11">
      <c r="A534" s="1">
        <v>10448</v>
      </c>
      <c r="B534" s="1">
        <v>40</v>
      </c>
      <c r="C534" s="1">
        <v>14.7</v>
      </c>
      <c r="D534" s="1">
        <v>20</v>
      </c>
      <c r="E534" s="3">
        <v>0</v>
      </c>
      <c r="F534" s="1" t="str">
        <f>_xlfn.XLOOKUP(A534,Orders!A:A,Orders!B:B,"not found")</f>
        <v>RANCH</v>
      </c>
      <c r="G534" s="13">
        <f>_xlfn.XLOOKUP(OrderDetails[[#This Row],[OrderID]],Orders!A:A,Orders!C:C,"Not Found")</f>
        <v>35478</v>
      </c>
      <c r="H534" s="16">
        <f>(OrderDetails[[#This Row],[UnitPrice]]*OrderDetails[[#This Row],[Quantity]])*(1-OrderDetails[[#This Row],[Discount]])</f>
        <v>294</v>
      </c>
      <c r="I534" s="15" t="str">
        <f>_xlfn.XLOOKUP(OrderDetails[[#This Row],[ProductID]],Product!A:A,Product!G:G,"Not Found")</f>
        <v>Seafood</v>
      </c>
      <c r="J534" s="15" t="str">
        <f>LOOKUP(MONTH(G534),{1,4,7,10},{"Winter","Spring","Summer","Autumn"})</f>
        <v>Winter</v>
      </c>
      <c r="K534" s="15" t="str">
        <f>_xlfn.XLOOKUP(OrderDetails[[#This Row],[ProductID]],Product!A:A,Product!B:B,"Not Found")</f>
        <v>Boston Crab Meat</v>
      </c>
    </row>
    <row r="535" spans="1:11">
      <c r="A535" s="2">
        <v>10449</v>
      </c>
      <c r="B535" s="2">
        <v>10</v>
      </c>
      <c r="C535" s="2">
        <v>24.8</v>
      </c>
      <c r="D535" s="2">
        <v>14</v>
      </c>
      <c r="E535" s="4">
        <v>0</v>
      </c>
      <c r="F535" s="1" t="str">
        <f>_xlfn.XLOOKUP(A535,Orders!A:A,Orders!B:B,"not found")</f>
        <v>BLONP</v>
      </c>
      <c r="G535" s="13">
        <f>_xlfn.XLOOKUP(OrderDetails[[#This Row],[OrderID]],Orders!A:A,Orders!C:C,"Not Found")</f>
        <v>35479</v>
      </c>
      <c r="H535" s="16">
        <f>(OrderDetails[[#This Row],[UnitPrice]]*OrderDetails[[#This Row],[Quantity]])*(1-OrderDetails[[#This Row],[Discount]])</f>
        <v>347.2</v>
      </c>
      <c r="I535" s="15" t="str">
        <f>_xlfn.XLOOKUP(OrderDetails[[#This Row],[ProductID]],Product!A:A,Product!G:G,"Not Found")</f>
        <v>Seafood</v>
      </c>
      <c r="J535" s="15" t="str">
        <f>LOOKUP(MONTH(G535),{1,4,7,10},{"Winter","Spring","Summer","Autumn"})</f>
        <v>Winter</v>
      </c>
      <c r="K535" s="15" t="str">
        <f>_xlfn.XLOOKUP(OrderDetails[[#This Row],[ProductID]],Product!A:A,Product!B:B,"Not Found")</f>
        <v>Ikura</v>
      </c>
    </row>
    <row r="536" spans="1:11">
      <c r="A536" s="1">
        <v>10449</v>
      </c>
      <c r="B536" s="1">
        <v>52</v>
      </c>
      <c r="C536" s="1">
        <v>5.6</v>
      </c>
      <c r="D536" s="1">
        <v>20</v>
      </c>
      <c r="E536" s="3">
        <v>0</v>
      </c>
      <c r="F536" s="1" t="str">
        <f>_xlfn.XLOOKUP(A536,Orders!A:A,Orders!B:B,"not found")</f>
        <v>BLONP</v>
      </c>
      <c r="G536" s="13">
        <f>_xlfn.XLOOKUP(OrderDetails[[#This Row],[OrderID]],Orders!A:A,Orders!C:C,"Not Found")</f>
        <v>35479</v>
      </c>
      <c r="H536" s="16">
        <f>(OrderDetails[[#This Row],[UnitPrice]]*OrderDetails[[#This Row],[Quantity]])*(1-OrderDetails[[#This Row],[Discount]])</f>
        <v>112</v>
      </c>
      <c r="I536" s="15" t="str">
        <f>_xlfn.XLOOKUP(OrderDetails[[#This Row],[ProductID]],Product!A:A,Product!G:G,"Not Found")</f>
        <v>Grains/Cereals</v>
      </c>
      <c r="J536" s="15" t="str">
        <f>LOOKUP(MONTH(G536),{1,4,7,10},{"Winter","Spring","Summer","Autumn"})</f>
        <v>Winter</v>
      </c>
      <c r="K536" s="15" t="str">
        <f>_xlfn.XLOOKUP(OrderDetails[[#This Row],[ProductID]],Product!A:A,Product!B:B,"Not Found")</f>
        <v>Filo Mix</v>
      </c>
    </row>
    <row r="537" spans="1:11">
      <c r="A537" s="2">
        <v>10449</v>
      </c>
      <c r="B537" s="2">
        <v>62</v>
      </c>
      <c r="C537" s="2">
        <v>39.4</v>
      </c>
      <c r="D537" s="2">
        <v>35</v>
      </c>
      <c r="E537" s="4">
        <v>0</v>
      </c>
      <c r="F537" s="1" t="str">
        <f>_xlfn.XLOOKUP(A537,Orders!A:A,Orders!B:B,"not found")</f>
        <v>BLONP</v>
      </c>
      <c r="G537" s="13">
        <f>_xlfn.XLOOKUP(OrderDetails[[#This Row],[OrderID]],Orders!A:A,Orders!C:C,"Not Found")</f>
        <v>35479</v>
      </c>
      <c r="H537" s="16">
        <f>(OrderDetails[[#This Row],[UnitPrice]]*OrderDetails[[#This Row],[Quantity]])*(1-OrderDetails[[#This Row],[Discount]])</f>
        <v>1379</v>
      </c>
      <c r="I537" s="15" t="str">
        <f>_xlfn.XLOOKUP(OrderDetails[[#This Row],[ProductID]],Product!A:A,Product!G:G,"Not Found")</f>
        <v>Confections</v>
      </c>
      <c r="J537" s="15" t="str">
        <f>LOOKUP(MONTH(G537),{1,4,7,10},{"Winter","Spring","Summer","Autumn"})</f>
        <v>Winter</v>
      </c>
      <c r="K537" s="15" t="str">
        <f>_xlfn.XLOOKUP(OrderDetails[[#This Row],[ProductID]],Product!A:A,Product!B:B,"Not Found")</f>
        <v>Tarte au sucre</v>
      </c>
    </row>
    <row r="538" spans="1:11">
      <c r="A538" s="1">
        <v>10450</v>
      </c>
      <c r="B538" s="1">
        <v>10</v>
      </c>
      <c r="C538" s="1">
        <v>24.8</v>
      </c>
      <c r="D538" s="1">
        <v>20</v>
      </c>
      <c r="E538" s="3">
        <v>0.20000000298023224</v>
      </c>
      <c r="F538" s="1" t="str">
        <f>_xlfn.XLOOKUP(A538,Orders!A:A,Orders!B:B,"not found")</f>
        <v>VICTE</v>
      </c>
      <c r="G538" s="13">
        <f>_xlfn.XLOOKUP(OrderDetails[[#This Row],[OrderID]],Orders!A:A,Orders!C:C,"Not Found")</f>
        <v>35480</v>
      </c>
      <c r="H538" s="16">
        <f>(OrderDetails[[#This Row],[UnitPrice]]*OrderDetails[[#This Row],[Quantity]])*(1-OrderDetails[[#This Row],[Discount]])</f>
        <v>396.79999852180481</v>
      </c>
      <c r="I538" s="15" t="str">
        <f>_xlfn.XLOOKUP(OrderDetails[[#This Row],[ProductID]],Product!A:A,Product!G:G,"Not Found")</f>
        <v>Seafood</v>
      </c>
      <c r="J538" s="15" t="str">
        <f>LOOKUP(MONTH(G538),{1,4,7,10},{"Winter","Spring","Summer","Autumn"})</f>
        <v>Winter</v>
      </c>
      <c r="K538" s="15" t="str">
        <f>_xlfn.XLOOKUP(OrderDetails[[#This Row],[ProductID]],Product!A:A,Product!B:B,"Not Found")</f>
        <v>Ikura</v>
      </c>
    </row>
    <row r="539" spans="1:11">
      <c r="A539" s="2">
        <v>10450</v>
      </c>
      <c r="B539" s="2">
        <v>54</v>
      </c>
      <c r="C539" s="2">
        <v>5.9</v>
      </c>
      <c r="D539" s="2">
        <v>6</v>
      </c>
      <c r="E539" s="4">
        <v>0.20000000298023224</v>
      </c>
      <c r="F539" s="1" t="str">
        <f>_xlfn.XLOOKUP(A539,Orders!A:A,Orders!B:B,"not found")</f>
        <v>VICTE</v>
      </c>
      <c r="G539" s="13">
        <f>_xlfn.XLOOKUP(OrderDetails[[#This Row],[OrderID]],Orders!A:A,Orders!C:C,"Not Found")</f>
        <v>35480</v>
      </c>
      <c r="H539" s="16">
        <f>(OrderDetails[[#This Row],[UnitPrice]]*OrderDetails[[#This Row],[Quantity]])*(1-OrderDetails[[#This Row],[Discount]])</f>
        <v>28.319999894499784</v>
      </c>
      <c r="I539" s="15" t="str">
        <f>_xlfn.XLOOKUP(OrderDetails[[#This Row],[ProductID]],Product!A:A,Product!G:G,"Not Found")</f>
        <v>Meat/Poultry</v>
      </c>
      <c r="J539" s="15" t="str">
        <f>LOOKUP(MONTH(G539),{1,4,7,10},{"Winter","Spring","Summer","Autumn"})</f>
        <v>Winter</v>
      </c>
      <c r="K539" s="15" t="str">
        <f>_xlfn.XLOOKUP(OrderDetails[[#This Row],[ProductID]],Product!A:A,Product!B:B,"Not Found")</f>
        <v>Tourtière</v>
      </c>
    </row>
    <row r="540" spans="1:11">
      <c r="A540" s="1">
        <v>10451</v>
      </c>
      <c r="B540" s="1">
        <v>55</v>
      </c>
      <c r="C540" s="1">
        <v>19.2</v>
      </c>
      <c r="D540" s="1">
        <v>120</v>
      </c>
      <c r="E540" s="3">
        <v>0.10000000149011612</v>
      </c>
      <c r="F540" s="1" t="str">
        <f>_xlfn.XLOOKUP(A540,Orders!A:A,Orders!B:B,"not found")</f>
        <v>QUICK</v>
      </c>
      <c r="G540" s="13">
        <f>_xlfn.XLOOKUP(OrderDetails[[#This Row],[OrderID]],Orders!A:A,Orders!C:C,"Not Found")</f>
        <v>35480</v>
      </c>
      <c r="H540" s="16">
        <f>(OrderDetails[[#This Row],[UnitPrice]]*OrderDetails[[#This Row],[Quantity]])*(1-OrderDetails[[#This Row],[Discount]])</f>
        <v>2073.5999965667725</v>
      </c>
      <c r="I540" s="15" t="str">
        <f>_xlfn.XLOOKUP(OrderDetails[[#This Row],[ProductID]],Product!A:A,Product!G:G,"Not Found")</f>
        <v>Meat/Poultry</v>
      </c>
      <c r="J540" s="15" t="str">
        <f>LOOKUP(MONTH(G540),{1,4,7,10},{"Winter","Spring","Summer","Autumn"})</f>
        <v>Winter</v>
      </c>
      <c r="K540" s="15" t="str">
        <f>_xlfn.XLOOKUP(OrderDetails[[#This Row],[ProductID]],Product!A:A,Product!B:B,"Not Found")</f>
        <v>Pâté chinois</v>
      </c>
    </row>
    <row r="541" spans="1:11">
      <c r="A541" s="2">
        <v>10451</v>
      </c>
      <c r="B541" s="2">
        <v>64</v>
      </c>
      <c r="C541" s="2">
        <v>26.6</v>
      </c>
      <c r="D541" s="2">
        <v>35</v>
      </c>
      <c r="E541" s="4">
        <v>0.10000000149011612</v>
      </c>
      <c r="F541" s="1" t="str">
        <f>_xlfn.XLOOKUP(A541,Orders!A:A,Orders!B:B,"not found")</f>
        <v>QUICK</v>
      </c>
      <c r="G541" s="13">
        <f>_xlfn.XLOOKUP(OrderDetails[[#This Row],[OrderID]],Orders!A:A,Orders!C:C,"Not Found")</f>
        <v>35480</v>
      </c>
      <c r="H541" s="16">
        <f>(OrderDetails[[#This Row],[UnitPrice]]*OrderDetails[[#This Row],[Quantity]])*(1-OrderDetails[[#This Row],[Discount]])</f>
        <v>837.89999861270189</v>
      </c>
      <c r="I541" s="15" t="str">
        <f>_xlfn.XLOOKUP(OrderDetails[[#This Row],[ProductID]],Product!A:A,Product!G:G,"Not Found")</f>
        <v>Grains/Cereals</v>
      </c>
      <c r="J541" s="15" t="str">
        <f>LOOKUP(MONTH(G541),{1,4,7,10},{"Winter","Spring","Summer","Autumn"})</f>
        <v>Winter</v>
      </c>
      <c r="K541" s="15" t="str">
        <f>_xlfn.XLOOKUP(OrderDetails[[#This Row],[ProductID]],Product!A:A,Product!B:B,"Not Found")</f>
        <v>Wimmers gute Semmelknödel</v>
      </c>
    </row>
    <row r="542" spans="1:11">
      <c r="A542" s="1">
        <v>10451</v>
      </c>
      <c r="B542" s="1">
        <v>65</v>
      </c>
      <c r="C542" s="1">
        <v>16.8</v>
      </c>
      <c r="D542" s="1">
        <v>28</v>
      </c>
      <c r="E542" s="3">
        <v>0.10000000149011612</v>
      </c>
      <c r="F542" s="1" t="str">
        <f>_xlfn.XLOOKUP(A542,Orders!A:A,Orders!B:B,"not found")</f>
        <v>QUICK</v>
      </c>
      <c r="G542" s="13">
        <f>_xlfn.XLOOKUP(OrderDetails[[#This Row],[OrderID]],Orders!A:A,Orders!C:C,"Not Found")</f>
        <v>35480</v>
      </c>
      <c r="H542" s="16">
        <f>(OrderDetails[[#This Row],[UnitPrice]]*OrderDetails[[#This Row],[Quantity]])*(1-OrderDetails[[#This Row],[Discount]])</f>
        <v>423.35999929904943</v>
      </c>
      <c r="I542" s="15" t="str">
        <f>_xlfn.XLOOKUP(OrderDetails[[#This Row],[ProductID]],Product!A:A,Product!G:G,"Not Found")</f>
        <v>Condiments</v>
      </c>
      <c r="J542" s="15" t="str">
        <f>LOOKUP(MONTH(G542),{1,4,7,10},{"Winter","Spring","Summer","Autumn"})</f>
        <v>Winter</v>
      </c>
      <c r="K542" s="15" t="str">
        <f>_xlfn.XLOOKUP(OrderDetails[[#This Row],[ProductID]],Product!A:A,Product!B:B,"Not Found")</f>
        <v>Louisiana Fiery Hot Pepper Sauce</v>
      </c>
    </row>
    <row r="543" spans="1:11">
      <c r="A543" s="2">
        <v>10451</v>
      </c>
      <c r="B543" s="2">
        <v>77</v>
      </c>
      <c r="C543" s="2">
        <v>10.4</v>
      </c>
      <c r="D543" s="2">
        <v>55</v>
      </c>
      <c r="E543" s="4">
        <v>0.10000000149011612</v>
      </c>
      <c r="F543" s="1" t="str">
        <f>_xlfn.XLOOKUP(A543,Orders!A:A,Orders!B:B,"not found")</f>
        <v>QUICK</v>
      </c>
      <c r="G543" s="13">
        <f>_xlfn.XLOOKUP(OrderDetails[[#This Row],[OrderID]],Orders!A:A,Orders!C:C,"Not Found")</f>
        <v>35480</v>
      </c>
      <c r="H543" s="16">
        <f>(OrderDetails[[#This Row],[UnitPrice]]*OrderDetails[[#This Row],[Quantity]])*(1-OrderDetails[[#This Row],[Discount]])</f>
        <v>514.79999914765358</v>
      </c>
      <c r="I543" s="15" t="str">
        <f>_xlfn.XLOOKUP(OrderDetails[[#This Row],[ProductID]],Product!A:A,Product!G:G,"Not Found")</f>
        <v>Condiments</v>
      </c>
      <c r="J543" s="15" t="str">
        <f>LOOKUP(MONTH(G543),{1,4,7,10},{"Winter","Spring","Summer","Autumn"})</f>
        <v>Winter</v>
      </c>
      <c r="K543" s="15" t="str">
        <f>_xlfn.XLOOKUP(OrderDetails[[#This Row],[ProductID]],Product!A:A,Product!B:B,"Not Found")</f>
        <v>Original Frankfurter grüne Soße</v>
      </c>
    </row>
    <row r="544" spans="1:11">
      <c r="A544" s="1">
        <v>10452</v>
      </c>
      <c r="B544" s="1">
        <v>28</v>
      </c>
      <c r="C544" s="1">
        <v>36.4</v>
      </c>
      <c r="D544" s="1">
        <v>15</v>
      </c>
      <c r="E544" s="3">
        <v>0</v>
      </c>
      <c r="F544" s="1" t="str">
        <f>_xlfn.XLOOKUP(A544,Orders!A:A,Orders!B:B,"not found")</f>
        <v>SAVEA</v>
      </c>
      <c r="G544" s="13">
        <f>_xlfn.XLOOKUP(OrderDetails[[#This Row],[OrderID]],Orders!A:A,Orders!C:C,"Not Found")</f>
        <v>35481</v>
      </c>
      <c r="H544" s="16">
        <f>(OrderDetails[[#This Row],[UnitPrice]]*OrderDetails[[#This Row],[Quantity]])*(1-OrderDetails[[#This Row],[Discount]])</f>
        <v>546</v>
      </c>
      <c r="I544" s="15" t="str">
        <f>_xlfn.XLOOKUP(OrderDetails[[#This Row],[ProductID]],Product!A:A,Product!G:G,"Not Found")</f>
        <v>Produce</v>
      </c>
      <c r="J544" s="15" t="str">
        <f>LOOKUP(MONTH(G544),{1,4,7,10},{"Winter","Spring","Summer","Autumn"})</f>
        <v>Winter</v>
      </c>
      <c r="K544" s="15" t="str">
        <f>_xlfn.XLOOKUP(OrderDetails[[#This Row],[ProductID]],Product!A:A,Product!B:B,"Not Found")</f>
        <v>Rössle Sauerkraut</v>
      </c>
    </row>
    <row r="545" spans="1:11">
      <c r="A545" s="2">
        <v>10452</v>
      </c>
      <c r="B545" s="2">
        <v>44</v>
      </c>
      <c r="C545" s="2">
        <v>15.5</v>
      </c>
      <c r="D545" s="2">
        <v>100</v>
      </c>
      <c r="E545" s="4">
        <v>5.000000074505806E-2</v>
      </c>
      <c r="F545" s="1" t="str">
        <f>_xlfn.XLOOKUP(A545,Orders!A:A,Orders!B:B,"not found")</f>
        <v>SAVEA</v>
      </c>
      <c r="G545" s="13">
        <f>_xlfn.XLOOKUP(OrderDetails[[#This Row],[OrderID]],Orders!A:A,Orders!C:C,"Not Found")</f>
        <v>35481</v>
      </c>
      <c r="H545" s="16">
        <f>(OrderDetails[[#This Row],[UnitPrice]]*OrderDetails[[#This Row],[Quantity]])*(1-OrderDetails[[#This Row],[Discount]])</f>
        <v>1472.49999884516</v>
      </c>
      <c r="I545" s="15" t="str">
        <f>_xlfn.XLOOKUP(OrderDetails[[#This Row],[ProductID]],Product!A:A,Product!G:G,"Not Found")</f>
        <v>Condiments</v>
      </c>
      <c r="J545" s="15" t="str">
        <f>LOOKUP(MONTH(G545),{1,4,7,10},{"Winter","Spring","Summer","Autumn"})</f>
        <v>Winter</v>
      </c>
      <c r="K545" s="15" t="str">
        <f>_xlfn.XLOOKUP(OrderDetails[[#This Row],[ProductID]],Product!A:A,Product!B:B,"Not Found")</f>
        <v>Gula Malacca</v>
      </c>
    </row>
    <row r="546" spans="1:11">
      <c r="A546" s="1">
        <v>10453</v>
      </c>
      <c r="B546" s="1">
        <v>48</v>
      </c>
      <c r="C546" s="1">
        <v>10.199999999999999</v>
      </c>
      <c r="D546" s="1">
        <v>15</v>
      </c>
      <c r="E546" s="3">
        <v>0.10000000149011612</v>
      </c>
      <c r="F546" s="1" t="str">
        <f>_xlfn.XLOOKUP(A546,Orders!A:A,Orders!B:B,"not found")</f>
        <v>AROUT</v>
      </c>
      <c r="G546" s="13">
        <f>_xlfn.XLOOKUP(OrderDetails[[#This Row],[OrderID]],Orders!A:A,Orders!C:C,"Not Found")</f>
        <v>35482</v>
      </c>
      <c r="H546" s="16">
        <f>(OrderDetails[[#This Row],[UnitPrice]]*OrderDetails[[#This Row],[Quantity]])*(1-OrderDetails[[#This Row],[Discount]])</f>
        <v>137.69999977201223</v>
      </c>
      <c r="I546" s="15" t="str">
        <f>_xlfn.XLOOKUP(OrderDetails[[#This Row],[ProductID]],Product!A:A,Product!G:G,"Not Found")</f>
        <v>Confections</v>
      </c>
      <c r="J546" s="15" t="str">
        <f>LOOKUP(MONTH(G546),{1,4,7,10},{"Winter","Spring","Summer","Autumn"})</f>
        <v>Winter</v>
      </c>
      <c r="K546" s="15" t="str">
        <f>_xlfn.XLOOKUP(OrderDetails[[#This Row],[ProductID]],Product!A:A,Product!B:B,"Not Found")</f>
        <v>Chocolade</v>
      </c>
    </row>
    <row r="547" spans="1:11">
      <c r="A547" s="2">
        <v>10453</v>
      </c>
      <c r="B547" s="2">
        <v>70</v>
      </c>
      <c r="C547" s="2">
        <v>12</v>
      </c>
      <c r="D547" s="2">
        <v>25</v>
      </c>
      <c r="E547" s="4">
        <v>0.10000000149011612</v>
      </c>
      <c r="F547" s="1" t="str">
        <f>_xlfn.XLOOKUP(A547,Orders!A:A,Orders!B:B,"not found")</f>
        <v>AROUT</v>
      </c>
      <c r="G547" s="13">
        <f>_xlfn.XLOOKUP(OrderDetails[[#This Row],[OrderID]],Orders!A:A,Orders!C:C,"Not Found")</f>
        <v>35482</v>
      </c>
      <c r="H547" s="16">
        <f>(OrderDetails[[#This Row],[UnitPrice]]*OrderDetails[[#This Row],[Quantity]])*(1-OrderDetails[[#This Row],[Discount]])</f>
        <v>269.99999955296516</v>
      </c>
      <c r="I547" s="15" t="str">
        <f>_xlfn.XLOOKUP(OrderDetails[[#This Row],[ProductID]],Product!A:A,Product!G:G,"Not Found")</f>
        <v>Beverages</v>
      </c>
      <c r="J547" s="15" t="str">
        <f>LOOKUP(MONTH(G547),{1,4,7,10},{"Winter","Spring","Summer","Autumn"})</f>
        <v>Winter</v>
      </c>
      <c r="K547" s="15" t="str">
        <f>_xlfn.XLOOKUP(OrderDetails[[#This Row],[ProductID]],Product!A:A,Product!B:B,"Not Found")</f>
        <v>Outback Lager</v>
      </c>
    </row>
    <row r="548" spans="1:11">
      <c r="A548" s="1">
        <v>10454</v>
      </c>
      <c r="B548" s="1">
        <v>16</v>
      </c>
      <c r="C548" s="1">
        <v>13.9</v>
      </c>
      <c r="D548" s="1">
        <v>20</v>
      </c>
      <c r="E548" s="3">
        <v>0.20000000298023224</v>
      </c>
      <c r="F548" s="1" t="str">
        <f>_xlfn.XLOOKUP(A548,Orders!A:A,Orders!B:B,"not found")</f>
        <v>LAMAI</v>
      </c>
      <c r="G548" s="13">
        <f>_xlfn.XLOOKUP(OrderDetails[[#This Row],[OrderID]],Orders!A:A,Orders!C:C,"Not Found")</f>
        <v>35482</v>
      </c>
      <c r="H548" s="16">
        <f>(OrderDetails[[#This Row],[UnitPrice]]*OrderDetails[[#This Row],[Quantity]])*(1-OrderDetails[[#This Row],[Discount]])</f>
        <v>222.39999917149544</v>
      </c>
      <c r="I548" s="15" t="str">
        <f>_xlfn.XLOOKUP(OrderDetails[[#This Row],[ProductID]],Product!A:A,Product!G:G,"Not Found")</f>
        <v>Confections</v>
      </c>
      <c r="J548" s="15" t="str">
        <f>LOOKUP(MONTH(G548),{1,4,7,10},{"Winter","Spring","Summer","Autumn"})</f>
        <v>Winter</v>
      </c>
      <c r="K548" s="15" t="str">
        <f>_xlfn.XLOOKUP(OrderDetails[[#This Row],[ProductID]],Product!A:A,Product!B:B,"Not Found")</f>
        <v>Pavlova</v>
      </c>
    </row>
    <row r="549" spans="1:11">
      <c r="A549" s="2">
        <v>10454</v>
      </c>
      <c r="B549" s="2">
        <v>33</v>
      </c>
      <c r="C549" s="2">
        <v>2</v>
      </c>
      <c r="D549" s="2">
        <v>20</v>
      </c>
      <c r="E549" s="4">
        <v>0.20000000298023224</v>
      </c>
      <c r="F549" s="1" t="str">
        <f>_xlfn.XLOOKUP(A549,Orders!A:A,Orders!B:B,"not found")</f>
        <v>LAMAI</v>
      </c>
      <c r="G549" s="13">
        <f>_xlfn.XLOOKUP(OrderDetails[[#This Row],[OrderID]],Orders!A:A,Orders!C:C,"Not Found")</f>
        <v>35482</v>
      </c>
      <c r="H549" s="16">
        <f>(OrderDetails[[#This Row],[UnitPrice]]*OrderDetails[[#This Row],[Quantity]])*(1-OrderDetails[[#This Row],[Discount]])</f>
        <v>31.99999988079071</v>
      </c>
      <c r="I549" s="15" t="str">
        <f>_xlfn.XLOOKUP(OrderDetails[[#This Row],[ProductID]],Product!A:A,Product!G:G,"Not Found")</f>
        <v>Dairy Products</v>
      </c>
      <c r="J549" s="15" t="str">
        <f>LOOKUP(MONTH(G549),{1,4,7,10},{"Winter","Spring","Summer","Autumn"})</f>
        <v>Winter</v>
      </c>
      <c r="K549" s="15" t="str">
        <f>_xlfn.XLOOKUP(OrderDetails[[#This Row],[ProductID]],Product!A:A,Product!B:B,"Not Found")</f>
        <v>Geitost</v>
      </c>
    </row>
    <row r="550" spans="1:11">
      <c r="A550" s="1">
        <v>10454</v>
      </c>
      <c r="B550" s="1">
        <v>46</v>
      </c>
      <c r="C550" s="1">
        <v>9.6</v>
      </c>
      <c r="D550" s="1">
        <v>10</v>
      </c>
      <c r="E550" s="3">
        <v>0.20000000298023224</v>
      </c>
      <c r="F550" s="1" t="str">
        <f>_xlfn.XLOOKUP(A550,Orders!A:A,Orders!B:B,"not found")</f>
        <v>LAMAI</v>
      </c>
      <c r="G550" s="13">
        <f>_xlfn.XLOOKUP(OrderDetails[[#This Row],[OrderID]],Orders!A:A,Orders!C:C,"Not Found")</f>
        <v>35482</v>
      </c>
      <c r="H550" s="16">
        <f>(OrderDetails[[#This Row],[UnitPrice]]*OrderDetails[[#This Row],[Quantity]])*(1-OrderDetails[[#This Row],[Discount]])</f>
        <v>76.799999713897705</v>
      </c>
      <c r="I550" s="15" t="str">
        <f>_xlfn.XLOOKUP(OrderDetails[[#This Row],[ProductID]],Product!A:A,Product!G:G,"Not Found")</f>
        <v>Seafood</v>
      </c>
      <c r="J550" s="15" t="str">
        <f>LOOKUP(MONTH(G550),{1,4,7,10},{"Winter","Spring","Summer","Autumn"})</f>
        <v>Winter</v>
      </c>
      <c r="K550" s="15" t="str">
        <f>_xlfn.XLOOKUP(OrderDetails[[#This Row],[ProductID]],Product!A:A,Product!B:B,"Not Found")</f>
        <v>Spegesild</v>
      </c>
    </row>
    <row r="551" spans="1:11">
      <c r="A551" s="2">
        <v>10455</v>
      </c>
      <c r="B551" s="2">
        <v>39</v>
      </c>
      <c r="C551" s="2">
        <v>14.4</v>
      </c>
      <c r="D551" s="2">
        <v>20</v>
      </c>
      <c r="E551" s="4">
        <v>0</v>
      </c>
      <c r="F551" s="1" t="str">
        <f>_xlfn.XLOOKUP(A551,Orders!A:A,Orders!B:B,"not found")</f>
        <v>WARTH</v>
      </c>
      <c r="G551" s="13">
        <f>_xlfn.XLOOKUP(OrderDetails[[#This Row],[OrderID]],Orders!A:A,Orders!C:C,"Not Found")</f>
        <v>35485</v>
      </c>
      <c r="H551" s="16">
        <f>(OrderDetails[[#This Row],[UnitPrice]]*OrderDetails[[#This Row],[Quantity]])*(1-OrderDetails[[#This Row],[Discount]])</f>
        <v>288</v>
      </c>
      <c r="I551" s="15" t="str">
        <f>_xlfn.XLOOKUP(OrderDetails[[#This Row],[ProductID]],Product!A:A,Product!G:G,"Not Found")</f>
        <v>Beverages</v>
      </c>
      <c r="J551" s="15" t="str">
        <f>LOOKUP(MONTH(G551),{1,4,7,10},{"Winter","Spring","Summer","Autumn"})</f>
        <v>Winter</v>
      </c>
      <c r="K551" s="15" t="str">
        <f>_xlfn.XLOOKUP(OrderDetails[[#This Row],[ProductID]],Product!A:A,Product!B:B,"Not Found")</f>
        <v>Chartreuse verte</v>
      </c>
    </row>
    <row r="552" spans="1:11">
      <c r="A552" s="1">
        <v>10455</v>
      </c>
      <c r="B552" s="1">
        <v>53</v>
      </c>
      <c r="C552" s="1">
        <v>26.2</v>
      </c>
      <c r="D552" s="1">
        <v>50</v>
      </c>
      <c r="E552" s="3">
        <v>0</v>
      </c>
      <c r="F552" s="1" t="str">
        <f>_xlfn.XLOOKUP(A552,Orders!A:A,Orders!B:B,"not found")</f>
        <v>WARTH</v>
      </c>
      <c r="G552" s="13">
        <f>_xlfn.XLOOKUP(OrderDetails[[#This Row],[OrderID]],Orders!A:A,Orders!C:C,"Not Found")</f>
        <v>35485</v>
      </c>
      <c r="H552" s="16">
        <f>(OrderDetails[[#This Row],[UnitPrice]]*OrderDetails[[#This Row],[Quantity]])*(1-OrderDetails[[#This Row],[Discount]])</f>
        <v>1310</v>
      </c>
      <c r="I552" s="15" t="str">
        <f>_xlfn.XLOOKUP(OrderDetails[[#This Row],[ProductID]],Product!A:A,Product!G:G,"Not Found")</f>
        <v>Meat/Poultry</v>
      </c>
      <c r="J552" s="15" t="str">
        <f>LOOKUP(MONTH(G552),{1,4,7,10},{"Winter","Spring","Summer","Autumn"})</f>
        <v>Winter</v>
      </c>
      <c r="K552" s="15" t="str">
        <f>_xlfn.XLOOKUP(OrderDetails[[#This Row],[ProductID]],Product!A:A,Product!B:B,"Not Found")</f>
        <v>Perth Pasties</v>
      </c>
    </row>
    <row r="553" spans="1:11">
      <c r="A553" s="2">
        <v>10455</v>
      </c>
      <c r="B553" s="2">
        <v>61</v>
      </c>
      <c r="C553" s="2">
        <v>22.8</v>
      </c>
      <c r="D553" s="2">
        <v>25</v>
      </c>
      <c r="E553" s="4">
        <v>0</v>
      </c>
      <c r="F553" s="1" t="str">
        <f>_xlfn.XLOOKUP(A553,Orders!A:A,Orders!B:B,"not found")</f>
        <v>WARTH</v>
      </c>
      <c r="G553" s="13">
        <f>_xlfn.XLOOKUP(OrderDetails[[#This Row],[OrderID]],Orders!A:A,Orders!C:C,"Not Found")</f>
        <v>35485</v>
      </c>
      <c r="H553" s="16">
        <f>(OrderDetails[[#This Row],[UnitPrice]]*OrderDetails[[#This Row],[Quantity]])*(1-OrderDetails[[#This Row],[Discount]])</f>
        <v>570</v>
      </c>
      <c r="I553" s="15" t="str">
        <f>_xlfn.XLOOKUP(OrderDetails[[#This Row],[ProductID]],Product!A:A,Product!G:G,"Not Found")</f>
        <v>Condiments</v>
      </c>
      <c r="J553" s="15" t="str">
        <f>LOOKUP(MONTH(G553),{1,4,7,10},{"Winter","Spring","Summer","Autumn"})</f>
        <v>Winter</v>
      </c>
      <c r="K553" s="15" t="str">
        <f>_xlfn.XLOOKUP(OrderDetails[[#This Row],[ProductID]],Product!A:A,Product!B:B,"Not Found")</f>
        <v>Sirop d'érable</v>
      </c>
    </row>
    <row r="554" spans="1:11">
      <c r="A554" s="1">
        <v>10455</v>
      </c>
      <c r="B554" s="1">
        <v>71</v>
      </c>
      <c r="C554" s="1">
        <v>17.2</v>
      </c>
      <c r="D554" s="1">
        <v>30</v>
      </c>
      <c r="E554" s="3">
        <v>0</v>
      </c>
      <c r="F554" s="1" t="str">
        <f>_xlfn.XLOOKUP(A554,Orders!A:A,Orders!B:B,"not found")</f>
        <v>WARTH</v>
      </c>
      <c r="G554" s="13">
        <f>_xlfn.XLOOKUP(OrderDetails[[#This Row],[OrderID]],Orders!A:A,Orders!C:C,"Not Found")</f>
        <v>35485</v>
      </c>
      <c r="H554" s="16">
        <f>(OrderDetails[[#This Row],[UnitPrice]]*OrderDetails[[#This Row],[Quantity]])*(1-OrderDetails[[#This Row],[Discount]])</f>
        <v>516</v>
      </c>
      <c r="I554" s="15" t="str">
        <f>_xlfn.XLOOKUP(OrderDetails[[#This Row],[ProductID]],Product!A:A,Product!G:G,"Not Found")</f>
        <v>Dairy Products</v>
      </c>
      <c r="J554" s="15" t="str">
        <f>LOOKUP(MONTH(G554),{1,4,7,10},{"Winter","Spring","Summer","Autumn"})</f>
        <v>Winter</v>
      </c>
      <c r="K554" s="15" t="str">
        <f>_xlfn.XLOOKUP(OrderDetails[[#This Row],[ProductID]],Product!A:A,Product!B:B,"Not Found")</f>
        <v>Flotemysost</v>
      </c>
    </row>
    <row r="555" spans="1:11">
      <c r="A555" s="2">
        <v>10456</v>
      </c>
      <c r="B555" s="2">
        <v>21</v>
      </c>
      <c r="C555" s="2">
        <v>8</v>
      </c>
      <c r="D555" s="2">
        <v>40</v>
      </c>
      <c r="E555" s="4">
        <v>0.15000000596046448</v>
      </c>
      <c r="F555" s="1" t="str">
        <f>_xlfn.XLOOKUP(A555,Orders!A:A,Orders!B:B,"not found")</f>
        <v>KOENE</v>
      </c>
      <c r="G555" s="13">
        <f>_xlfn.XLOOKUP(OrderDetails[[#This Row],[OrderID]],Orders!A:A,Orders!C:C,"Not Found")</f>
        <v>35486</v>
      </c>
      <c r="H555" s="16">
        <f>(OrderDetails[[#This Row],[UnitPrice]]*OrderDetails[[#This Row],[Quantity]])*(1-OrderDetails[[#This Row],[Discount]])</f>
        <v>271.99999809265137</v>
      </c>
      <c r="I555" s="15" t="str">
        <f>_xlfn.XLOOKUP(OrderDetails[[#This Row],[ProductID]],Product!A:A,Product!G:G,"Not Found")</f>
        <v>Confections</v>
      </c>
      <c r="J555" s="15" t="str">
        <f>LOOKUP(MONTH(G555),{1,4,7,10},{"Winter","Spring","Summer","Autumn"})</f>
        <v>Winter</v>
      </c>
      <c r="K555" s="15" t="str">
        <f>_xlfn.XLOOKUP(OrderDetails[[#This Row],[ProductID]],Product!A:A,Product!B:B,"Not Found")</f>
        <v>Sir Rodney's Scones</v>
      </c>
    </row>
    <row r="556" spans="1:11">
      <c r="A556" s="1">
        <v>10456</v>
      </c>
      <c r="B556" s="1">
        <v>49</v>
      </c>
      <c r="C556" s="1">
        <v>16</v>
      </c>
      <c r="D556" s="1">
        <v>21</v>
      </c>
      <c r="E556" s="3">
        <v>0.15000000596046448</v>
      </c>
      <c r="F556" s="1" t="str">
        <f>_xlfn.XLOOKUP(A556,Orders!A:A,Orders!B:B,"not found")</f>
        <v>KOENE</v>
      </c>
      <c r="G556" s="13">
        <f>_xlfn.XLOOKUP(OrderDetails[[#This Row],[OrderID]],Orders!A:A,Orders!C:C,"Not Found")</f>
        <v>35486</v>
      </c>
      <c r="H556" s="16">
        <f>(OrderDetails[[#This Row],[UnitPrice]]*OrderDetails[[#This Row],[Quantity]])*(1-OrderDetails[[#This Row],[Discount]])</f>
        <v>285.59999799728394</v>
      </c>
      <c r="I556" s="15" t="str">
        <f>_xlfn.XLOOKUP(OrderDetails[[#This Row],[ProductID]],Product!A:A,Product!G:G,"Not Found")</f>
        <v>Confections</v>
      </c>
      <c r="J556" s="15" t="str">
        <f>LOOKUP(MONTH(G556),{1,4,7,10},{"Winter","Spring","Summer","Autumn"})</f>
        <v>Winter</v>
      </c>
      <c r="K556" s="15" t="str">
        <f>_xlfn.XLOOKUP(OrderDetails[[#This Row],[ProductID]],Product!A:A,Product!B:B,"Not Found")</f>
        <v>Maxilaku</v>
      </c>
    </row>
    <row r="557" spans="1:11">
      <c r="A557" s="2">
        <v>10457</v>
      </c>
      <c r="B557" s="2">
        <v>59</v>
      </c>
      <c r="C557" s="2">
        <v>44</v>
      </c>
      <c r="D557" s="2">
        <v>36</v>
      </c>
      <c r="E557" s="4">
        <v>0</v>
      </c>
      <c r="F557" s="1" t="str">
        <f>_xlfn.XLOOKUP(A557,Orders!A:A,Orders!B:B,"not found")</f>
        <v>KOENE</v>
      </c>
      <c r="G557" s="13">
        <f>_xlfn.XLOOKUP(OrderDetails[[#This Row],[OrderID]],Orders!A:A,Orders!C:C,"Not Found")</f>
        <v>35486</v>
      </c>
      <c r="H557" s="16">
        <f>(OrderDetails[[#This Row],[UnitPrice]]*OrderDetails[[#This Row],[Quantity]])*(1-OrderDetails[[#This Row],[Discount]])</f>
        <v>1584</v>
      </c>
      <c r="I557" s="15" t="str">
        <f>_xlfn.XLOOKUP(OrderDetails[[#This Row],[ProductID]],Product!A:A,Product!G:G,"Not Found")</f>
        <v>Dairy Products</v>
      </c>
      <c r="J557" s="15" t="str">
        <f>LOOKUP(MONTH(G557),{1,4,7,10},{"Winter","Spring","Summer","Autumn"})</f>
        <v>Winter</v>
      </c>
      <c r="K557" s="15" t="str">
        <f>_xlfn.XLOOKUP(OrderDetails[[#This Row],[ProductID]],Product!A:A,Product!B:B,"Not Found")</f>
        <v>Raclette Courdavault</v>
      </c>
    </row>
    <row r="558" spans="1:11">
      <c r="A558" s="1">
        <v>10458</v>
      </c>
      <c r="B558" s="1">
        <v>26</v>
      </c>
      <c r="C558" s="1">
        <v>24.9</v>
      </c>
      <c r="D558" s="1">
        <v>30</v>
      </c>
      <c r="E558" s="3">
        <v>0</v>
      </c>
      <c r="F558" s="1" t="str">
        <f>_xlfn.XLOOKUP(A558,Orders!A:A,Orders!B:B,"not found")</f>
        <v>SUPRD</v>
      </c>
      <c r="G558" s="13">
        <f>_xlfn.XLOOKUP(OrderDetails[[#This Row],[OrderID]],Orders!A:A,Orders!C:C,"Not Found")</f>
        <v>35487</v>
      </c>
      <c r="H558" s="16">
        <f>(OrderDetails[[#This Row],[UnitPrice]]*OrderDetails[[#This Row],[Quantity]])*(1-OrderDetails[[#This Row],[Discount]])</f>
        <v>747</v>
      </c>
      <c r="I558" s="15" t="str">
        <f>_xlfn.XLOOKUP(OrderDetails[[#This Row],[ProductID]],Product!A:A,Product!G:G,"Not Found")</f>
        <v>Confections</v>
      </c>
      <c r="J558" s="15" t="str">
        <f>LOOKUP(MONTH(G558),{1,4,7,10},{"Winter","Spring","Summer","Autumn"})</f>
        <v>Winter</v>
      </c>
      <c r="K558" s="15" t="str">
        <f>_xlfn.XLOOKUP(OrderDetails[[#This Row],[ProductID]],Product!A:A,Product!B:B,"Not Found")</f>
        <v>Gumbär Gummibärchen</v>
      </c>
    </row>
    <row r="559" spans="1:11">
      <c r="A559" s="2">
        <v>10458</v>
      </c>
      <c r="B559" s="2">
        <v>28</v>
      </c>
      <c r="C559" s="2">
        <v>36.4</v>
      </c>
      <c r="D559" s="2">
        <v>30</v>
      </c>
      <c r="E559" s="4">
        <v>0</v>
      </c>
      <c r="F559" s="1" t="str">
        <f>_xlfn.XLOOKUP(A559,Orders!A:A,Orders!B:B,"not found")</f>
        <v>SUPRD</v>
      </c>
      <c r="G559" s="13">
        <f>_xlfn.XLOOKUP(OrderDetails[[#This Row],[OrderID]],Orders!A:A,Orders!C:C,"Not Found")</f>
        <v>35487</v>
      </c>
      <c r="H559" s="16">
        <f>(OrderDetails[[#This Row],[UnitPrice]]*OrderDetails[[#This Row],[Quantity]])*(1-OrderDetails[[#This Row],[Discount]])</f>
        <v>1092</v>
      </c>
      <c r="I559" s="15" t="str">
        <f>_xlfn.XLOOKUP(OrderDetails[[#This Row],[ProductID]],Product!A:A,Product!G:G,"Not Found")</f>
        <v>Produce</v>
      </c>
      <c r="J559" s="15" t="str">
        <f>LOOKUP(MONTH(G559),{1,4,7,10},{"Winter","Spring","Summer","Autumn"})</f>
        <v>Winter</v>
      </c>
      <c r="K559" s="15" t="str">
        <f>_xlfn.XLOOKUP(OrderDetails[[#This Row],[ProductID]],Product!A:A,Product!B:B,"Not Found")</f>
        <v>Rössle Sauerkraut</v>
      </c>
    </row>
    <row r="560" spans="1:11">
      <c r="A560" s="1">
        <v>10458</v>
      </c>
      <c r="B560" s="1">
        <v>43</v>
      </c>
      <c r="C560" s="1">
        <v>36.799999999999997</v>
      </c>
      <c r="D560" s="1">
        <v>20</v>
      </c>
      <c r="E560" s="3">
        <v>0</v>
      </c>
      <c r="F560" s="1" t="str">
        <f>_xlfn.XLOOKUP(A560,Orders!A:A,Orders!B:B,"not found")</f>
        <v>SUPRD</v>
      </c>
      <c r="G560" s="13">
        <f>_xlfn.XLOOKUP(OrderDetails[[#This Row],[OrderID]],Orders!A:A,Orders!C:C,"Not Found")</f>
        <v>35487</v>
      </c>
      <c r="H560" s="16">
        <f>(OrderDetails[[#This Row],[UnitPrice]]*OrderDetails[[#This Row],[Quantity]])*(1-OrderDetails[[#This Row],[Discount]])</f>
        <v>736</v>
      </c>
      <c r="I560" s="15" t="str">
        <f>_xlfn.XLOOKUP(OrderDetails[[#This Row],[ProductID]],Product!A:A,Product!G:G,"Not Found")</f>
        <v>Beverages</v>
      </c>
      <c r="J560" s="15" t="str">
        <f>LOOKUP(MONTH(G560),{1,4,7,10},{"Winter","Spring","Summer","Autumn"})</f>
        <v>Winter</v>
      </c>
      <c r="K560" s="15" t="str">
        <f>_xlfn.XLOOKUP(OrderDetails[[#This Row],[ProductID]],Product!A:A,Product!B:B,"Not Found")</f>
        <v>Ipoh Coffee</v>
      </c>
    </row>
    <row r="561" spans="1:11">
      <c r="A561" s="2">
        <v>10458</v>
      </c>
      <c r="B561" s="2">
        <v>56</v>
      </c>
      <c r="C561" s="2">
        <v>30.4</v>
      </c>
      <c r="D561" s="2">
        <v>15</v>
      </c>
      <c r="E561" s="4">
        <v>0</v>
      </c>
      <c r="F561" s="1" t="str">
        <f>_xlfn.XLOOKUP(A561,Orders!A:A,Orders!B:B,"not found")</f>
        <v>SUPRD</v>
      </c>
      <c r="G561" s="13">
        <f>_xlfn.XLOOKUP(OrderDetails[[#This Row],[OrderID]],Orders!A:A,Orders!C:C,"Not Found")</f>
        <v>35487</v>
      </c>
      <c r="H561" s="16">
        <f>(OrderDetails[[#This Row],[UnitPrice]]*OrderDetails[[#This Row],[Quantity]])*(1-OrderDetails[[#This Row],[Discount]])</f>
        <v>456</v>
      </c>
      <c r="I561" s="15" t="str">
        <f>_xlfn.XLOOKUP(OrderDetails[[#This Row],[ProductID]],Product!A:A,Product!G:G,"Not Found")</f>
        <v>Grains/Cereals</v>
      </c>
      <c r="J561" s="15" t="str">
        <f>LOOKUP(MONTH(G561),{1,4,7,10},{"Winter","Spring","Summer","Autumn"})</f>
        <v>Winter</v>
      </c>
      <c r="K561" s="15" t="str">
        <f>_xlfn.XLOOKUP(OrderDetails[[#This Row],[ProductID]],Product!A:A,Product!B:B,"Not Found")</f>
        <v>Gnocchi di nonna Alice</v>
      </c>
    </row>
    <row r="562" spans="1:11">
      <c r="A562" s="1">
        <v>10458</v>
      </c>
      <c r="B562" s="1">
        <v>71</v>
      </c>
      <c r="C562" s="1">
        <v>17.2</v>
      </c>
      <c r="D562" s="1">
        <v>50</v>
      </c>
      <c r="E562" s="3">
        <v>0</v>
      </c>
      <c r="F562" s="1" t="str">
        <f>_xlfn.XLOOKUP(A562,Orders!A:A,Orders!B:B,"not found")</f>
        <v>SUPRD</v>
      </c>
      <c r="G562" s="13">
        <f>_xlfn.XLOOKUP(OrderDetails[[#This Row],[OrderID]],Orders!A:A,Orders!C:C,"Not Found")</f>
        <v>35487</v>
      </c>
      <c r="H562" s="16">
        <f>(OrderDetails[[#This Row],[UnitPrice]]*OrderDetails[[#This Row],[Quantity]])*(1-OrderDetails[[#This Row],[Discount]])</f>
        <v>860</v>
      </c>
      <c r="I562" s="15" t="str">
        <f>_xlfn.XLOOKUP(OrderDetails[[#This Row],[ProductID]],Product!A:A,Product!G:G,"Not Found")</f>
        <v>Dairy Products</v>
      </c>
      <c r="J562" s="15" t="str">
        <f>LOOKUP(MONTH(G562),{1,4,7,10},{"Winter","Spring","Summer","Autumn"})</f>
        <v>Winter</v>
      </c>
      <c r="K562" s="15" t="str">
        <f>_xlfn.XLOOKUP(OrderDetails[[#This Row],[ProductID]],Product!A:A,Product!B:B,"Not Found")</f>
        <v>Flotemysost</v>
      </c>
    </row>
    <row r="563" spans="1:11">
      <c r="A563" s="2">
        <v>10459</v>
      </c>
      <c r="B563" s="2">
        <v>7</v>
      </c>
      <c r="C563" s="2">
        <v>24</v>
      </c>
      <c r="D563" s="2">
        <v>16</v>
      </c>
      <c r="E563" s="4">
        <v>5.000000074505806E-2</v>
      </c>
      <c r="F563" s="1" t="str">
        <f>_xlfn.XLOOKUP(A563,Orders!A:A,Orders!B:B,"not found")</f>
        <v>VICTE</v>
      </c>
      <c r="G563" s="13">
        <f>_xlfn.XLOOKUP(OrderDetails[[#This Row],[OrderID]],Orders!A:A,Orders!C:C,"Not Found")</f>
        <v>35488</v>
      </c>
      <c r="H563" s="16">
        <f>(OrderDetails[[#This Row],[UnitPrice]]*OrderDetails[[#This Row],[Quantity]])*(1-OrderDetails[[#This Row],[Discount]])</f>
        <v>364.79999971389771</v>
      </c>
      <c r="I563" s="15" t="str">
        <f>_xlfn.XLOOKUP(OrderDetails[[#This Row],[ProductID]],Product!A:A,Product!G:G,"Not Found")</f>
        <v>Produce</v>
      </c>
      <c r="J563" s="15" t="str">
        <f>LOOKUP(MONTH(G563),{1,4,7,10},{"Winter","Spring","Summer","Autumn"})</f>
        <v>Winter</v>
      </c>
      <c r="K563" s="15" t="str">
        <f>_xlfn.XLOOKUP(OrderDetails[[#This Row],[ProductID]],Product!A:A,Product!B:B,"Not Found")</f>
        <v>Uncle Bob's Organic Dried Pears</v>
      </c>
    </row>
    <row r="564" spans="1:11">
      <c r="A564" s="1">
        <v>10459</v>
      </c>
      <c r="B564" s="1">
        <v>46</v>
      </c>
      <c r="C564" s="1">
        <v>9.6</v>
      </c>
      <c r="D564" s="1">
        <v>20</v>
      </c>
      <c r="E564" s="3">
        <v>5.000000074505806E-2</v>
      </c>
      <c r="F564" s="1" t="str">
        <f>_xlfn.XLOOKUP(A564,Orders!A:A,Orders!B:B,"not found")</f>
        <v>VICTE</v>
      </c>
      <c r="G564" s="13">
        <f>_xlfn.XLOOKUP(OrderDetails[[#This Row],[OrderID]],Orders!A:A,Orders!C:C,"Not Found")</f>
        <v>35488</v>
      </c>
      <c r="H564" s="16">
        <f>(OrderDetails[[#This Row],[UnitPrice]]*OrderDetails[[#This Row],[Quantity]])*(1-OrderDetails[[#This Row],[Discount]])</f>
        <v>182.39999985694885</v>
      </c>
      <c r="I564" s="15" t="str">
        <f>_xlfn.XLOOKUP(OrderDetails[[#This Row],[ProductID]],Product!A:A,Product!G:G,"Not Found")</f>
        <v>Seafood</v>
      </c>
      <c r="J564" s="15" t="str">
        <f>LOOKUP(MONTH(G564),{1,4,7,10},{"Winter","Spring","Summer","Autumn"})</f>
        <v>Winter</v>
      </c>
      <c r="K564" s="15" t="str">
        <f>_xlfn.XLOOKUP(OrderDetails[[#This Row],[ProductID]],Product!A:A,Product!B:B,"Not Found")</f>
        <v>Spegesild</v>
      </c>
    </row>
    <row r="565" spans="1:11">
      <c r="A565" s="2">
        <v>10459</v>
      </c>
      <c r="B565" s="2">
        <v>72</v>
      </c>
      <c r="C565" s="2">
        <v>27.8</v>
      </c>
      <c r="D565" s="2">
        <v>40</v>
      </c>
      <c r="E565" s="4">
        <v>0</v>
      </c>
      <c r="F565" s="1" t="str">
        <f>_xlfn.XLOOKUP(A565,Orders!A:A,Orders!B:B,"not found")</f>
        <v>VICTE</v>
      </c>
      <c r="G565" s="13">
        <f>_xlfn.XLOOKUP(OrderDetails[[#This Row],[OrderID]],Orders!A:A,Orders!C:C,"Not Found")</f>
        <v>35488</v>
      </c>
      <c r="H565" s="16">
        <f>(OrderDetails[[#This Row],[UnitPrice]]*OrderDetails[[#This Row],[Quantity]])*(1-OrderDetails[[#This Row],[Discount]])</f>
        <v>1112</v>
      </c>
      <c r="I565" s="15" t="str">
        <f>_xlfn.XLOOKUP(OrderDetails[[#This Row],[ProductID]],Product!A:A,Product!G:G,"Not Found")</f>
        <v>Dairy Products</v>
      </c>
      <c r="J565" s="15" t="str">
        <f>LOOKUP(MONTH(G565),{1,4,7,10},{"Winter","Spring","Summer","Autumn"})</f>
        <v>Winter</v>
      </c>
      <c r="K565" s="15" t="str">
        <f>_xlfn.XLOOKUP(OrderDetails[[#This Row],[ProductID]],Product!A:A,Product!B:B,"Not Found")</f>
        <v>Mozzarella di Giovanni</v>
      </c>
    </row>
    <row r="566" spans="1:11">
      <c r="A566" s="1">
        <v>10460</v>
      </c>
      <c r="B566" s="1">
        <v>68</v>
      </c>
      <c r="C566" s="1">
        <v>10</v>
      </c>
      <c r="D566" s="1">
        <v>21</v>
      </c>
      <c r="E566" s="3">
        <v>0.25</v>
      </c>
      <c r="F566" s="1" t="str">
        <f>_xlfn.XLOOKUP(A566,Orders!A:A,Orders!B:B,"not found")</f>
        <v>FOLKO</v>
      </c>
      <c r="G566" s="13">
        <f>_xlfn.XLOOKUP(OrderDetails[[#This Row],[OrderID]],Orders!A:A,Orders!C:C,"Not Found")</f>
        <v>35489</v>
      </c>
      <c r="H566" s="16">
        <f>(OrderDetails[[#This Row],[UnitPrice]]*OrderDetails[[#This Row],[Quantity]])*(1-OrderDetails[[#This Row],[Discount]])</f>
        <v>157.5</v>
      </c>
      <c r="I566" s="15" t="str">
        <f>_xlfn.XLOOKUP(OrderDetails[[#This Row],[ProductID]],Product!A:A,Product!G:G,"Not Found")</f>
        <v>Confections</v>
      </c>
      <c r="J566" s="15" t="str">
        <f>LOOKUP(MONTH(G566),{1,4,7,10},{"Winter","Spring","Summer","Autumn"})</f>
        <v>Winter</v>
      </c>
      <c r="K566" s="15" t="str">
        <f>_xlfn.XLOOKUP(OrderDetails[[#This Row],[ProductID]],Product!A:A,Product!B:B,"Not Found")</f>
        <v>Scottish Longbreads</v>
      </c>
    </row>
    <row r="567" spans="1:11">
      <c r="A567" s="2">
        <v>10460</v>
      </c>
      <c r="B567" s="2">
        <v>75</v>
      </c>
      <c r="C567" s="2">
        <v>6.2</v>
      </c>
      <c r="D567" s="2">
        <v>4</v>
      </c>
      <c r="E567" s="4">
        <v>0.25</v>
      </c>
      <c r="F567" s="1" t="str">
        <f>_xlfn.XLOOKUP(A567,Orders!A:A,Orders!B:B,"not found")</f>
        <v>FOLKO</v>
      </c>
      <c r="G567" s="13">
        <f>_xlfn.XLOOKUP(OrderDetails[[#This Row],[OrderID]],Orders!A:A,Orders!C:C,"Not Found")</f>
        <v>35489</v>
      </c>
      <c r="H567" s="16">
        <f>(OrderDetails[[#This Row],[UnitPrice]]*OrderDetails[[#This Row],[Quantity]])*(1-OrderDetails[[#This Row],[Discount]])</f>
        <v>18.600000000000001</v>
      </c>
      <c r="I567" s="15" t="str">
        <f>_xlfn.XLOOKUP(OrderDetails[[#This Row],[ProductID]],Product!A:A,Product!G:G,"Not Found")</f>
        <v>Beverages</v>
      </c>
      <c r="J567" s="15" t="str">
        <f>LOOKUP(MONTH(G567),{1,4,7,10},{"Winter","Spring","Summer","Autumn"})</f>
        <v>Winter</v>
      </c>
      <c r="K567" s="15" t="str">
        <f>_xlfn.XLOOKUP(OrderDetails[[#This Row],[ProductID]],Product!A:A,Product!B:B,"Not Found")</f>
        <v>Rhönbräu Klosterbier</v>
      </c>
    </row>
    <row r="568" spans="1:11">
      <c r="A568" s="1">
        <v>10461</v>
      </c>
      <c r="B568" s="1">
        <v>21</v>
      </c>
      <c r="C568" s="1">
        <v>8</v>
      </c>
      <c r="D568" s="1">
        <v>40</v>
      </c>
      <c r="E568" s="3">
        <v>0.25</v>
      </c>
      <c r="F568" s="1" t="str">
        <f>_xlfn.XLOOKUP(A568,Orders!A:A,Orders!B:B,"not found")</f>
        <v>LILAS</v>
      </c>
      <c r="G568" s="13">
        <f>_xlfn.XLOOKUP(OrderDetails[[#This Row],[OrderID]],Orders!A:A,Orders!C:C,"Not Found")</f>
        <v>35489</v>
      </c>
      <c r="H568" s="16">
        <f>(OrderDetails[[#This Row],[UnitPrice]]*OrderDetails[[#This Row],[Quantity]])*(1-OrderDetails[[#This Row],[Discount]])</f>
        <v>240</v>
      </c>
      <c r="I568" s="15" t="str">
        <f>_xlfn.XLOOKUP(OrderDetails[[#This Row],[ProductID]],Product!A:A,Product!G:G,"Not Found")</f>
        <v>Confections</v>
      </c>
      <c r="J568" s="15" t="str">
        <f>LOOKUP(MONTH(G568),{1,4,7,10},{"Winter","Spring","Summer","Autumn"})</f>
        <v>Winter</v>
      </c>
      <c r="K568" s="15" t="str">
        <f>_xlfn.XLOOKUP(OrderDetails[[#This Row],[ProductID]],Product!A:A,Product!B:B,"Not Found")</f>
        <v>Sir Rodney's Scones</v>
      </c>
    </row>
    <row r="569" spans="1:11">
      <c r="A569" s="2">
        <v>10461</v>
      </c>
      <c r="B569" s="2">
        <v>30</v>
      </c>
      <c r="C569" s="2">
        <v>20.7</v>
      </c>
      <c r="D569" s="2">
        <v>28</v>
      </c>
      <c r="E569" s="4">
        <v>0.25</v>
      </c>
      <c r="F569" s="1" t="str">
        <f>_xlfn.XLOOKUP(A569,Orders!A:A,Orders!B:B,"not found")</f>
        <v>LILAS</v>
      </c>
      <c r="G569" s="13">
        <f>_xlfn.XLOOKUP(OrderDetails[[#This Row],[OrderID]],Orders!A:A,Orders!C:C,"Not Found")</f>
        <v>35489</v>
      </c>
      <c r="H569" s="16">
        <f>(OrderDetails[[#This Row],[UnitPrice]]*OrderDetails[[#This Row],[Quantity]])*(1-OrderDetails[[#This Row],[Discount]])</f>
        <v>434.70000000000005</v>
      </c>
      <c r="I569" s="15" t="str">
        <f>_xlfn.XLOOKUP(OrderDetails[[#This Row],[ProductID]],Product!A:A,Product!G:G,"Not Found")</f>
        <v>Seafood</v>
      </c>
      <c r="J569" s="15" t="str">
        <f>LOOKUP(MONTH(G569),{1,4,7,10},{"Winter","Spring","Summer","Autumn"})</f>
        <v>Winter</v>
      </c>
      <c r="K569" s="15" t="str">
        <f>_xlfn.XLOOKUP(OrderDetails[[#This Row],[ProductID]],Product!A:A,Product!B:B,"Not Found")</f>
        <v>Nord-Ost Matjeshering</v>
      </c>
    </row>
    <row r="570" spans="1:11">
      <c r="A570" s="1">
        <v>10461</v>
      </c>
      <c r="B570" s="1">
        <v>55</v>
      </c>
      <c r="C570" s="1">
        <v>19.2</v>
      </c>
      <c r="D570" s="1">
        <v>60</v>
      </c>
      <c r="E570" s="3">
        <v>0.25</v>
      </c>
      <c r="F570" s="1" t="str">
        <f>_xlfn.XLOOKUP(A570,Orders!A:A,Orders!B:B,"not found")</f>
        <v>LILAS</v>
      </c>
      <c r="G570" s="13">
        <f>_xlfn.XLOOKUP(OrderDetails[[#This Row],[OrderID]],Orders!A:A,Orders!C:C,"Not Found")</f>
        <v>35489</v>
      </c>
      <c r="H570" s="16">
        <f>(OrderDetails[[#This Row],[UnitPrice]]*OrderDetails[[#This Row],[Quantity]])*(1-OrderDetails[[#This Row],[Discount]])</f>
        <v>864</v>
      </c>
      <c r="I570" s="15" t="str">
        <f>_xlfn.XLOOKUP(OrderDetails[[#This Row],[ProductID]],Product!A:A,Product!G:G,"Not Found")</f>
        <v>Meat/Poultry</v>
      </c>
      <c r="J570" s="15" t="str">
        <f>LOOKUP(MONTH(G570),{1,4,7,10},{"Winter","Spring","Summer","Autumn"})</f>
        <v>Winter</v>
      </c>
      <c r="K570" s="15" t="str">
        <f>_xlfn.XLOOKUP(OrderDetails[[#This Row],[ProductID]],Product!A:A,Product!B:B,"Not Found")</f>
        <v>Pâté chinois</v>
      </c>
    </row>
    <row r="571" spans="1:11">
      <c r="A571" s="2">
        <v>10462</v>
      </c>
      <c r="B571" s="2">
        <v>13</v>
      </c>
      <c r="C571" s="2">
        <v>4.8</v>
      </c>
      <c r="D571" s="2">
        <v>1</v>
      </c>
      <c r="E571" s="4">
        <v>0</v>
      </c>
      <c r="F571" s="1" t="str">
        <f>_xlfn.XLOOKUP(A571,Orders!A:A,Orders!B:B,"not found")</f>
        <v>CONSH</v>
      </c>
      <c r="G571" s="13">
        <f>_xlfn.XLOOKUP(OrderDetails[[#This Row],[OrderID]],Orders!A:A,Orders!C:C,"Not Found")</f>
        <v>35492</v>
      </c>
      <c r="H571" s="16">
        <f>(OrderDetails[[#This Row],[UnitPrice]]*OrderDetails[[#This Row],[Quantity]])*(1-OrderDetails[[#This Row],[Discount]])</f>
        <v>4.8</v>
      </c>
      <c r="I571" s="15" t="str">
        <f>_xlfn.XLOOKUP(OrderDetails[[#This Row],[ProductID]],Product!A:A,Product!G:G,"Not Found")</f>
        <v>Seafood</v>
      </c>
      <c r="J571" s="15" t="str">
        <f>LOOKUP(MONTH(G571),{1,4,7,10},{"Winter","Spring","Summer","Autumn"})</f>
        <v>Winter</v>
      </c>
      <c r="K571" s="15" t="str">
        <f>_xlfn.XLOOKUP(OrderDetails[[#This Row],[ProductID]],Product!A:A,Product!B:B,"Not Found")</f>
        <v>Konbu</v>
      </c>
    </row>
    <row r="572" spans="1:11">
      <c r="A572" s="1">
        <v>10462</v>
      </c>
      <c r="B572" s="1">
        <v>23</v>
      </c>
      <c r="C572" s="1">
        <v>7.2</v>
      </c>
      <c r="D572" s="1">
        <v>21</v>
      </c>
      <c r="E572" s="3">
        <v>0</v>
      </c>
      <c r="F572" s="1" t="str">
        <f>_xlfn.XLOOKUP(A572,Orders!A:A,Orders!B:B,"not found")</f>
        <v>CONSH</v>
      </c>
      <c r="G572" s="13">
        <f>_xlfn.XLOOKUP(OrderDetails[[#This Row],[OrderID]],Orders!A:A,Orders!C:C,"Not Found")</f>
        <v>35492</v>
      </c>
      <c r="H572" s="16">
        <f>(OrderDetails[[#This Row],[UnitPrice]]*OrderDetails[[#This Row],[Quantity]])*(1-OrderDetails[[#This Row],[Discount]])</f>
        <v>151.20000000000002</v>
      </c>
      <c r="I572" s="15" t="str">
        <f>_xlfn.XLOOKUP(OrderDetails[[#This Row],[ProductID]],Product!A:A,Product!G:G,"Not Found")</f>
        <v>Grains/Cereals</v>
      </c>
      <c r="J572" s="15" t="str">
        <f>LOOKUP(MONTH(G572),{1,4,7,10},{"Winter","Spring","Summer","Autumn"})</f>
        <v>Winter</v>
      </c>
      <c r="K572" s="15" t="str">
        <f>_xlfn.XLOOKUP(OrderDetails[[#This Row],[ProductID]],Product!A:A,Product!B:B,"Not Found")</f>
        <v>Tunnbröd</v>
      </c>
    </row>
    <row r="573" spans="1:11">
      <c r="A573" s="2">
        <v>10463</v>
      </c>
      <c r="B573" s="2">
        <v>19</v>
      </c>
      <c r="C573" s="2">
        <v>7.3</v>
      </c>
      <c r="D573" s="2">
        <v>21</v>
      </c>
      <c r="E573" s="4">
        <v>0</v>
      </c>
      <c r="F573" s="1" t="str">
        <f>_xlfn.XLOOKUP(A573,Orders!A:A,Orders!B:B,"not found")</f>
        <v>SUPRD</v>
      </c>
      <c r="G573" s="13">
        <f>_xlfn.XLOOKUP(OrderDetails[[#This Row],[OrderID]],Orders!A:A,Orders!C:C,"Not Found")</f>
        <v>35493</v>
      </c>
      <c r="H573" s="16">
        <f>(OrderDetails[[#This Row],[UnitPrice]]*OrderDetails[[#This Row],[Quantity]])*(1-OrderDetails[[#This Row],[Discount]])</f>
        <v>153.29999999999998</v>
      </c>
      <c r="I573" s="15" t="str">
        <f>_xlfn.XLOOKUP(OrderDetails[[#This Row],[ProductID]],Product!A:A,Product!G:G,"Not Found")</f>
        <v>Confections</v>
      </c>
      <c r="J573" s="15" t="str">
        <f>LOOKUP(MONTH(G573),{1,4,7,10},{"Winter","Spring","Summer","Autumn"})</f>
        <v>Winter</v>
      </c>
      <c r="K573" s="15" t="str">
        <f>_xlfn.XLOOKUP(OrderDetails[[#This Row],[ProductID]],Product!A:A,Product!B:B,"Not Found")</f>
        <v>Teatime Chocolate Biscuits</v>
      </c>
    </row>
    <row r="574" spans="1:11">
      <c r="A574" s="1">
        <v>10463</v>
      </c>
      <c r="B574" s="1">
        <v>42</v>
      </c>
      <c r="C574" s="1">
        <v>11.2</v>
      </c>
      <c r="D574" s="1">
        <v>50</v>
      </c>
      <c r="E574" s="3">
        <v>0</v>
      </c>
      <c r="F574" s="1" t="str">
        <f>_xlfn.XLOOKUP(A574,Orders!A:A,Orders!B:B,"not found")</f>
        <v>SUPRD</v>
      </c>
      <c r="G574" s="13">
        <f>_xlfn.XLOOKUP(OrderDetails[[#This Row],[OrderID]],Orders!A:A,Orders!C:C,"Not Found")</f>
        <v>35493</v>
      </c>
      <c r="H574" s="16">
        <f>(OrderDetails[[#This Row],[UnitPrice]]*OrderDetails[[#This Row],[Quantity]])*(1-OrderDetails[[#This Row],[Discount]])</f>
        <v>560</v>
      </c>
      <c r="I574" s="15" t="str">
        <f>_xlfn.XLOOKUP(OrderDetails[[#This Row],[ProductID]],Product!A:A,Product!G:G,"Not Found")</f>
        <v>Grains/Cereals</v>
      </c>
      <c r="J574" s="15" t="str">
        <f>LOOKUP(MONTH(G574),{1,4,7,10},{"Winter","Spring","Summer","Autumn"})</f>
        <v>Winter</v>
      </c>
      <c r="K574" s="15" t="str">
        <f>_xlfn.XLOOKUP(OrderDetails[[#This Row],[ProductID]],Product!A:A,Product!B:B,"Not Found")</f>
        <v>Singaporean Hokkien Fried Mee</v>
      </c>
    </row>
    <row r="575" spans="1:11">
      <c r="A575" s="2">
        <v>10464</v>
      </c>
      <c r="B575" s="2">
        <v>4</v>
      </c>
      <c r="C575" s="2">
        <v>17.600000000000001</v>
      </c>
      <c r="D575" s="2">
        <v>16</v>
      </c>
      <c r="E575" s="4">
        <v>0.20000000298023224</v>
      </c>
      <c r="F575" s="1" t="str">
        <f>_xlfn.XLOOKUP(A575,Orders!A:A,Orders!B:B,"not found")</f>
        <v>FURIB</v>
      </c>
      <c r="G575" s="13">
        <f>_xlfn.XLOOKUP(OrderDetails[[#This Row],[OrderID]],Orders!A:A,Orders!C:C,"Not Found")</f>
        <v>35493</v>
      </c>
      <c r="H575" s="16">
        <f>(OrderDetails[[#This Row],[UnitPrice]]*OrderDetails[[#This Row],[Quantity]])*(1-OrderDetails[[#This Row],[Discount]])</f>
        <v>225.27999916076661</v>
      </c>
      <c r="I575" s="15" t="str">
        <f>_xlfn.XLOOKUP(OrderDetails[[#This Row],[ProductID]],Product!A:A,Product!G:G,"Not Found")</f>
        <v>Condiments</v>
      </c>
      <c r="J575" s="15" t="str">
        <f>LOOKUP(MONTH(G575),{1,4,7,10},{"Winter","Spring","Summer","Autumn"})</f>
        <v>Winter</v>
      </c>
      <c r="K575" s="15" t="str">
        <f>_xlfn.XLOOKUP(OrderDetails[[#This Row],[ProductID]],Product!A:A,Product!B:B,"Not Found")</f>
        <v>Chef Anton's Cajun Seasoning</v>
      </c>
    </row>
    <row r="576" spans="1:11">
      <c r="A576" s="1">
        <v>10464</v>
      </c>
      <c r="B576" s="1">
        <v>43</v>
      </c>
      <c r="C576" s="1">
        <v>36.799999999999997</v>
      </c>
      <c r="D576" s="1">
        <v>3</v>
      </c>
      <c r="E576" s="3">
        <v>0</v>
      </c>
      <c r="F576" s="1" t="str">
        <f>_xlfn.XLOOKUP(A576,Orders!A:A,Orders!B:B,"not found")</f>
        <v>FURIB</v>
      </c>
      <c r="G576" s="13">
        <f>_xlfn.XLOOKUP(OrderDetails[[#This Row],[OrderID]],Orders!A:A,Orders!C:C,"Not Found")</f>
        <v>35493</v>
      </c>
      <c r="H576" s="16">
        <f>(OrderDetails[[#This Row],[UnitPrice]]*OrderDetails[[#This Row],[Quantity]])*(1-OrderDetails[[#This Row],[Discount]])</f>
        <v>110.39999999999999</v>
      </c>
      <c r="I576" s="15" t="str">
        <f>_xlfn.XLOOKUP(OrderDetails[[#This Row],[ProductID]],Product!A:A,Product!G:G,"Not Found")</f>
        <v>Beverages</v>
      </c>
      <c r="J576" s="15" t="str">
        <f>LOOKUP(MONTH(G576),{1,4,7,10},{"Winter","Spring","Summer","Autumn"})</f>
        <v>Winter</v>
      </c>
      <c r="K576" s="15" t="str">
        <f>_xlfn.XLOOKUP(OrderDetails[[#This Row],[ProductID]],Product!A:A,Product!B:B,"Not Found")</f>
        <v>Ipoh Coffee</v>
      </c>
    </row>
    <row r="577" spans="1:11">
      <c r="A577" s="2">
        <v>10464</v>
      </c>
      <c r="B577" s="2">
        <v>56</v>
      </c>
      <c r="C577" s="2">
        <v>30.4</v>
      </c>
      <c r="D577" s="2">
        <v>30</v>
      </c>
      <c r="E577" s="4">
        <v>0.20000000298023224</v>
      </c>
      <c r="F577" s="1" t="str">
        <f>_xlfn.XLOOKUP(A577,Orders!A:A,Orders!B:B,"not found")</f>
        <v>FURIB</v>
      </c>
      <c r="G577" s="13">
        <f>_xlfn.XLOOKUP(OrderDetails[[#This Row],[OrderID]],Orders!A:A,Orders!C:C,"Not Found")</f>
        <v>35493</v>
      </c>
      <c r="H577" s="16">
        <f>(OrderDetails[[#This Row],[UnitPrice]]*OrderDetails[[#This Row],[Quantity]])*(1-OrderDetails[[#This Row],[Discount]])</f>
        <v>729.5999972820282</v>
      </c>
      <c r="I577" s="15" t="str">
        <f>_xlfn.XLOOKUP(OrderDetails[[#This Row],[ProductID]],Product!A:A,Product!G:G,"Not Found")</f>
        <v>Grains/Cereals</v>
      </c>
      <c r="J577" s="15" t="str">
        <f>LOOKUP(MONTH(G577),{1,4,7,10},{"Winter","Spring","Summer","Autumn"})</f>
        <v>Winter</v>
      </c>
      <c r="K577" s="15" t="str">
        <f>_xlfn.XLOOKUP(OrderDetails[[#This Row],[ProductID]],Product!A:A,Product!B:B,"Not Found")</f>
        <v>Gnocchi di nonna Alice</v>
      </c>
    </row>
    <row r="578" spans="1:11">
      <c r="A578" s="1">
        <v>10464</v>
      </c>
      <c r="B578" s="1">
        <v>60</v>
      </c>
      <c r="C578" s="1">
        <v>27.2</v>
      </c>
      <c r="D578" s="1">
        <v>20</v>
      </c>
      <c r="E578" s="3">
        <v>0</v>
      </c>
      <c r="F578" s="1" t="str">
        <f>_xlfn.XLOOKUP(A578,Orders!A:A,Orders!B:B,"not found")</f>
        <v>FURIB</v>
      </c>
      <c r="G578" s="13">
        <f>_xlfn.XLOOKUP(OrderDetails[[#This Row],[OrderID]],Orders!A:A,Orders!C:C,"Not Found")</f>
        <v>35493</v>
      </c>
      <c r="H578" s="16">
        <f>(OrderDetails[[#This Row],[UnitPrice]]*OrderDetails[[#This Row],[Quantity]])*(1-OrderDetails[[#This Row],[Discount]])</f>
        <v>544</v>
      </c>
      <c r="I578" s="15" t="str">
        <f>_xlfn.XLOOKUP(OrderDetails[[#This Row],[ProductID]],Product!A:A,Product!G:G,"Not Found")</f>
        <v>Dairy Products</v>
      </c>
      <c r="J578" s="15" t="str">
        <f>LOOKUP(MONTH(G578),{1,4,7,10},{"Winter","Spring","Summer","Autumn"})</f>
        <v>Winter</v>
      </c>
      <c r="K578" s="15" t="str">
        <f>_xlfn.XLOOKUP(OrderDetails[[#This Row],[ProductID]],Product!A:A,Product!B:B,"Not Found")</f>
        <v>Camembert Pierrot</v>
      </c>
    </row>
    <row r="579" spans="1:11">
      <c r="A579" s="2">
        <v>10465</v>
      </c>
      <c r="B579" s="2">
        <v>24</v>
      </c>
      <c r="C579" s="2">
        <v>3.6</v>
      </c>
      <c r="D579" s="2">
        <v>25</v>
      </c>
      <c r="E579" s="4">
        <v>0</v>
      </c>
      <c r="F579" s="1" t="str">
        <f>_xlfn.XLOOKUP(A579,Orders!A:A,Orders!B:B,"not found")</f>
        <v>VAFFE</v>
      </c>
      <c r="G579" s="13">
        <f>_xlfn.XLOOKUP(OrderDetails[[#This Row],[OrderID]],Orders!A:A,Orders!C:C,"Not Found")</f>
        <v>35494</v>
      </c>
      <c r="H579" s="16">
        <f>(OrderDetails[[#This Row],[UnitPrice]]*OrderDetails[[#This Row],[Quantity]])*(1-OrderDetails[[#This Row],[Discount]])</f>
        <v>90</v>
      </c>
      <c r="I579" s="15" t="str">
        <f>_xlfn.XLOOKUP(OrderDetails[[#This Row],[ProductID]],Product!A:A,Product!G:G,"Not Found")</f>
        <v>Beverages</v>
      </c>
      <c r="J579" s="15" t="str">
        <f>LOOKUP(MONTH(G579),{1,4,7,10},{"Winter","Spring","Summer","Autumn"})</f>
        <v>Winter</v>
      </c>
      <c r="K579" s="15" t="str">
        <f>_xlfn.XLOOKUP(OrderDetails[[#This Row],[ProductID]],Product!A:A,Product!B:B,"Not Found")</f>
        <v>Guaraná Fantástica</v>
      </c>
    </row>
    <row r="580" spans="1:11">
      <c r="A580" s="1">
        <v>10465</v>
      </c>
      <c r="B580" s="1">
        <v>29</v>
      </c>
      <c r="C580" s="1">
        <v>99</v>
      </c>
      <c r="D580" s="1">
        <v>18</v>
      </c>
      <c r="E580" s="3">
        <v>0.10000000149011612</v>
      </c>
      <c r="F580" s="1" t="str">
        <f>_xlfn.XLOOKUP(A580,Orders!A:A,Orders!B:B,"not found")</f>
        <v>VAFFE</v>
      </c>
      <c r="G580" s="13">
        <f>_xlfn.XLOOKUP(OrderDetails[[#This Row],[OrderID]],Orders!A:A,Orders!C:C,"Not Found")</f>
        <v>35494</v>
      </c>
      <c r="H580" s="16">
        <f>(OrderDetails[[#This Row],[UnitPrice]]*OrderDetails[[#This Row],[Quantity]])*(1-OrderDetails[[#This Row],[Discount]])</f>
        <v>1603.7999973446131</v>
      </c>
      <c r="I580" s="15" t="str">
        <f>_xlfn.XLOOKUP(OrderDetails[[#This Row],[ProductID]],Product!A:A,Product!G:G,"Not Found")</f>
        <v>Meat/Poultry</v>
      </c>
      <c r="J580" s="15" t="str">
        <f>LOOKUP(MONTH(G580),{1,4,7,10},{"Winter","Spring","Summer","Autumn"})</f>
        <v>Winter</v>
      </c>
      <c r="K580" s="15" t="str">
        <f>_xlfn.XLOOKUP(OrderDetails[[#This Row],[ProductID]],Product!A:A,Product!B:B,"Not Found")</f>
        <v>Thüringer Rostbratwurst</v>
      </c>
    </row>
    <row r="581" spans="1:11">
      <c r="A581" s="2">
        <v>10465</v>
      </c>
      <c r="B581" s="2">
        <v>40</v>
      </c>
      <c r="C581" s="2">
        <v>14.7</v>
      </c>
      <c r="D581" s="2">
        <v>20</v>
      </c>
      <c r="E581" s="4">
        <v>0</v>
      </c>
      <c r="F581" s="1" t="str">
        <f>_xlfn.XLOOKUP(A581,Orders!A:A,Orders!B:B,"not found")</f>
        <v>VAFFE</v>
      </c>
      <c r="G581" s="13">
        <f>_xlfn.XLOOKUP(OrderDetails[[#This Row],[OrderID]],Orders!A:A,Orders!C:C,"Not Found")</f>
        <v>35494</v>
      </c>
      <c r="H581" s="16">
        <f>(OrderDetails[[#This Row],[UnitPrice]]*OrderDetails[[#This Row],[Quantity]])*(1-OrderDetails[[#This Row],[Discount]])</f>
        <v>294</v>
      </c>
      <c r="I581" s="15" t="str">
        <f>_xlfn.XLOOKUP(OrderDetails[[#This Row],[ProductID]],Product!A:A,Product!G:G,"Not Found")</f>
        <v>Seafood</v>
      </c>
      <c r="J581" s="15" t="str">
        <f>LOOKUP(MONTH(G581),{1,4,7,10},{"Winter","Spring","Summer","Autumn"})</f>
        <v>Winter</v>
      </c>
      <c r="K581" s="15" t="str">
        <f>_xlfn.XLOOKUP(OrderDetails[[#This Row],[ProductID]],Product!A:A,Product!B:B,"Not Found")</f>
        <v>Boston Crab Meat</v>
      </c>
    </row>
    <row r="582" spans="1:11">
      <c r="A582" s="1">
        <v>10465</v>
      </c>
      <c r="B582" s="1">
        <v>45</v>
      </c>
      <c r="C582" s="1">
        <v>7.6</v>
      </c>
      <c r="D582" s="1">
        <v>30</v>
      </c>
      <c r="E582" s="3">
        <v>0.10000000149011612</v>
      </c>
      <c r="F582" s="1" t="str">
        <f>_xlfn.XLOOKUP(A582,Orders!A:A,Orders!B:B,"not found")</f>
        <v>VAFFE</v>
      </c>
      <c r="G582" s="13">
        <f>_xlfn.XLOOKUP(OrderDetails[[#This Row],[OrderID]],Orders!A:A,Orders!C:C,"Not Found")</f>
        <v>35494</v>
      </c>
      <c r="H582" s="16">
        <f>(OrderDetails[[#This Row],[UnitPrice]]*OrderDetails[[#This Row],[Quantity]])*(1-OrderDetails[[#This Row],[Discount]])</f>
        <v>205.19999966025352</v>
      </c>
      <c r="I582" s="15" t="str">
        <f>_xlfn.XLOOKUP(OrderDetails[[#This Row],[ProductID]],Product!A:A,Product!G:G,"Not Found")</f>
        <v>Seafood</v>
      </c>
      <c r="J582" s="15" t="str">
        <f>LOOKUP(MONTH(G582),{1,4,7,10},{"Winter","Spring","Summer","Autumn"})</f>
        <v>Winter</v>
      </c>
      <c r="K582" s="15" t="str">
        <f>_xlfn.XLOOKUP(OrderDetails[[#This Row],[ProductID]],Product!A:A,Product!B:B,"Not Found")</f>
        <v>Rogede sild</v>
      </c>
    </row>
    <row r="583" spans="1:11">
      <c r="A583" s="2">
        <v>10465</v>
      </c>
      <c r="B583" s="2">
        <v>50</v>
      </c>
      <c r="C583" s="2">
        <v>13</v>
      </c>
      <c r="D583" s="2">
        <v>25</v>
      </c>
      <c r="E583" s="4">
        <v>0</v>
      </c>
      <c r="F583" s="1" t="str">
        <f>_xlfn.XLOOKUP(A583,Orders!A:A,Orders!B:B,"not found")</f>
        <v>VAFFE</v>
      </c>
      <c r="G583" s="13">
        <f>_xlfn.XLOOKUP(OrderDetails[[#This Row],[OrderID]],Orders!A:A,Orders!C:C,"Not Found")</f>
        <v>35494</v>
      </c>
      <c r="H583" s="16">
        <f>(OrderDetails[[#This Row],[UnitPrice]]*OrderDetails[[#This Row],[Quantity]])*(1-OrderDetails[[#This Row],[Discount]])</f>
        <v>325</v>
      </c>
      <c r="I583" s="15" t="str">
        <f>_xlfn.XLOOKUP(OrderDetails[[#This Row],[ProductID]],Product!A:A,Product!G:G,"Not Found")</f>
        <v>Confections</v>
      </c>
      <c r="J583" s="15" t="str">
        <f>LOOKUP(MONTH(G583),{1,4,7,10},{"Winter","Spring","Summer","Autumn"})</f>
        <v>Winter</v>
      </c>
      <c r="K583" s="15" t="str">
        <f>_xlfn.XLOOKUP(OrderDetails[[#This Row],[ProductID]],Product!A:A,Product!B:B,"Not Found")</f>
        <v>Valkoinen suklaa</v>
      </c>
    </row>
    <row r="584" spans="1:11">
      <c r="A584" s="1">
        <v>10466</v>
      </c>
      <c r="B584" s="1">
        <v>11</v>
      </c>
      <c r="C584" s="1">
        <v>16.8</v>
      </c>
      <c r="D584" s="1">
        <v>10</v>
      </c>
      <c r="E584" s="3">
        <v>0</v>
      </c>
      <c r="F584" s="1" t="str">
        <f>_xlfn.XLOOKUP(A584,Orders!A:A,Orders!B:B,"not found")</f>
        <v>COMMI</v>
      </c>
      <c r="G584" s="13">
        <f>_xlfn.XLOOKUP(OrderDetails[[#This Row],[OrderID]],Orders!A:A,Orders!C:C,"Not Found")</f>
        <v>35495</v>
      </c>
      <c r="H584" s="16">
        <f>(OrderDetails[[#This Row],[UnitPrice]]*OrderDetails[[#This Row],[Quantity]])*(1-OrderDetails[[#This Row],[Discount]])</f>
        <v>168</v>
      </c>
      <c r="I584" s="15" t="str">
        <f>_xlfn.XLOOKUP(OrderDetails[[#This Row],[ProductID]],Product!A:A,Product!G:G,"Not Found")</f>
        <v>Dairy Products</v>
      </c>
      <c r="J584" s="15" t="str">
        <f>LOOKUP(MONTH(G584),{1,4,7,10},{"Winter","Spring","Summer","Autumn"})</f>
        <v>Winter</v>
      </c>
      <c r="K584" s="15" t="str">
        <f>_xlfn.XLOOKUP(OrderDetails[[#This Row],[ProductID]],Product!A:A,Product!B:B,"Not Found")</f>
        <v>Queso Cabrales</v>
      </c>
    </row>
    <row r="585" spans="1:11">
      <c r="A585" s="2">
        <v>10466</v>
      </c>
      <c r="B585" s="2">
        <v>46</v>
      </c>
      <c r="C585" s="2">
        <v>9.6</v>
      </c>
      <c r="D585" s="2">
        <v>5</v>
      </c>
      <c r="E585" s="4">
        <v>0</v>
      </c>
      <c r="F585" s="1" t="str">
        <f>_xlfn.XLOOKUP(A585,Orders!A:A,Orders!B:B,"not found")</f>
        <v>COMMI</v>
      </c>
      <c r="G585" s="13">
        <f>_xlfn.XLOOKUP(OrderDetails[[#This Row],[OrderID]],Orders!A:A,Orders!C:C,"Not Found")</f>
        <v>35495</v>
      </c>
      <c r="H585" s="16">
        <f>(OrderDetails[[#This Row],[UnitPrice]]*OrderDetails[[#This Row],[Quantity]])*(1-OrderDetails[[#This Row],[Discount]])</f>
        <v>48</v>
      </c>
      <c r="I585" s="15" t="str">
        <f>_xlfn.XLOOKUP(OrderDetails[[#This Row],[ProductID]],Product!A:A,Product!G:G,"Not Found")</f>
        <v>Seafood</v>
      </c>
      <c r="J585" s="15" t="str">
        <f>LOOKUP(MONTH(G585),{1,4,7,10},{"Winter","Spring","Summer","Autumn"})</f>
        <v>Winter</v>
      </c>
      <c r="K585" s="15" t="str">
        <f>_xlfn.XLOOKUP(OrderDetails[[#This Row],[ProductID]],Product!A:A,Product!B:B,"Not Found")</f>
        <v>Spegesild</v>
      </c>
    </row>
    <row r="586" spans="1:11">
      <c r="A586" s="1">
        <v>10467</v>
      </c>
      <c r="B586" s="1">
        <v>24</v>
      </c>
      <c r="C586" s="1">
        <v>3.6</v>
      </c>
      <c r="D586" s="1">
        <v>28</v>
      </c>
      <c r="E586" s="3">
        <v>0</v>
      </c>
      <c r="F586" s="1" t="str">
        <f>_xlfn.XLOOKUP(A586,Orders!A:A,Orders!B:B,"not found")</f>
        <v>MAGAA</v>
      </c>
      <c r="G586" s="13">
        <f>_xlfn.XLOOKUP(OrderDetails[[#This Row],[OrderID]],Orders!A:A,Orders!C:C,"Not Found")</f>
        <v>35495</v>
      </c>
      <c r="H586" s="16">
        <f>(OrderDetails[[#This Row],[UnitPrice]]*OrderDetails[[#This Row],[Quantity]])*(1-OrderDetails[[#This Row],[Discount]])</f>
        <v>100.8</v>
      </c>
      <c r="I586" s="15" t="str">
        <f>_xlfn.XLOOKUP(OrderDetails[[#This Row],[ProductID]],Product!A:A,Product!G:G,"Not Found")</f>
        <v>Beverages</v>
      </c>
      <c r="J586" s="15" t="str">
        <f>LOOKUP(MONTH(G586),{1,4,7,10},{"Winter","Spring","Summer","Autumn"})</f>
        <v>Winter</v>
      </c>
      <c r="K586" s="15" t="str">
        <f>_xlfn.XLOOKUP(OrderDetails[[#This Row],[ProductID]],Product!A:A,Product!B:B,"Not Found")</f>
        <v>Guaraná Fantástica</v>
      </c>
    </row>
    <row r="587" spans="1:11">
      <c r="A587" s="2">
        <v>10467</v>
      </c>
      <c r="B587" s="2">
        <v>25</v>
      </c>
      <c r="C587" s="2">
        <v>11.2</v>
      </c>
      <c r="D587" s="2">
        <v>12</v>
      </c>
      <c r="E587" s="4">
        <v>0</v>
      </c>
      <c r="F587" s="1" t="str">
        <f>_xlfn.XLOOKUP(A587,Orders!A:A,Orders!B:B,"not found")</f>
        <v>MAGAA</v>
      </c>
      <c r="G587" s="13">
        <f>_xlfn.XLOOKUP(OrderDetails[[#This Row],[OrderID]],Orders!A:A,Orders!C:C,"Not Found")</f>
        <v>35495</v>
      </c>
      <c r="H587" s="16">
        <f>(OrderDetails[[#This Row],[UnitPrice]]*OrderDetails[[#This Row],[Quantity]])*(1-OrderDetails[[#This Row],[Discount]])</f>
        <v>134.39999999999998</v>
      </c>
      <c r="I587" s="15" t="str">
        <f>_xlfn.XLOOKUP(OrderDetails[[#This Row],[ProductID]],Product!A:A,Product!G:G,"Not Found")</f>
        <v>Confections</v>
      </c>
      <c r="J587" s="15" t="str">
        <f>LOOKUP(MONTH(G587),{1,4,7,10},{"Winter","Spring","Summer","Autumn"})</f>
        <v>Winter</v>
      </c>
      <c r="K587" s="15" t="str">
        <f>_xlfn.XLOOKUP(OrderDetails[[#This Row],[ProductID]],Product!A:A,Product!B:B,"Not Found")</f>
        <v>NuNuCa Nuß-Nougat-Creme</v>
      </c>
    </row>
    <row r="588" spans="1:11">
      <c r="A588" s="1">
        <v>10468</v>
      </c>
      <c r="B588" s="1">
        <v>30</v>
      </c>
      <c r="C588" s="1">
        <v>20.7</v>
      </c>
      <c r="D588" s="1">
        <v>8</v>
      </c>
      <c r="E588" s="3">
        <v>0</v>
      </c>
      <c r="F588" s="1" t="str">
        <f>_xlfn.XLOOKUP(A588,Orders!A:A,Orders!B:B,"not found")</f>
        <v>KOENE</v>
      </c>
      <c r="G588" s="13">
        <f>_xlfn.XLOOKUP(OrderDetails[[#This Row],[OrderID]],Orders!A:A,Orders!C:C,"Not Found")</f>
        <v>35496</v>
      </c>
      <c r="H588" s="16">
        <f>(OrderDetails[[#This Row],[UnitPrice]]*OrderDetails[[#This Row],[Quantity]])*(1-OrderDetails[[#This Row],[Discount]])</f>
        <v>165.6</v>
      </c>
      <c r="I588" s="15" t="str">
        <f>_xlfn.XLOOKUP(OrderDetails[[#This Row],[ProductID]],Product!A:A,Product!G:G,"Not Found")</f>
        <v>Seafood</v>
      </c>
      <c r="J588" s="15" t="str">
        <f>LOOKUP(MONTH(G588),{1,4,7,10},{"Winter","Spring","Summer","Autumn"})</f>
        <v>Winter</v>
      </c>
      <c r="K588" s="15" t="str">
        <f>_xlfn.XLOOKUP(OrderDetails[[#This Row],[ProductID]],Product!A:A,Product!B:B,"Not Found")</f>
        <v>Nord-Ost Matjeshering</v>
      </c>
    </row>
    <row r="589" spans="1:11">
      <c r="A589" s="2">
        <v>10468</v>
      </c>
      <c r="B589" s="2">
        <v>43</v>
      </c>
      <c r="C589" s="2">
        <v>36.799999999999997</v>
      </c>
      <c r="D589" s="2">
        <v>15</v>
      </c>
      <c r="E589" s="4">
        <v>0</v>
      </c>
      <c r="F589" s="1" t="str">
        <f>_xlfn.XLOOKUP(A589,Orders!A:A,Orders!B:B,"not found")</f>
        <v>KOENE</v>
      </c>
      <c r="G589" s="13">
        <f>_xlfn.XLOOKUP(OrderDetails[[#This Row],[OrderID]],Orders!A:A,Orders!C:C,"Not Found")</f>
        <v>35496</v>
      </c>
      <c r="H589" s="16">
        <f>(OrderDetails[[#This Row],[UnitPrice]]*OrderDetails[[#This Row],[Quantity]])*(1-OrderDetails[[#This Row],[Discount]])</f>
        <v>552</v>
      </c>
      <c r="I589" s="15" t="str">
        <f>_xlfn.XLOOKUP(OrderDetails[[#This Row],[ProductID]],Product!A:A,Product!G:G,"Not Found")</f>
        <v>Beverages</v>
      </c>
      <c r="J589" s="15" t="str">
        <f>LOOKUP(MONTH(G589),{1,4,7,10},{"Winter","Spring","Summer","Autumn"})</f>
        <v>Winter</v>
      </c>
      <c r="K589" s="15" t="str">
        <f>_xlfn.XLOOKUP(OrderDetails[[#This Row],[ProductID]],Product!A:A,Product!B:B,"Not Found")</f>
        <v>Ipoh Coffee</v>
      </c>
    </row>
    <row r="590" spans="1:11">
      <c r="A590" s="1">
        <v>10469</v>
      </c>
      <c r="B590" s="1">
        <v>2</v>
      </c>
      <c r="C590" s="1">
        <v>15.2</v>
      </c>
      <c r="D590" s="1">
        <v>40</v>
      </c>
      <c r="E590" s="3">
        <v>0.15000000596046448</v>
      </c>
      <c r="F590" s="1" t="str">
        <f>_xlfn.XLOOKUP(A590,Orders!A:A,Orders!B:B,"not found")</f>
        <v>WHITC</v>
      </c>
      <c r="G590" s="13">
        <f>_xlfn.XLOOKUP(OrderDetails[[#This Row],[OrderID]],Orders!A:A,Orders!C:C,"Not Found")</f>
        <v>35499</v>
      </c>
      <c r="H590" s="16">
        <f>(OrderDetails[[#This Row],[UnitPrice]]*OrderDetails[[#This Row],[Quantity]])*(1-OrderDetails[[#This Row],[Discount]])</f>
        <v>516.7999963760376</v>
      </c>
      <c r="I590" s="15" t="str">
        <f>_xlfn.XLOOKUP(OrderDetails[[#This Row],[ProductID]],Product!A:A,Product!G:G,"Not Found")</f>
        <v>Beverages</v>
      </c>
      <c r="J590" s="15" t="str">
        <f>LOOKUP(MONTH(G590),{1,4,7,10},{"Winter","Spring","Summer","Autumn"})</f>
        <v>Winter</v>
      </c>
      <c r="K590" s="15" t="str">
        <f>_xlfn.XLOOKUP(OrderDetails[[#This Row],[ProductID]],Product!A:A,Product!B:B,"Not Found")</f>
        <v>Chang</v>
      </c>
    </row>
    <row r="591" spans="1:11">
      <c r="A591" s="2">
        <v>10469</v>
      </c>
      <c r="B591" s="2">
        <v>16</v>
      </c>
      <c r="C591" s="2">
        <v>13.9</v>
      </c>
      <c r="D591" s="2">
        <v>35</v>
      </c>
      <c r="E591" s="4">
        <v>0.15000000596046448</v>
      </c>
      <c r="F591" s="1" t="str">
        <f>_xlfn.XLOOKUP(A591,Orders!A:A,Orders!B:B,"not found")</f>
        <v>WHITC</v>
      </c>
      <c r="G591" s="13">
        <f>_xlfn.XLOOKUP(OrderDetails[[#This Row],[OrderID]],Orders!A:A,Orders!C:C,"Not Found")</f>
        <v>35499</v>
      </c>
      <c r="H591" s="16">
        <f>(OrderDetails[[#This Row],[UnitPrice]]*OrderDetails[[#This Row],[Quantity]])*(1-OrderDetails[[#This Row],[Discount]])</f>
        <v>413.52499710023403</v>
      </c>
      <c r="I591" s="15" t="str">
        <f>_xlfn.XLOOKUP(OrderDetails[[#This Row],[ProductID]],Product!A:A,Product!G:G,"Not Found")</f>
        <v>Confections</v>
      </c>
      <c r="J591" s="15" t="str">
        <f>LOOKUP(MONTH(G591),{1,4,7,10},{"Winter","Spring","Summer","Autumn"})</f>
        <v>Winter</v>
      </c>
      <c r="K591" s="15" t="str">
        <f>_xlfn.XLOOKUP(OrderDetails[[#This Row],[ProductID]],Product!A:A,Product!B:B,"Not Found")</f>
        <v>Pavlova</v>
      </c>
    </row>
    <row r="592" spans="1:11">
      <c r="A592" s="1">
        <v>10469</v>
      </c>
      <c r="B592" s="1">
        <v>44</v>
      </c>
      <c r="C592" s="1">
        <v>15.5</v>
      </c>
      <c r="D592" s="1">
        <v>2</v>
      </c>
      <c r="E592" s="3">
        <v>0.15000000596046448</v>
      </c>
      <c r="F592" s="1" t="str">
        <f>_xlfn.XLOOKUP(A592,Orders!A:A,Orders!B:B,"not found")</f>
        <v>WHITC</v>
      </c>
      <c r="G592" s="13">
        <f>_xlfn.XLOOKUP(OrderDetails[[#This Row],[OrderID]],Orders!A:A,Orders!C:C,"Not Found")</f>
        <v>35499</v>
      </c>
      <c r="H592" s="16">
        <f>(OrderDetails[[#This Row],[UnitPrice]]*OrderDetails[[#This Row],[Quantity]])*(1-OrderDetails[[#This Row],[Discount]])</f>
        <v>26.349999815225601</v>
      </c>
      <c r="I592" s="15" t="str">
        <f>_xlfn.XLOOKUP(OrderDetails[[#This Row],[ProductID]],Product!A:A,Product!G:G,"Not Found")</f>
        <v>Condiments</v>
      </c>
      <c r="J592" s="15" t="str">
        <f>LOOKUP(MONTH(G592),{1,4,7,10},{"Winter","Spring","Summer","Autumn"})</f>
        <v>Winter</v>
      </c>
      <c r="K592" s="15" t="str">
        <f>_xlfn.XLOOKUP(OrderDetails[[#This Row],[ProductID]],Product!A:A,Product!B:B,"Not Found")</f>
        <v>Gula Malacca</v>
      </c>
    </row>
    <row r="593" spans="1:11">
      <c r="A593" s="2">
        <v>10470</v>
      </c>
      <c r="B593" s="2">
        <v>18</v>
      </c>
      <c r="C593" s="2">
        <v>50</v>
      </c>
      <c r="D593" s="2">
        <v>30</v>
      </c>
      <c r="E593" s="4">
        <v>0</v>
      </c>
      <c r="F593" s="1" t="str">
        <f>_xlfn.XLOOKUP(A593,Orders!A:A,Orders!B:B,"not found")</f>
        <v>BONAP</v>
      </c>
      <c r="G593" s="13">
        <f>_xlfn.XLOOKUP(OrderDetails[[#This Row],[OrderID]],Orders!A:A,Orders!C:C,"Not Found")</f>
        <v>35500</v>
      </c>
      <c r="H593" s="16">
        <f>(OrderDetails[[#This Row],[UnitPrice]]*OrderDetails[[#This Row],[Quantity]])*(1-OrderDetails[[#This Row],[Discount]])</f>
        <v>1500</v>
      </c>
      <c r="I593" s="15" t="str">
        <f>_xlfn.XLOOKUP(OrderDetails[[#This Row],[ProductID]],Product!A:A,Product!G:G,"Not Found")</f>
        <v>Seafood</v>
      </c>
      <c r="J593" s="15" t="str">
        <f>LOOKUP(MONTH(G593),{1,4,7,10},{"Winter","Spring","Summer","Autumn"})</f>
        <v>Winter</v>
      </c>
      <c r="K593" s="15" t="str">
        <f>_xlfn.XLOOKUP(OrderDetails[[#This Row],[ProductID]],Product!A:A,Product!B:B,"Not Found")</f>
        <v>Carnarvon Tigers</v>
      </c>
    </row>
    <row r="594" spans="1:11">
      <c r="A594" s="1">
        <v>10470</v>
      </c>
      <c r="B594" s="1">
        <v>23</v>
      </c>
      <c r="C594" s="1">
        <v>7.2</v>
      </c>
      <c r="D594" s="1">
        <v>15</v>
      </c>
      <c r="E594" s="3">
        <v>0</v>
      </c>
      <c r="F594" s="1" t="str">
        <f>_xlfn.XLOOKUP(A594,Orders!A:A,Orders!B:B,"not found")</f>
        <v>BONAP</v>
      </c>
      <c r="G594" s="13">
        <f>_xlfn.XLOOKUP(OrderDetails[[#This Row],[OrderID]],Orders!A:A,Orders!C:C,"Not Found")</f>
        <v>35500</v>
      </c>
      <c r="H594" s="16">
        <f>(OrderDetails[[#This Row],[UnitPrice]]*OrderDetails[[#This Row],[Quantity]])*(1-OrderDetails[[#This Row],[Discount]])</f>
        <v>108</v>
      </c>
      <c r="I594" s="15" t="str">
        <f>_xlfn.XLOOKUP(OrderDetails[[#This Row],[ProductID]],Product!A:A,Product!G:G,"Not Found")</f>
        <v>Grains/Cereals</v>
      </c>
      <c r="J594" s="15" t="str">
        <f>LOOKUP(MONTH(G594),{1,4,7,10},{"Winter","Spring","Summer","Autumn"})</f>
        <v>Winter</v>
      </c>
      <c r="K594" s="15" t="str">
        <f>_xlfn.XLOOKUP(OrderDetails[[#This Row],[ProductID]],Product!A:A,Product!B:B,"Not Found")</f>
        <v>Tunnbröd</v>
      </c>
    </row>
    <row r="595" spans="1:11">
      <c r="A595" s="2">
        <v>10470</v>
      </c>
      <c r="B595" s="2">
        <v>64</v>
      </c>
      <c r="C595" s="2">
        <v>26.6</v>
      </c>
      <c r="D595" s="2">
        <v>8</v>
      </c>
      <c r="E595" s="4">
        <v>0</v>
      </c>
      <c r="F595" s="1" t="str">
        <f>_xlfn.XLOOKUP(A595,Orders!A:A,Orders!B:B,"not found")</f>
        <v>BONAP</v>
      </c>
      <c r="G595" s="13">
        <f>_xlfn.XLOOKUP(OrderDetails[[#This Row],[OrderID]],Orders!A:A,Orders!C:C,"Not Found")</f>
        <v>35500</v>
      </c>
      <c r="H595" s="16">
        <f>(OrderDetails[[#This Row],[UnitPrice]]*OrderDetails[[#This Row],[Quantity]])*(1-OrderDetails[[#This Row],[Discount]])</f>
        <v>212.8</v>
      </c>
      <c r="I595" s="15" t="str">
        <f>_xlfn.XLOOKUP(OrderDetails[[#This Row],[ProductID]],Product!A:A,Product!G:G,"Not Found")</f>
        <v>Grains/Cereals</v>
      </c>
      <c r="J595" s="15" t="str">
        <f>LOOKUP(MONTH(G595),{1,4,7,10},{"Winter","Spring","Summer","Autumn"})</f>
        <v>Winter</v>
      </c>
      <c r="K595" s="15" t="str">
        <f>_xlfn.XLOOKUP(OrderDetails[[#This Row],[ProductID]],Product!A:A,Product!B:B,"Not Found")</f>
        <v>Wimmers gute Semmelknödel</v>
      </c>
    </row>
    <row r="596" spans="1:11">
      <c r="A596" s="1">
        <v>10471</v>
      </c>
      <c r="B596" s="1">
        <v>7</v>
      </c>
      <c r="C596" s="1">
        <v>24</v>
      </c>
      <c r="D596" s="1">
        <v>30</v>
      </c>
      <c r="E596" s="3">
        <v>0</v>
      </c>
      <c r="F596" s="1" t="str">
        <f>_xlfn.XLOOKUP(A596,Orders!A:A,Orders!B:B,"not found")</f>
        <v>BSBEV</v>
      </c>
      <c r="G596" s="13">
        <f>_xlfn.XLOOKUP(OrderDetails[[#This Row],[OrderID]],Orders!A:A,Orders!C:C,"Not Found")</f>
        <v>35500</v>
      </c>
      <c r="H596" s="16">
        <f>(OrderDetails[[#This Row],[UnitPrice]]*OrderDetails[[#This Row],[Quantity]])*(1-OrderDetails[[#This Row],[Discount]])</f>
        <v>720</v>
      </c>
      <c r="I596" s="15" t="str">
        <f>_xlfn.XLOOKUP(OrderDetails[[#This Row],[ProductID]],Product!A:A,Product!G:G,"Not Found")</f>
        <v>Produce</v>
      </c>
      <c r="J596" s="15" t="str">
        <f>LOOKUP(MONTH(G596),{1,4,7,10},{"Winter","Spring","Summer","Autumn"})</f>
        <v>Winter</v>
      </c>
      <c r="K596" s="15" t="str">
        <f>_xlfn.XLOOKUP(OrderDetails[[#This Row],[ProductID]],Product!A:A,Product!B:B,"Not Found")</f>
        <v>Uncle Bob's Organic Dried Pears</v>
      </c>
    </row>
    <row r="597" spans="1:11">
      <c r="A597" s="2">
        <v>10471</v>
      </c>
      <c r="B597" s="2">
        <v>56</v>
      </c>
      <c r="C597" s="2">
        <v>30.4</v>
      </c>
      <c r="D597" s="2">
        <v>20</v>
      </c>
      <c r="E597" s="4">
        <v>0</v>
      </c>
      <c r="F597" s="1" t="str">
        <f>_xlfn.XLOOKUP(A597,Orders!A:A,Orders!B:B,"not found")</f>
        <v>BSBEV</v>
      </c>
      <c r="G597" s="13">
        <f>_xlfn.XLOOKUP(OrderDetails[[#This Row],[OrderID]],Orders!A:A,Orders!C:C,"Not Found")</f>
        <v>35500</v>
      </c>
      <c r="H597" s="16">
        <f>(OrderDetails[[#This Row],[UnitPrice]]*OrderDetails[[#This Row],[Quantity]])*(1-OrderDetails[[#This Row],[Discount]])</f>
        <v>608</v>
      </c>
      <c r="I597" s="15" t="str">
        <f>_xlfn.XLOOKUP(OrderDetails[[#This Row],[ProductID]],Product!A:A,Product!G:G,"Not Found")</f>
        <v>Grains/Cereals</v>
      </c>
      <c r="J597" s="15" t="str">
        <f>LOOKUP(MONTH(G597),{1,4,7,10},{"Winter","Spring","Summer","Autumn"})</f>
        <v>Winter</v>
      </c>
      <c r="K597" s="15" t="str">
        <f>_xlfn.XLOOKUP(OrderDetails[[#This Row],[ProductID]],Product!A:A,Product!B:B,"Not Found")</f>
        <v>Gnocchi di nonna Alice</v>
      </c>
    </row>
    <row r="598" spans="1:11">
      <c r="A598" s="1">
        <v>10472</v>
      </c>
      <c r="B598" s="1">
        <v>24</v>
      </c>
      <c r="C598" s="1">
        <v>3.6</v>
      </c>
      <c r="D598" s="1">
        <v>80</v>
      </c>
      <c r="E598" s="3">
        <v>5.000000074505806E-2</v>
      </c>
      <c r="F598" s="1" t="str">
        <f>_xlfn.XLOOKUP(A598,Orders!A:A,Orders!B:B,"not found")</f>
        <v>SEVES</v>
      </c>
      <c r="G598" s="13">
        <f>_xlfn.XLOOKUP(OrderDetails[[#This Row],[OrderID]],Orders!A:A,Orders!C:C,"Not Found")</f>
        <v>35501</v>
      </c>
      <c r="H598" s="16">
        <f>(OrderDetails[[#This Row],[UnitPrice]]*OrderDetails[[#This Row],[Quantity]])*(1-OrderDetails[[#This Row],[Discount]])</f>
        <v>273.59999978542328</v>
      </c>
      <c r="I598" s="15" t="str">
        <f>_xlfn.XLOOKUP(OrderDetails[[#This Row],[ProductID]],Product!A:A,Product!G:G,"Not Found")</f>
        <v>Beverages</v>
      </c>
      <c r="J598" s="15" t="str">
        <f>LOOKUP(MONTH(G598),{1,4,7,10},{"Winter","Spring","Summer","Autumn"})</f>
        <v>Winter</v>
      </c>
      <c r="K598" s="15" t="str">
        <f>_xlfn.XLOOKUP(OrderDetails[[#This Row],[ProductID]],Product!A:A,Product!B:B,"Not Found")</f>
        <v>Guaraná Fantástica</v>
      </c>
    </row>
    <row r="599" spans="1:11">
      <c r="A599" s="2">
        <v>10472</v>
      </c>
      <c r="B599" s="2">
        <v>51</v>
      </c>
      <c r="C599" s="2">
        <v>42.4</v>
      </c>
      <c r="D599" s="2">
        <v>18</v>
      </c>
      <c r="E599" s="4">
        <v>0</v>
      </c>
      <c r="F599" s="1" t="str">
        <f>_xlfn.XLOOKUP(A599,Orders!A:A,Orders!B:B,"not found")</f>
        <v>SEVES</v>
      </c>
      <c r="G599" s="13">
        <f>_xlfn.XLOOKUP(OrderDetails[[#This Row],[OrderID]],Orders!A:A,Orders!C:C,"Not Found")</f>
        <v>35501</v>
      </c>
      <c r="H599" s="16">
        <f>(OrderDetails[[#This Row],[UnitPrice]]*OrderDetails[[#This Row],[Quantity]])*(1-OrderDetails[[#This Row],[Discount]])</f>
        <v>763.19999999999993</v>
      </c>
      <c r="I599" s="15" t="str">
        <f>_xlfn.XLOOKUP(OrderDetails[[#This Row],[ProductID]],Product!A:A,Product!G:G,"Not Found")</f>
        <v>Produce</v>
      </c>
      <c r="J599" s="15" t="str">
        <f>LOOKUP(MONTH(G599),{1,4,7,10},{"Winter","Spring","Summer","Autumn"})</f>
        <v>Winter</v>
      </c>
      <c r="K599" s="15" t="str">
        <f>_xlfn.XLOOKUP(OrderDetails[[#This Row],[ProductID]],Product!A:A,Product!B:B,"Not Found")</f>
        <v>Manjimup Dried Apples</v>
      </c>
    </row>
    <row r="600" spans="1:11">
      <c r="A600" s="1">
        <v>10473</v>
      </c>
      <c r="B600" s="1">
        <v>33</v>
      </c>
      <c r="C600" s="1">
        <v>2</v>
      </c>
      <c r="D600" s="1">
        <v>12</v>
      </c>
      <c r="E600" s="3">
        <v>0</v>
      </c>
      <c r="F600" s="1" t="str">
        <f>_xlfn.XLOOKUP(A600,Orders!A:A,Orders!B:B,"not found")</f>
        <v>ISLAT</v>
      </c>
      <c r="G600" s="13">
        <f>_xlfn.XLOOKUP(OrderDetails[[#This Row],[OrderID]],Orders!A:A,Orders!C:C,"Not Found")</f>
        <v>35502</v>
      </c>
      <c r="H600" s="16">
        <f>(OrderDetails[[#This Row],[UnitPrice]]*OrderDetails[[#This Row],[Quantity]])*(1-OrderDetails[[#This Row],[Discount]])</f>
        <v>24</v>
      </c>
      <c r="I600" s="15" t="str">
        <f>_xlfn.XLOOKUP(OrderDetails[[#This Row],[ProductID]],Product!A:A,Product!G:G,"Not Found")</f>
        <v>Dairy Products</v>
      </c>
      <c r="J600" s="15" t="str">
        <f>LOOKUP(MONTH(G600),{1,4,7,10},{"Winter","Spring","Summer","Autumn"})</f>
        <v>Winter</v>
      </c>
      <c r="K600" s="15" t="str">
        <f>_xlfn.XLOOKUP(OrderDetails[[#This Row],[ProductID]],Product!A:A,Product!B:B,"Not Found")</f>
        <v>Geitost</v>
      </c>
    </row>
    <row r="601" spans="1:11">
      <c r="A601" s="2">
        <v>10473</v>
      </c>
      <c r="B601" s="2">
        <v>71</v>
      </c>
      <c r="C601" s="2">
        <v>17.2</v>
      </c>
      <c r="D601" s="2">
        <v>12</v>
      </c>
      <c r="E601" s="4">
        <v>0</v>
      </c>
      <c r="F601" s="1" t="str">
        <f>_xlfn.XLOOKUP(A601,Orders!A:A,Orders!B:B,"not found")</f>
        <v>ISLAT</v>
      </c>
      <c r="G601" s="13">
        <f>_xlfn.XLOOKUP(OrderDetails[[#This Row],[OrderID]],Orders!A:A,Orders!C:C,"Not Found")</f>
        <v>35502</v>
      </c>
      <c r="H601" s="16">
        <f>(OrderDetails[[#This Row],[UnitPrice]]*OrderDetails[[#This Row],[Quantity]])*(1-OrderDetails[[#This Row],[Discount]])</f>
        <v>206.39999999999998</v>
      </c>
      <c r="I601" s="15" t="str">
        <f>_xlfn.XLOOKUP(OrderDetails[[#This Row],[ProductID]],Product!A:A,Product!G:G,"Not Found")</f>
        <v>Dairy Products</v>
      </c>
      <c r="J601" s="15" t="str">
        <f>LOOKUP(MONTH(G601),{1,4,7,10},{"Winter","Spring","Summer","Autumn"})</f>
        <v>Winter</v>
      </c>
      <c r="K601" s="15" t="str">
        <f>_xlfn.XLOOKUP(OrderDetails[[#This Row],[ProductID]],Product!A:A,Product!B:B,"Not Found")</f>
        <v>Flotemysost</v>
      </c>
    </row>
    <row r="602" spans="1:11">
      <c r="A602" s="1">
        <v>10474</v>
      </c>
      <c r="B602" s="1">
        <v>14</v>
      </c>
      <c r="C602" s="1">
        <v>18.600000000000001</v>
      </c>
      <c r="D602" s="1">
        <v>12</v>
      </c>
      <c r="E602" s="3">
        <v>0</v>
      </c>
      <c r="F602" s="1" t="str">
        <f>_xlfn.XLOOKUP(A602,Orders!A:A,Orders!B:B,"not found")</f>
        <v>PERIC</v>
      </c>
      <c r="G602" s="13">
        <f>_xlfn.XLOOKUP(OrderDetails[[#This Row],[OrderID]],Orders!A:A,Orders!C:C,"Not Found")</f>
        <v>35502</v>
      </c>
      <c r="H602" s="16">
        <f>(OrderDetails[[#This Row],[UnitPrice]]*OrderDetails[[#This Row],[Quantity]])*(1-OrderDetails[[#This Row],[Discount]])</f>
        <v>223.20000000000002</v>
      </c>
      <c r="I602" s="15" t="str">
        <f>_xlfn.XLOOKUP(OrderDetails[[#This Row],[ProductID]],Product!A:A,Product!G:G,"Not Found")</f>
        <v>Produce</v>
      </c>
      <c r="J602" s="15" t="str">
        <f>LOOKUP(MONTH(G602),{1,4,7,10},{"Winter","Spring","Summer","Autumn"})</f>
        <v>Winter</v>
      </c>
      <c r="K602" s="15" t="str">
        <f>_xlfn.XLOOKUP(OrderDetails[[#This Row],[ProductID]],Product!A:A,Product!B:B,"Not Found")</f>
        <v>Tofu</v>
      </c>
    </row>
    <row r="603" spans="1:11">
      <c r="A603" s="2">
        <v>10474</v>
      </c>
      <c r="B603" s="2">
        <v>28</v>
      </c>
      <c r="C603" s="2">
        <v>36.4</v>
      </c>
      <c r="D603" s="2">
        <v>18</v>
      </c>
      <c r="E603" s="4">
        <v>0</v>
      </c>
      <c r="F603" s="1" t="str">
        <f>_xlfn.XLOOKUP(A603,Orders!A:A,Orders!B:B,"not found")</f>
        <v>PERIC</v>
      </c>
      <c r="G603" s="13">
        <f>_xlfn.XLOOKUP(OrderDetails[[#This Row],[OrderID]],Orders!A:A,Orders!C:C,"Not Found")</f>
        <v>35502</v>
      </c>
      <c r="H603" s="16">
        <f>(OrderDetails[[#This Row],[UnitPrice]]*OrderDetails[[#This Row],[Quantity]])*(1-OrderDetails[[#This Row],[Discount]])</f>
        <v>655.19999999999993</v>
      </c>
      <c r="I603" s="15" t="str">
        <f>_xlfn.XLOOKUP(OrderDetails[[#This Row],[ProductID]],Product!A:A,Product!G:G,"Not Found")</f>
        <v>Produce</v>
      </c>
      <c r="J603" s="15" t="str">
        <f>LOOKUP(MONTH(G603),{1,4,7,10},{"Winter","Spring","Summer","Autumn"})</f>
        <v>Winter</v>
      </c>
      <c r="K603" s="15" t="str">
        <f>_xlfn.XLOOKUP(OrderDetails[[#This Row],[ProductID]],Product!A:A,Product!B:B,"Not Found")</f>
        <v>Rössle Sauerkraut</v>
      </c>
    </row>
    <row r="604" spans="1:11">
      <c r="A604" s="1">
        <v>10474</v>
      </c>
      <c r="B604" s="1">
        <v>40</v>
      </c>
      <c r="C604" s="1">
        <v>14.7</v>
      </c>
      <c r="D604" s="1">
        <v>21</v>
      </c>
      <c r="E604" s="3">
        <v>0</v>
      </c>
      <c r="F604" s="1" t="str">
        <f>_xlfn.XLOOKUP(A604,Orders!A:A,Orders!B:B,"not found")</f>
        <v>PERIC</v>
      </c>
      <c r="G604" s="13">
        <f>_xlfn.XLOOKUP(OrderDetails[[#This Row],[OrderID]],Orders!A:A,Orders!C:C,"Not Found")</f>
        <v>35502</v>
      </c>
      <c r="H604" s="16">
        <f>(OrderDetails[[#This Row],[UnitPrice]]*OrderDetails[[#This Row],[Quantity]])*(1-OrderDetails[[#This Row],[Discount]])</f>
        <v>308.7</v>
      </c>
      <c r="I604" s="15" t="str">
        <f>_xlfn.XLOOKUP(OrderDetails[[#This Row],[ProductID]],Product!A:A,Product!G:G,"Not Found")</f>
        <v>Seafood</v>
      </c>
      <c r="J604" s="15" t="str">
        <f>LOOKUP(MONTH(G604),{1,4,7,10},{"Winter","Spring","Summer","Autumn"})</f>
        <v>Winter</v>
      </c>
      <c r="K604" s="15" t="str">
        <f>_xlfn.XLOOKUP(OrderDetails[[#This Row],[ProductID]],Product!A:A,Product!B:B,"Not Found")</f>
        <v>Boston Crab Meat</v>
      </c>
    </row>
    <row r="605" spans="1:11">
      <c r="A605" s="2">
        <v>10474</v>
      </c>
      <c r="B605" s="2">
        <v>75</v>
      </c>
      <c r="C605" s="2">
        <v>6.2</v>
      </c>
      <c r="D605" s="2">
        <v>10</v>
      </c>
      <c r="E605" s="4">
        <v>0</v>
      </c>
      <c r="F605" s="1" t="str">
        <f>_xlfn.XLOOKUP(A605,Orders!A:A,Orders!B:B,"not found")</f>
        <v>PERIC</v>
      </c>
      <c r="G605" s="13">
        <f>_xlfn.XLOOKUP(OrderDetails[[#This Row],[OrderID]],Orders!A:A,Orders!C:C,"Not Found")</f>
        <v>35502</v>
      </c>
      <c r="H605" s="16">
        <f>(OrderDetails[[#This Row],[UnitPrice]]*OrderDetails[[#This Row],[Quantity]])*(1-OrderDetails[[#This Row],[Discount]])</f>
        <v>62</v>
      </c>
      <c r="I605" s="15" t="str">
        <f>_xlfn.XLOOKUP(OrderDetails[[#This Row],[ProductID]],Product!A:A,Product!G:G,"Not Found")</f>
        <v>Beverages</v>
      </c>
      <c r="J605" s="15" t="str">
        <f>LOOKUP(MONTH(G605),{1,4,7,10},{"Winter","Spring","Summer","Autumn"})</f>
        <v>Winter</v>
      </c>
      <c r="K605" s="15" t="str">
        <f>_xlfn.XLOOKUP(OrderDetails[[#This Row],[ProductID]],Product!A:A,Product!B:B,"Not Found")</f>
        <v>Rhönbräu Klosterbier</v>
      </c>
    </row>
    <row r="606" spans="1:11">
      <c r="A606" s="1">
        <v>10475</v>
      </c>
      <c r="B606" s="1">
        <v>31</v>
      </c>
      <c r="C606" s="1">
        <v>10</v>
      </c>
      <c r="D606" s="1">
        <v>35</v>
      </c>
      <c r="E606" s="3">
        <v>0.15000000596046448</v>
      </c>
      <c r="F606" s="1" t="str">
        <f>_xlfn.XLOOKUP(A606,Orders!A:A,Orders!B:B,"not found")</f>
        <v>SUPRD</v>
      </c>
      <c r="G606" s="13">
        <f>_xlfn.XLOOKUP(OrderDetails[[#This Row],[OrderID]],Orders!A:A,Orders!C:C,"Not Found")</f>
        <v>35503</v>
      </c>
      <c r="H606" s="16">
        <f>(OrderDetails[[#This Row],[UnitPrice]]*OrderDetails[[#This Row],[Quantity]])*(1-OrderDetails[[#This Row],[Discount]])</f>
        <v>297.49999791383743</v>
      </c>
      <c r="I606" s="15" t="str">
        <f>_xlfn.XLOOKUP(OrderDetails[[#This Row],[ProductID]],Product!A:A,Product!G:G,"Not Found")</f>
        <v>Dairy Products</v>
      </c>
      <c r="J606" s="15" t="str">
        <f>LOOKUP(MONTH(G606),{1,4,7,10},{"Winter","Spring","Summer","Autumn"})</f>
        <v>Winter</v>
      </c>
      <c r="K606" s="15" t="str">
        <f>_xlfn.XLOOKUP(OrderDetails[[#This Row],[ProductID]],Product!A:A,Product!B:B,"Not Found")</f>
        <v>Gorgonzola Telino</v>
      </c>
    </row>
    <row r="607" spans="1:11">
      <c r="A607" s="2">
        <v>10475</v>
      </c>
      <c r="B607" s="2">
        <v>66</v>
      </c>
      <c r="C607" s="2">
        <v>13.6</v>
      </c>
      <c r="D607" s="2">
        <v>60</v>
      </c>
      <c r="E607" s="4">
        <v>0.15000000596046448</v>
      </c>
      <c r="F607" s="1" t="str">
        <f>_xlfn.XLOOKUP(A607,Orders!A:A,Orders!B:B,"not found")</f>
        <v>SUPRD</v>
      </c>
      <c r="G607" s="13">
        <f>_xlfn.XLOOKUP(OrderDetails[[#This Row],[OrderID]],Orders!A:A,Orders!C:C,"Not Found")</f>
        <v>35503</v>
      </c>
      <c r="H607" s="16">
        <f>(OrderDetails[[#This Row],[UnitPrice]]*OrderDetails[[#This Row],[Quantity]])*(1-OrderDetails[[#This Row],[Discount]])</f>
        <v>693.59999513626099</v>
      </c>
      <c r="I607" s="15" t="str">
        <f>_xlfn.XLOOKUP(OrderDetails[[#This Row],[ProductID]],Product!A:A,Product!G:G,"Not Found")</f>
        <v>Condiments</v>
      </c>
      <c r="J607" s="15" t="str">
        <f>LOOKUP(MONTH(G607),{1,4,7,10},{"Winter","Spring","Summer","Autumn"})</f>
        <v>Winter</v>
      </c>
      <c r="K607" s="15" t="str">
        <f>_xlfn.XLOOKUP(OrderDetails[[#This Row],[ProductID]],Product!A:A,Product!B:B,"Not Found")</f>
        <v>Louisiana Hot Spiced Okra</v>
      </c>
    </row>
    <row r="608" spans="1:11">
      <c r="A608" s="1">
        <v>10475</v>
      </c>
      <c r="B608" s="1">
        <v>76</v>
      </c>
      <c r="C608" s="1">
        <v>14.4</v>
      </c>
      <c r="D608" s="1">
        <v>42</v>
      </c>
      <c r="E608" s="3">
        <v>0.15000000596046448</v>
      </c>
      <c r="F608" s="1" t="str">
        <f>_xlfn.XLOOKUP(A608,Orders!A:A,Orders!B:B,"not found")</f>
        <v>SUPRD</v>
      </c>
      <c r="G608" s="13">
        <f>_xlfn.XLOOKUP(OrderDetails[[#This Row],[OrderID]],Orders!A:A,Orders!C:C,"Not Found")</f>
        <v>35503</v>
      </c>
      <c r="H608" s="16">
        <f>(OrderDetails[[#This Row],[UnitPrice]]*OrderDetails[[#This Row],[Quantity]])*(1-OrderDetails[[#This Row],[Discount]])</f>
        <v>514.07999639511115</v>
      </c>
      <c r="I608" s="15" t="str">
        <f>_xlfn.XLOOKUP(OrderDetails[[#This Row],[ProductID]],Product!A:A,Product!G:G,"Not Found")</f>
        <v>Beverages</v>
      </c>
      <c r="J608" s="15" t="str">
        <f>LOOKUP(MONTH(G608),{1,4,7,10},{"Winter","Spring","Summer","Autumn"})</f>
        <v>Winter</v>
      </c>
      <c r="K608" s="15" t="str">
        <f>_xlfn.XLOOKUP(OrderDetails[[#This Row],[ProductID]],Product!A:A,Product!B:B,"Not Found")</f>
        <v>Lakkalikööri</v>
      </c>
    </row>
    <row r="609" spans="1:11">
      <c r="A609" s="2">
        <v>10476</v>
      </c>
      <c r="B609" s="2">
        <v>55</v>
      </c>
      <c r="C609" s="2">
        <v>19.2</v>
      </c>
      <c r="D609" s="2">
        <v>2</v>
      </c>
      <c r="E609" s="4">
        <v>5.000000074505806E-2</v>
      </c>
      <c r="F609" s="1" t="str">
        <f>_xlfn.XLOOKUP(A609,Orders!A:A,Orders!B:B,"not found")</f>
        <v>HILAA</v>
      </c>
      <c r="G609" s="13">
        <f>_xlfn.XLOOKUP(OrderDetails[[#This Row],[OrderID]],Orders!A:A,Orders!C:C,"Not Found")</f>
        <v>35506</v>
      </c>
      <c r="H609" s="16">
        <f>(OrderDetails[[#This Row],[UnitPrice]]*OrderDetails[[#This Row],[Quantity]])*(1-OrderDetails[[#This Row],[Discount]])</f>
        <v>36.479999971389766</v>
      </c>
      <c r="I609" s="15" t="str">
        <f>_xlfn.XLOOKUP(OrderDetails[[#This Row],[ProductID]],Product!A:A,Product!G:G,"Not Found")</f>
        <v>Meat/Poultry</v>
      </c>
      <c r="J609" s="15" t="str">
        <f>LOOKUP(MONTH(G609),{1,4,7,10},{"Winter","Spring","Summer","Autumn"})</f>
        <v>Winter</v>
      </c>
      <c r="K609" s="15" t="str">
        <f>_xlfn.XLOOKUP(OrderDetails[[#This Row],[ProductID]],Product!A:A,Product!B:B,"Not Found")</f>
        <v>Pâté chinois</v>
      </c>
    </row>
    <row r="610" spans="1:11">
      <c r="A610" s="1">
        <v>10476</v>
      </c>
      <c r="B610" s="1">
        <v>70</v>
      </c>
      <c r="C610" s="1">
        <v>12</v>
      </c>
      <c r="D610" s="1">
        <v>12</v>
      </c>
      <c r="E610" s="3">
        <v>0</v>
      </c>
      <c r="F610" s="1" t="str">
        <f>_xlfn.XLOOKUP(A610,Orders!A:A,Orders!B:B,"not found")</f>
        <v>HILAA</v>
      </c>
      <c r="G610" s="13">
        <f>_xlfn.XLOOKUP(OrderDetails[[#This Row],[OrderID]],Orders!A:A,Orders!C:C,"Not Found")</f>
        <v>35506</v>
      </c>
      <c r="H610" s="16">
        <f>(OrderDetails[[#This Row],[UnitPrice]]*OrderDetails[[#This Row],[Quantity]])*(1-OrderDetails[[#This Row],[Discount]])</f>
        <v>144</v>
      </c>
      <c r="I610" s="15" t="str">
        <f>_xlfn.XLOOKUP(OrderDetails[[#This Row],[ProductID]],Product!A:A,Product!G:G,"Not Found")</f>
        <v>Beverages</v>
      </c>
      <c r="J610" s="15" t="str">
        <f>LOOKUP(MONTH(G610),{1,4,7,10},{"Winter","Spring","Summer","Autumn"})</f>
        <v>Winter</v>
      </c>
      <c r="K610" s="15" t="str">
        <f>_xlfn.XLOOKUP(OrderDetails[[#This Row],[ProductID]],Product!A:A,Product!B:B,"Not Found")</f>
        <v>Outback Lager</v>
      </c>
    </row>
    <row r="611" spans="1:11">
      <c r="A611" s="2">
        <v>10477</v>
      </c>
      <c r="B611" s="2">
        <v>1</v>
      </c>
      <c r="C611" s="2">
        <v>14.4</v>
      </c>
      <c r="D611" s="2">
        <v>15</v>
      </c>
      <c r="E611" s="4">
        <v>0</v>
      </c>
      <c r="F611" s="1" t="str">
        <f>_xlfn.XLOOKUP(A611,Orders!A:A,Orders!B:B,"not found")</f>
        <v>PRINI</v>
      </c>
      <c r="G611" s="13">
        <f>_xlfn.XLOOKUP(OrderDetails[[#This Row],[OrderID]],Orders!A:A,Orders!C:C,"Not Found")</f>
        <v>35506</v>
      </c>
      <c r="H611" s="16">
        <f>(OrderDetails[[#This Row],[UnitPrice]]*OrderDetails[[#This Row],[Quantity]])*(1-OrderDetails[[#This Row],[Discount]])</f>
        <v>216</v>
      </c>
      <c r="I611" s="15" t="str">
        <f>_xlfn.XLOOKUP(OrderDetails[[#This Row],[ProductID]],Product!A:A,Product!G:G,"Not Found")</f>
        <v>Beverages</v>
      </c>
      <c r="J611" s="15" t="str">
        <f>LOOKUP(MONTH(G611),{1,4,7,10},{"Winter","Spring","Summer","Autumn"})</f>
        <v>Winter</v>
      </c>
      <c r="K611" s="15" t="str">
        <f>_xlfn.XLOOKUP(OrderDetails[[#This Row],[ProductID]],Product!A:A,Product!B:B,"Not Found")</f>
        <v>Chai</v>
      </c>
    </row>
    <row r="612" spans="1:11">
      <c r="A612" s="1">
        <v>10477</v>
      </c>
      <c r="B612" s="1">
        <v>21</v>
      </c>
      <c r="C612" s="1">
        <v>8</v>
      </c>
      <c r="D612" s="1">
        <v>21</v>
      </c>
      <c r="E612" s="3">
        <v>0.25</v>
      </c>
      <c r="F612" s="1" t="str">
        <f>_xlfn.XLOOKUP(A612,Orders!A:A,Orders!B:B,"not found")</f>
        <v>PRINI</v>
      </c>
      <c r="G612" s="13">
        <f>_xlfn.XLOOKUP(OrderDetails[[#This Row],[OrderID]],Orders!A:A,Orders!C:C,"Not Found")</f>
        <v>35506</v>
      </c>
      <c r="H612" s="16">
        <f>(OrderDetails[[#This Row],[UnitPrice]]*OrderDetails[[#This Row],[Quantity]])*(1-OrderDetails[[#This Row],[Discount]])</f>
        <v>126</v>
      </c>
      <c r="I612" s="15" t="str">
        <f>_xlfn.XLOOKUP(OrderDetails[[#This Row],[ProductID]],Product!A:A,Product!G:G,"Not Found")</f>
        <v>Confections</v>
      </c>
      <c r="J612" s="15" t="str">
        <f>LOOKUP(MONTH(G612),{1,4,7,10},{"Winter","Spring","Summer","Autumn"})</f>
        <v>Winter</v>
      </c>
      <c r="K612" s="15" t="str">
        <f>_xlfn.XLOOKUP(OrderDetails[[#This Row],[ProductID]],Product!A:A,Product!B:B,"Not Found")</f>
        <v>Sir Rodney's Scones</v>
      </c>
    </row>
    <row r="613" spans="1:11">
      <c r="A613" s="2">
        <v>10477</v>
      </c>
      <c r="B613" s="2">
        <v>39</v>
      </c>
      <c r="C613" s="2">
        <v>14.4</v>
      </c>
      <c r="D613" s="2">
        <v>20</v>
      </c>
      <c r="E613" s="4">
        <v>0.25</v>
      </c>
      <c r="F613" s="1" t="str">
        <f>_xlfn.XLOOKUP(A613,Orders!A:A,Orders!B:B,"not found")</f>
        <v>PRINI</v>
      </c>
      <c r="G613" s="13">
        <f>_xlfn.XLOOKUP(OrderDetails[[#This Row],[OrderID]],Orders!A:A,Orders!C:C,"Not Found")</f>
        <v>35506</v>
      </c>
      <c r="H613" s="16">
        <f>(OrderDetails[[#This Row],[UnitPrice]]*OrderDetails[[#This Row],[Quantity]])*(1-OrderDetails[[#This Row],[Discount]])</f>
        <v>216</v>
      </c>
      <c r="I613" s="15" t="str">
        <f>_xlfn.XLOOKUP(OrderDetails[[#This Row],[ProductID]],Product!A:A,Product!G:G,"Not Found")</f>
        <v>Beverages</v>
      </c>
      <c r="J613" s="15" t="str">
        <f>LOOKUP(MONTH(G613),{1,4,7,10},{"Winter","Spring","Summer","Autumn"})</f>
        <v>Winter</v>
      </c>
      <c r="K613" s="15" t="str">
        <f>_xlfn.XLOOKUP(OrderDetails[[#This Row],[ProductID]],Product!A:A,Product!B:B,"Not Found")</f>
        <v>Chartreuse verte</v>
      </c>
    </row>
    <row r="614" spans="1:11">
      <c r="A614" s="1">
        <v>10478</v>
      </c>
      <c r="B614" s="1">
        <v>10</v>
      </c>
      <c r="C614" s="1">
        <v>24.8</v>
      </c>
      <c r="D614" s="1">
        <v>20</v>
      </c>
      <c r="E614" s="3">
        <v>5.000000074505806E-2</v>
      </c>
      <c r="F614" s="1" t="str">
        <f>_xlfn.XLOOKUP(A614,Orders!A:A,Orders!B:B,"not found")</f>
        <v>VICTE</v>
      </c>
      <c r="G614" s="13">
        <f>_xlfn.XLOOKUP(OrderDetails[[#This Row],[OrderID]],Orders!A:A,Orders!C:C,"Not Found")</f>
        <v>35507</v>
      </c>
      <c r="H614" s="16">
        <f>(OrderDetails[[#This Row],[UnitPrice]]*OrderDetails[[#This Row],[Quantity]])*(1-OrderDetails[[#This Row],[Discount]])</f>
        <v>471.1999996304512</v>
      </c>
      <c r="I614" s="15" t="str">
        <f>_xlfn.XLOOKUP(OrderDetails[[#This Row],[ProductID]],Product!A:A,Product!G:G,"Not Found")</f>
        <v>Seafood</v>
      </c>
      <c r="J614" s="15" t="str">
        <f>LOOKUP(MONTH(G614),{1,4,7,10},{"Winter","Spring","Summer","Autumn"})</f>
        <v>Winter</v>
      </c>
      <c r="K614" s="15" t="str">
        <f>_xlfn.XLOOKUP(OrderDetails[[#This Row],[ProductID]],Product!A:A,Product!B:B,"Not Found")</f>
        <v>Ikura</v>
      </c>
    </row>
    <row r="615" spans="1:11">
      <c r="A615" s="2">
        <v>10479</v>
      </c>
      <c r="B615" s="2">
        <v>38</v>
      </c>
      <c r="C615" s="2">
        <v>210.8</v>
      </c>
      <c r="D615" s="2">
        <v>30</v>
      </c>
      <c r="E615" s="4">
        <v>0</v>
      </c>
      <c r="F615" s="1" t="str">
        <f>_xlfn.XLOOKUP(A615,Orders!A:A,Orders!B:B,"not found")</f>
        <v>RATTC</v>
      </c>
      <c r="G615" s="13">
        <f>_xlfn.XLOOKUP(OrderDetails[[#This Row],[OrderID]],Orders!A:A,Orders!C:C,"Not Found")</f>
        <v>35508</v>
      </c>
      <c r="H615" s="16">
        <f>(OrderDetails[[#This Row],[UnitPrice]]*OrderDetails[[#This Row],[Quantity]])*(1-OrderDetails[[#This Row],[Discount]])</f>
        <v>6324</v>
      </c>
      <c r="I615" s="15" t="str">
        <f>_xlfn.XLOOKUP(OrderDetails[[#This Row],[ProductID]],Product!A:A,Product!G:G,"Not Found")</f>
        <v>Beverages</v>
      </c>
      <c r="J615" s="15" t="str">
        <f>LOOKUP(MONTH(G615),{1,4,7,10},{"Winter","Spring","Summer","Autumn"})</f>
        <v>Winter</v>
      </c>
      <c r="K615" s="15" t="str">
        <f>_xlfn.XLOOKUP(OrderDetails[[#This Row],[ProductID]],Product!A:A,Product!B:B,"Not Found")</f>
        <v>Côte de Blaye</v>
      </c>
    </row>
    <row r="616" spans="1:11">
      <c r="A616" s="1">
        <v>10479</v>
      </c>
      <c r="B616" s="1">
        <v>53</v>
      </c>
      <c r="C616" s="1">
        <v>26.2</v>
      </c>
      <c r="D616" s="1">
        <v>28</v>
      </c>
      <c r="E616" s="3">
        <v>0</v>
      </c>
      <c r="F616" s="1" t="str">
        <f>_xlfn.XLOOKUP(A616,Orders!A:A,Orders!B:B,"not found")</f>
        <v>RATTC</v>
      </c>
      <c r="G616" s="13">
        <f>_xlfn.XLOOKUP(OrderDetails[[#This Row],[OrderID]],Orders!A:A,Orders!C:C,"Not Found")</f>
        <v>35508</v>
      </c>
      <c r="H616" s="16">
        <f>(OrderDetails[[#This Row],[UnitPrice]]*OrderDetails[[#This Row],[Quantity]])*(1-OrderDetails[[#This Row],[Discount]])</f>
        <v>733.6</v>
      </c>
      <c r="I616" s="15" t="str">
        <f>_xlfn.XLOOKUP(OrderDetails[[#This Row],[ProductID]],Product!A:A,Product!G:G,"Not Found")</f>
        <v>Meat/Poultry</v>
      </c>
      <c r="J616" s="15" t="str">
        <f>LOOKUP(MONTH(G616),{1,4,7,10},{"Winter","Spring","Summer","Autumn"})</f>
        <v>Winter</v>
      </c>
      <c r="K616" s="15" t="str">
        <f>_xlfn.XLOOKUP(OrderDetails[[#This Row],[ProductID]],Product!A:A,Product!B:B,"Not Found")</f>
        <v>Perth Pasties</v>
      </c>
    </row>
    <row r="617" spans="1:11">
      <c r="A617" s="2">
        <v>10479</v>
      </c>
      <c r="B617" s="2">
        <v>59</v>
      </c>
      <c r="C617" s="2">
        <v>44</v>
      </c>
      <c r="D617" s="2">
        <v>60</v>
      </c>
      <c r="E617" s="4">
        <v>0</v>
      </c>
      <c r="F617" s="1" t="str">
        <f>_xlfn.XLOOKUP(A617,Orders!A:A,Orders!B:B,"not found")</f>
        <v>RATTC</v>
      </c>
      <c r="G617" s="13">
        <f>_xlfn.XLOOKUP(OrderDetails[[#This Row],[OrderID]],Orders!A:A,Orders!C:C,"Not Found")</f>
        <v>35508</v>
      </c>
      <c r="H617" s="16">
        <f>(OrderDetails[[#This Row],[UnitPrice]]*OrderDetails[[#This Row],[Quantity]])*(1-OrderDetails[[#This Row],[Discount]])</f>
        <v>2640</v>
      </c>
      <c r="I617" s="15" t="str">
        <f>_xlfn.XLOOKUP(OrderDetails[[#This Row],[ProductID]],Product!A:A,Product!G:G,"Not Found")</f>
        <v>Dairy Products</v>
      </c>
      <c r="J617" s="15" t="str">
        <f>LOOKUP(MONTH(G617),{1,4,7,10},{"Winter","Spring","Summer","Autumn"})</f>
        <v>Winter</v>
      </c>
      <c r="K617" s="15" t="str">
        <f>_xlfn.XLOOKUP(OrderDetails[[#This Row],[ProductID]],Product!A:A,Product!B:B,"Not Found")</f>
        <v>Raclette Courdavault</v>
      </c>
    </row>
    <row r="618" spans="1:11">
      <c r="A618" s="1">
        <v>10479</v>
      </c>
      <c r="B618" s="1">
        <v>64</v>
      </c>
      <c r="C618" s="1">
        <v>26.6</v>
      </c>
      <c r="D618" s="1">
        <v>30</v>
      </c>
      <c r="E618" s="3">
        <v>0</v>
      </c>
      <c r="F618" s="1" t="str">
        <f>_xlfn.XLOOKUP(A618,Orders!A:A,Orders!B:B,"not found")</f>
        <v>RATTC</v>
      </c>
      <c r="G618" s="13">
        <f>_xlfn.XLOOKUP(OrderDetails[[#This Row],[OrderID]],Orders!A:A,Orders!C:C,"Not Found")</f>
        <v>35508</v>
      </c>
      <c r="H618" s="16">
        <f>(OrderDetails[[#This Row],[UnitPrice]]*OrderDetails[[#This Row],[Quantity]])*(1-OrderDetails[[#This Row],[Discount]])</f>
        <v>798</v>
      </c>
      <c r="I618" s="15" t="str">
        <f>_xlfn.XLOOKUP(OrderDetails[[#This Row],[ProductID]],Product!A:A,Product!G:G,"Not Found")</f>
        <v>Grains/Cereals</v>
      </c>
      <c r="J618" s="15" t="str">
        <f>LOOKUP(MONTH(G618),{1,4,7,10},{"Winter","Spring","Summer","Autumn"})</f>
        <v>Winter</v>
      </c>
      <c r="K618" s="15" t="str">
        <f>_xlfn.XLOOKUP(OrderDetails[[#This Row],[ProductID]],Product!A:A,Product!B:B,"Not Found")</f>
        <v>Wimmers gute Semmelknödel</v>
      </c>
    </row>
    <row r="619" spans="1:11">
      <c r="A619" s="2">
        <v>10480</v>
      </c>
      <c r="B619" s="2">
        <v>47</v>
      </c>
      <c r="C619" s="2">
        <v>7.6</v>
      </c>
      <c r="D619" s="2">
        <v>30</v>
      </c>
      <c r="E619" s="4">
        <v>0</v>
      </c>
      <c r="F619" s="1" t="str">
        <f>_xlfn.XLOOKUP(A619,Orders!A:A,Orders!B:B,"not found")</f>
        <v>FOLIG</v>
      </c>
      <c r="G619" s="13">
        <f>_xlfn.XLOOKUP(OrderDetails[[#This Row],[OrderID]],Orders!A:A,Orders!C:C,"Not Found")</f>
        <v>35509</v>
      </c>
      <c r="H619" s="16">
        <f>(OrderDetails[[#This Row],[UnitPrice]]*OrderDetails[[#This Row],[Quantity]])*(1-OrderDetails[[#This Row],[Discount]])</f>
        <v>228</v>
      </c>
      <c r="I619" s="15" t="str">
        <f>_xlfn.XLOOKUP(OrderDetails[[#This Row],[ProductID]],Product!A:A,Product!G:G,"Not Found")</f>
        <v>Confections</v>
      </c>
      <c r="J619" s="15" t="str">
        <f>LOOKUP(MONTH(G619),{1,4,7,10},{"Winter","Spring","Summer","Autumn"})</f>
        <v>Winter</v>
      </c>
      <c r="K619" s="15" t="str">
        <f>_xlfn.XLOOKUP(OrderDetails[[#This Row],[ProductID]],Product!A:A,Product!B:B,"Not Found")</f>
        <v>Zaanse koeken</v>
      </c>
    </row>
    <row r="620" spans="1:11">
      <c r="A620" s="1">
        <v>10480</v>
      </c>
      <c r="B620" s="1">
        <v>59</v>
      </c>
      <c r="C620" s="1">
        <v>44</v>
      </c>
      <c r="D620" s="1">
        <v>12</v>
      </c>
      <c r="E620" s="3">
        <v>0</v>
      </c>
      <c r="F620" s="1" t="str">
        <f>_xlfn.XLOOKUP(A620,Orders!A:A,Orders!B:B,"not found")</f>
        <v>FOLIG</v>
      </c>
      <c r="G620" s="13">
        <f>_xlfn.XLOOKUP(OrderDetails[[#This Row],[OrderID]],Orders!A:A,Orders!C:C,"Not Found")</f>
        <v>35509</v>
      </c>
      <c r="H620" s="16">
        <f>(OrderDetails[[#This Row],[UnitPrice]]*OrderDetails[[#This Row],[Quantity]])*(1-OrderDetails[[#This Row],[Discount]])</f>
        <v>528</v>
      </c>
      <c r="I620" s="15" t="str">
        <f>_xlfn.XLOOKUP(OrderDetails[[#This Row],[ProductID]],Product!A:A,Product!G:G,"Not Found")</f>
        <v>Dairy Products</v>
      </c>
      <c r="J620" s="15" t="str">
        <f>LOOKUP(MONTH(G620),{1,4,7,10},{"Winter","Spring","Summer","Autumn"})</f>
        <v>Winter</v>
      </c>
      <c r="K620" s="15" t="str">
        <f>_xlfn.XLOOKUP(OrderDetails[[#This Row],[ProductID]],Product!A:A,Product!B:B,"Not Found")</f>
        <v>Raclette Courdavault</v>
      </c>
    </row>
    <row r="621" spans="1:11">
      <c r="A621" s="2">
        <v>10481</v>
      </c>
      <c r="B621" s="2">
        <v>49</v>
      </c>
      <c r="C621" s="2">
        <v>16</v>
      </c>
      <c r="D621" s="2">
        <v>24</v>
      </c>
      <c r="E621" s="4">
        <v>0</v>
      </c>
      <c r="F621" s="1" t="str">
        <f>_xlfn.XLOOKUP(A621,Orders!A:A,Orders!B:B,"not found")</f>
        <v>RICAR</v>
      </c>
      <c r="G621" s="13">
        <f>_xlfn.XLOOKUP(OrderDetails[[#This Row],[OrderID]],Orders!A:A,Orders!C:C,"Not Found")</f>
        <v>35509</v>
      </c>
      <c r="H621" s="16">
        <f>(OrderDetails[[#This Row],[UnitPrice]]*OrderDetails[[#This Row],[Quantity]])*(1-OrderDetails[[#This Row],[Discount]])</f>
        <v>384</v>
      </c>
      <c r="I621" s="15" t="str">
        <f>_xlfn.XLOOKUP(OrderDetails[[#This Row],[ProductID]],Product!A:A,Product!G:G,"Not Found")</f>
        <v>Confections</v>
      </c>
      <c r="J621" s="15" t="str">
        <f>LOOKUP(MONTH(G621),{1,4,7,10},{"Winter","Spring","Summer","Autumn"})</f>
        <v>Winter</v>
      </c>
      <c r="K621" s="15" t="str">
        <f>_xlfn.XLOOKUP(OrderDetails[[#This Row],[ProductID]],Product!A:A,Product!B:B,"Not Found")</f>
        <v>Maxilaku</v>
      </c>
    </row>
    <row r="622" spans="1:11">
      <c r="A622" s="1">
        <v>10481</v>
      </c>
      <c r="B622" s="1">
        <v>60</v>
      </c>
      <c r="C622" s="1">
        <v>27.2</v>
      </c>
      <c r="D622" s="1">
        <v>40</v>
      </c>
      <c r="E622" s="3">
        <v>0</v>
      </c>
      <c r="F622" s="1" t="str">
        <f>_xlfn.XLOOKUP(A622,Orders!A:A,Orders!B:B,"not found")</f>
        <v>RICAR</v>
      </c>
      <c r="G622" s="13">
        <f>_xlfn.XLOOKUP(OrderDetails[[#This Row],[OrderID]],Orders!A:A,Orders!C:C,"Not Found")</f>
        <v>35509</v>
      </c>
      <c r="H622" s="16">
        <f>(OrderDetails[[#This Row],[UnitPrice]]*OrderDetails[[#This Row],[Quantity]])*(1-OrderDetails[[#This Row],[Discount]])</f>
        <v>1088</v>
      </c>
      <c r="I622" s="15" t="str">
        <f>_xlfn.XLOOKUP(OrderDetails[[#This Row],[ProductID]],Product!A:A,Product!G:G,"Not Found")</f>
        <v>Dairy Products</v>
      </c>
      <c r="J622" s="15" t="str">
        <f>LOOKUP(MONTH(G622),{1,4,7,10},{"Winter","Spring","Summer","Autumn"})</f>
        <v>Winter</v>
      </c>
      <c r="K622" s="15" t="str">
        <f>_xlfn.XLOOKUP(OrderDetails[[#This Row],[ProductID]],Product!A:A,Product!B:B,"Not Found")</f>
        <v>Camembert Pierrot</v>
      </c>
    </row>
    <row r="623" spans="1:11">
      <c r="A623" s="2">
        <v>10482</v>
      </c>
      <c r="B623" s="2">
        <v>40</v>
      </c>
      <c r="C623" s="2">
        <v>14.7</v>
      </c>
      <c r="D623" s="2">
        <v>10</v>
      </c>
      <c r="E623" s="4">
        <v>0</v>
      </c>
      <c r="F623" s="1" t="str">
        <f>_xlfn.XLOOKUP(A623,Orders!A:A,Orders!B:B,"not found")</f>
        <v>LAZYK</v>
      </c>
      <c r="G623" s="13">
        <f>_xlfn.XLOOKUP(OrderDetails[[#This Row],[OrderID]],Orders!A:A,Orders!C:C,"Not Found")</f>
        <v>35510</v>
      </c>
      <c r="H623" s="16">
        <f>(OrderDetails[[#This Row],[UnitPrice]]*OrderDetails[[#This Row],[Quantity]])*(1-OrderDetails[[#This Row],[Discount]])</f>
        <v>147</v>
      </c>
      <c r="I623" s="15" t="str">
        <f>_xlfn.XLOOKUP(OrderDetails[[#This Row],[ProductID]],Product!A:A,Product!G:G,"Not Found")</f>
        <v>Seafood</v>
      </c>
      <c r="J623" s="15" t="str">
        <f>LOOKUP(MONTH(G623),{1,4,7,10},{"Winter","Spring","Summer","Autumn"})</f>
        <v>Winter</v>
      </c>
      <c r="K623" s="15" t="str">
        <f>_xlfn.XLOOKUP(OrderDetails[[#This Row],[ProductID]],Product!A:A,Product!B:B,"Not Found")</f>
        <v>Boston Crab Meat</v>
      </c>
    </row>
    <row r="624" spans="1:11">
      <c r="A624" s="1">
        <v>10483</v>
      </c>
      <c r="B624" s="1">
        <v>34</v>
      </c>
      <c r="C624" s="1">
        <v>11.2</v>
      </c>
      <c r="D624" s="1">
        <v>35</v>
      </c>
      <c r="E624" s="3">
        <v>5.000000074505806E-2</v>
      </c>
      <c r="F624" s="1" t="str">
        <f>_xlfn.XLOOKUP(A624,Orders!A:A,Orders!B:B,"not found")</f>
        <v>WHITC</v>
      </c>
      <c r="G624" s="13">
        <f>_xlfn.XLOOKUP(OrderDetails[[#This Row],[OrderID]],Orders!A:A,Orders!C:C,"Not Found")</f>
        <v>35513</v>
      </c>
      <c r="H624" s="16">
        <f>(OrderDetails[[#This Row],[UnitPrice]]*OrderDetails[[#This Row],[Quantity]])*(1-OrderDetails[[#This Row],[Discount]])</f>
        <v>372.39999970793724</v>
      </c>
      <c r="I624" s="15" t="str">
        <f>_xlfn.XLOOKUP(OrderDetails[[#This Row],[ProductID]],Product!A:A,Product!G:G,"Not Found")</f>
        <v>Beverages</v>
      </c>
      <c r="J624" s="15" t="str">
        <f>LOOKUP(MONTH(G624),{1,4,7,10},{"Winter","Spring","Summer","Autumn"})</f>
        <v>Winter</v>
      </c>
      <c r="K624" s="15" t="str">
        <f>_xlfn.XLOOKUP(OrderDetails[[#This Row],[ProductID]],Product!A:A,Product!B:B,"Not Found")</f>
        <v>Sasquatch Ale</v>
      </c>
    </row>
    <row r="625" spans="1:11">
      <c r="A625" s="2">
        <v>10483</v>
      </c>
      <c r="B625" s="2">
        <v>77</v>
      </c>
      <c r="C625" s="2">
        <v>10.4</v>
      </c>
      <c r="D625" s="2">
        <v>30</v>
      </c>
      <c r="E625" s="4">
        <v>5.000000074505806E-2</v>
      </c>
      <c r="F625" s="1" t="str">
        <f>_xlfn.XLOOKUP(A625,Orders!A:A,Orders!B:B,"not found")</f>
        <v>WHITC</v>
      </c>
      <c r="G625" s="13">
        <f>_xlfn.XLOOKUP(OrderDetails[[#This Row],[OrderID]],Orders!A:A,Orders!C:C,"Not Found")</f>
        <v>35513</v>
      </c>
      <c r="H625" s="16">
        <f>(OrderDetails[[#This Row],[UnitPrice]]*OrderDetails[[#This Row],[Quantity]])*(1-OrderDetails[[#This Row],[Discount]])</f>
        <v>296.39999976754189</v>
      </c>
      <c r="I625" s="15" t="str">
        <f>_xlfn.XLOOKUP(OrderDetails[[#This Row],[ProductID]],Product!A:A,Product!G:G,"Not Found")</f>
        <v>Condiments</v>
      </c>
      <c r="J625" s="15" t="str">
        <f>LOOKUP(MONTH(G625),{1,4,7,10},{"Winter","Spring","Summer","Autumn"})</f>
        <v>Winter</v>
      </c>
      <c r="K625" s="15" t="str">
        <f>_xlfn.XLOOKUP(OrderDetails[[#This Row],[ProductID]],Product!A:A,Product!B:B,"Not Found")</f>
        <v>Original Frankfurter grüne Soße</v>
      </c>
    </row>
    <row r="626" spans="1:11">
      <c r="A626" s="1">
        <v>10484</v>
      </c>
      <c r="B626" s="1">
        <v>21</v>
      </c>
      <c r="C626" s="1">
        <v>8</v>
      </c>
      <c r="D626" s="1">
        <v>14</v>
      </c>
      <c r="E626" s="3">
        <v>0</v>
      </c>
      <c r="F626" s="1" t="str">
        <f>_xlfn.XLOOKUP(A626,Orders!A:A,Orders!B:B,"not found")</f>
        <v>BSBEV</v>
      </c>
      <c r="G626" s="13">
        <f>_xlfn.XLOOKUP(OrderDetails[[#This Row],[OrderID]],Orders!A:A,Orders!C:C,"Not Found")</f>
        <v>35513</v>
      </c>
      <c r="H626" s="16">
        <f>(OrderDetails[[#This Row],[UnitPrice]]*OrderDetails[[#This Row],[Quantity]])*(1-OrderDetails[[#This Row],[Discount]])</f>
        <v>112</v>
      </c>
      <c r="I626" s="15" t="str">
        <f>_xlfn.XLOOKUP(OrderDetails[[#This Row],[ProductID]],Product!A:A,Product!G:G,"Not Found")</f>
        <v>Confections</v>
      </c>
      <c r="J626" s="15" t="str">
        <f>LOOKUP(MONTH(G626),{1,4,7,10},{"Winter","Spring","Summer","Autumn"})</f>
        <v>Winter</v>
      </c>
      <c r="K626" s="15" t="str">
        <f>_xlfn.XLOOKUP(OrderDetails[[#This Row],[ProductID]],Product!A:A,Product!B:B,"Not Found")</f>
        <v>Sir Rodney's Scones</v>
      </c>
    </row>
    <row r="627" spans="1:11">
      <c r="A627" s="2">
        <v>10484</v>
      </c>
      <c r="B627" s="2">
        <v>40</v>
      </c>
      <c r="C627" s="2">
        <v>14.7</v>
      </c>
      <c r="D627" s="2">
        <v>10</v>
      </c>
      <c r="E627" s="4">
        <v>0</v>
      </c>
      <c r="F627" s="1" t="str">
        <f>_xlfn.XLOOKUP(A627,Orders!A:A,Orders!B:B,"not found")</f>
        <v>BSBEV</v>
      </c>
      <c r="G627" s="13">
        <f>_xlfn.XLOOKUP(OrderDetails[[#This Row],[OrderID]],Orders!A:A,Orders!C:C,"Not Found")</f>
        <v>35513</v>
      </c>
      <c r="H627" s="16">
        <f>(OrderDetails[[#This Row],[UnitPrice]]*OrderDetails[[#This Row],[Quantity]])*(1-OrderDetails[[#This Row],[Discount]])</f>
        <v>147</v>
      </c>
      <c r="I627" s="15" t="str">
        <f>_xlfn.XLOOKUP(OrderDetails[[#This Row],[ProductID]],Product!A:A,Product!G:G,"Not Found")</f>
        <v>Seafood</v>
      </c>
      <c r="J627" s="15" t="str">
        <f>LOOKUP(MONTH(G627),{1,4,7,10},{"Winter","Spring","Summer","Autumn"})</f>
        <v>Winter</v>
      </c>
      <c r="K627" s="15" t="str">
        <f>_xlfn.XLOOKUP(OrderDetails[[#This Row],[ProductID]],Product!A:A,Product!B:B,"Not Found")</f>
        <v>Boston Crab Meat</v>
      </c>
    </row>
    <row r="628" spans="1:11">
      <c r="A628" s="1">
        <v>10484</v>
      </c>
      <c r="B628" s="1">
        <v>51</v>
      </c>
      <c r="C628" s="1">
        <v>42.4</v>
      </c>
      <c r="D628" s="1">
        <v>3</v>
      </c>
      <c r="E628" s="3">
        <v>0</v>
      </c>
      <c r="F628" s="1" t="str">
        <f>_xlfn.XLOOKUP(A628,Orders!A:A,Orders!B:B,"not found")</f>
        <v>BSBEV</v>
      </c>
      <c r="G628" s="13">
        <f>_xlfn.XLOOKUP(OrderDetails[[#This Row],[OrderID]],Orders!A:A,Orders!C:C,"Not Found")</f>
        <v>35513</v>
      </c>
      <c r="H628" s="16">
        <f>(OrderDetails[[#This Row],[UnitPrice]]*OrderDetails[[#This Row],[Quantity]])*(1-OrderDetails[[#This Row],[Discount]])</f>
        <v>127.19999999999999</v>
      </c>
      <c r="I628" s="15" t="str">
        <f>_xlfn.XLOOKUP(OrderDetails[[#This Row],[ProductID]],Product!A:A,Product!G:G,"Not Found")</f>
        <v>Produce</v>
      </c>
      <c r="J628" s="15" t="str">
        <f>LOOKUP(MONTH(G628),{1,4,7,10},{"Winter","Spring","Summer","Autumn"})</f>
        <v>Winter</v>
      </c>
      <c r="K628" s="15" t="str">
        <f>_xlfn.XLOOKUP(OrderDetails[[#This Row],[ProductID]],Product!A:A,Product!B:B,"Not Found")</f>
        <v>Manjimup Dried Apples</v>
      </c>
    </row>
    <row r="629" spans="1:11">
      <c r="A629" s="2">
        <v>10485</v>
      </c>
      <c r="B629" s="2">
        <v>2</v>
      </c>
      <c r="C629" s="2">
        <v>15.2</v>
      </c>
      <c r="D629" s="2">
        <v>20</v>
      </c>
      <c r="E629" s="4">
        <v>0.10000000149011612</v>
      </c>
      <c r="F629" s="1" t="str">
        <f>_xlfn.XLOOKUP(A629,Orders!A:A,Orders!B:B,"not found")</f>
        <v>LINOD</v>
      </c>
      <c r="G629" s="13">
        <f>_xlfn.XLOOKUP(OrderDetails[[#This Row],[OrderID]],Orders!A:A,Orders!C:C,"Not Found")</f>
        <v>35514</v>
      </c>
      <c r="H629" s="16">
        <f>(OrderDetails[[#This Row],[UnitPrice]]*OrderDetails[[#This Row],[Quantity]])*(1-OrderDetails[[#This Row],[Discount]])</f>
        <v>273.5999995470047</v>
      </c>
      <c r="I629" s="15" t="str">
        <f>_xlfn.XLOOKUP(OrderDetails[[#This Row],[ProductID]],Product!A:A,Product!G:G,"Not Found")</f>
        <v>Beverages</v>
      </c>
      <c r="J629" s="15" t="str">
        <f>LOOKUP(MONTH(G629),{1,4,7,10},{"Winter","Spring","Summer","Autumn"})</f>
        <v>Winter</v>
      </c>
      <c r="K629" s="15" t="str">
        <f>_xlfn.XLOOKUP(OrderDetails[[#This Row],[ProductID]],Product!A:A,Product!B:B,"Not Found")</f>
        <v>Chang</v>
      </c>
    </row>
    <row r="630" spans="1:11">
      <c r="A630" s="1">
        <v>10485</v>
      </c>
      <c r="B630" s="1">
        <v>3</v>
      </c>
      <c r="C630" s="1">
        <v>8</v>
      </c>
      <c r="D630" s="1">
        <v>20</v>
      </c>
      <c r="E630" s="3">
        <v>0.10000000149011612</v>
      </c>
      <c r="F630" s="1" t="str">
        <f>_xlfn.XLOOKUP(A630,Orders!A:A,Orders!B:B,"not found")</f>
        <v>LINOD</v>
      </c>
      <c r="G630" s="13">
        <f>_xlfn.XLOOKUP(OrderDetails[[#This Row],[OrderID]],Orders!A:A,Orders!C:C,"Not Found")</f>
        <v>35514</v>
      </c>
      <c r="H630" s="16">
        <f>(OrderDetails[[#This Row],[UnitPrice]]*OrderDetails[[#This Row],[Quantity]])*(1-OrderDetails[[#This Row],[Discount]])</f>
        <v>143.99999976158142</v>
      </c>
      <c r="I630" s="15" t="str">
        <f>_xlfn.XLOOKUP(OrderDetails[[#This Row],[ProductID]],Product!A:A,Product!G:G,"Not Found")</f>
        <v>Condiments</v>
      </c>
      <c r="J630" s="15" t="str">
        <f>LOOKUP(MONTH(G630),{1,4,7,10},{"Winter","Spring","Summer","Autumn"})</f>
        <v>Winter</v>
      </c>
      <c r="K630" s="15" t="str">
        <f>_xlfn.XLOOKUP(OrderDetails[[#This Row],[ProductID]],Product!A:A,Product!B:B,"Not Found")</f>
        <v>Aniseed Syrup</v>
      </c>
    </row>
    <row r="631" spans="1:11">
      <c r="A631" s="2">
        <v>10485</v>
      </c>
      <c r="B631" s="2">
        <v>55</v>
      </c>
      <c r="C631" s="2">
        <v>19.2</v>
      </c>
      <c r="D631" s="2">
        <v>30</v>
      </c>
      <c r="E631" s="4">
        <v>0.10000000149011612</v>
      </c>
      <c r="F631" s="1" t="str">
        <f>_xlfn.XLOOKUP(A631,Orders!A:A,Orders!B:B,"not found")</f>
        <v>LINOD</v>
      </c>
      <c r="G631" s="13">
        <f>_xlfn.XLOOKUP(OrderDetails[[#This Row],[OrderID]],Orders!A:A,Orders!C:C,"Not Found")</f>
        <v>35514</v>
      </c>
      <c r="H631" s="16">
        <f>(OrderDetails[[#This Row],[UnitPrice]]*OrderDetails[[#This Row],[Quantity]])*(1-OrderDetails[[#This Row],[Discount]])</f>
        <v>518.39999914169312</v>
      </c>
      <c r="I631" s="15" t="str">
        <f>_xlfn.XLOOKUP(OrderDetails[[#This Row],[ProductID]],Product!A:A,Product!G:G,"Not Found")</f>
        <v>Meat/Poultry</v>
      </c>
      <c r="J631" s="15" t="str">
        <f>LOOKUP(MONTH(G631),{1,4,7,10},{"Winter","Spring","Summer","Autumn"})</f>
        <v>Winter</v>
      </c>
      <c r="K631" s="15" t="str">
        <f>_xlfn.XLOOKUP(OrderDetails[[#This Row],[ProductID]],Product!A:A,Product!B:B,"Not Found")</f>
        <v>Pâté chinois</v>
      </c>
    </row>
    <row r="632" spans="1:11">
      <c r="A632" s="1">
        <v>10485</v>
      </c>
      <c r="B632" s="1">
        <v>70</v>
      </c>
      <c r="C632" s="1">
        <v>12</v>
      </c>
      <c r="D632" s="1">
        <v>60</v>
      </c>
      <c r="E632" s="3">
        <v>0.10000000149011612</v>
      </c>
      <c r="F632" s="1" t="str">
        <f>_xlfn.XLOOKUP(A632,Orders!A:A,Orders!B:B,"not found")</f>
        <v>LINOD</v>
      </c>
      <c r="G632" s="13">
        <f>_xlfn.XLOOKUP(OrderDetails[[#This Row],[OrderID]],Orders!A:A,Orders!C:C,"Not Found")</f>
        <v>35514</v>
      </c>
      <c r="H632" s="16">
        <f>(OrderDetails[[#This Row],[UnitPrice]]*OrderDetails[[#This Row],[Quantity]])*(1-OrderDetails[[#This Row],[Discount]])</f>
        <v>647.99999892711639</v>
      </c>
      <c r="I632" s="15" t="str">
        <f>_xlfn.XLOOKUP(OrderDetails[[#This Row],[ProductID]],Product!A:A,Product!G:G,"Not Found")</f>
        <v>Beverages</v>
      </c>
      <c r="J632" s="15" t="str">
        <f>LOOKUP(MONTH(G632),{1,4,7,10},{"Winter","Spring","Summer","Autumn"})</f>
        <v>Winter</v>
      </c>
      <c r="K632" s="15" t="str">
        <f>_xlfn.XLOOKUP(OrderDetails[[#This Row],[ProductID]],Product!A:A,Product!B:B,"Not Found")</f>
        <v>Outback Lager</v>
      </c>
    </row>
    <row r="633" spans="1:11">
      <c r="A633" s="2">
        <v>10486</v>
      </c>
      <c r="B633" s="2">
        <v>11</v>
      </c>
      <c r="C633" s="2">
        <v>16.8</v>
      </c>
      <c r="D633" s="2">
        <v>5</v>
      </c>
      <c r="E633" s="4">
        <v>0</v>
      </c>
      <c r="F633" s="1" t="str">
        <f>_xlfn.XLOOKUP(A633,Orders!A:A,Orders!B:B,"not found")</f>
        <v>HILAA</v>
      </c>
      <c r="G633" s="13">
        <f>_xlfn.XLOOKUP(OrderDetails[[#This Row],[OrderID]],Orders!A:A,Orders!C:C,"Not Found")</f>
        <v>35515</v>
      </c>
      <c r="H633" s="16">
        <f>(OrderDetails[[#This Row],[UnitPrice]]*OrderDetails[[#This Row],[Quantity]])*(1-OrderDetails[[#This Row],[Discount]])</f>
        <v>84</v>
      </c>
      <c r="I633" s="15" t="str">
        <f>_xlfn.XLOOKUP(OrderDetails[[#This Row],[ProductID]],Product!A:A,Product!G:G,"Not Found")</f>
        <v>Dairy Products</v>
      </c>
      <c r="J633" s="15" t="str">
        <f>LOOKUP(MONTH(G633),{1,4,7,10},{"Winter","Spring","Summer","Autumn"})</f>
        <v>Winter</v>
      </c>
      <c r="K633" s="15" t="str">
        <f>_xlfn.XLOOKUP(OrderDetails[[#This Row],[ProductID]],Product!A:A,Product!B:B,"Not Found")</f>
        <v>Queso Cabrales</v>
      </c>
    </row>
    <row r="634" spans="1:11">
      <c r="A634" s="1">
        <v>10486</v>
      </c>
      <c r="B634" s="1">
        <v>51</v>
      </c>
      <c r="C634" s="1">
        <v>42.4</v>
      </c>
      <c r="D634" s="1">
        <v>25</v>
      </c>
      <c r="E634" s="3">
        <v>0</v>
      </c>
      <c r="F634" s="1" t="str">
        <f>_xlfn.XLOOKUP(A634,Orders!A:A,Orders!B:B,"not found")</f>
        <v>HILAA</v>
      </c>
      <c r="G634" s="13">
        <f>_xlfn.XLOOKUP(OrderDetails[[#This Row],[OrderID]],Orders!A:A,Orders!C:C,"Not Found")</f>
        <v>35515</v>
      </c>
      <c r="H634" s="16">
        <f>(OrderDetails[[#This Row],[UnitPrice]]*OrderDetails[[#This Row],[Quantity]])*(1-OrderDetails[[#This Row],[Discount]])</f>
        <v>1060</v>
      </c>
      <c r="I634" s="15" t="str">
        <f>_xlfn.XLOOKUP(OrderDetails[[#This Row],[ProductID]],Product!A:A,Product!G:G,"Not Found")</f>
        <v>Produce</v>
      </c>
      <c r="J634" s="15" t="str">
        <f>LOOKUP(MONTH(G634),{1,4,7,10},{"Winter","Spring","Summer","Autumn"})</f>
        <v>Winter</v>
      </c>
      <c r="K634" s="15" t="str">
        <f>_xlfn.XLOOKUP(OrderDetails[[#This Row],[ProductID]],Product!A:A,Product!B:B,"Not Found")</f>
        <v>Manjimup Dried Apples</v>
      </c>
    </row>
    <row r="635" spans="1:11">
      <c r="A635" s="2">
        <v>10486</v>
      </c>
      <c r="B635" s="2">
        <v>74</v>
      </c>
      <c r="C635" s="2">
        <v>8</v>
      </c>
      <c r="D635" s="2">
        <v>16</v>
      </c>
      <c r="E635" s="4">
        <v>0</v>
      </c>
      <c r="F635" s="1" t="str">
        <f>_xlfn.XLOOKUP(A635,Orders!A:A,Orders!B:B,"not found")</f>
        <v>HILAA</v>
      </c>
      <c r="G635" s="13">
        <f>_xlfn.XLOOKUP(OrderDetails[[#This Row],[OrderID]],Orders!A:A,Orders!C:C,"Not Found")</f>
        <v>35515</v>
      </c>
      <c r="H635" s="16">
        <f>(OrderDetails[[#This Row],[UnitPrice]]*OrderDetails[[#This Row],[Quantity]])*(1-OrderDetails[[#This Row],[Discount]])</f>
        <v>128</v>
      </c>
      <c r="I635" s="15" t="str">
        <f>_xlfn.XLOOKUP(OrderDetails[[#This Row],[ProductID]],Product!A:A,Product!G:G,"Not Found")</f>
        <v>Produce</v>
      </c>
      <c r="J635" s="15" t="str">
        <f>LOOKUP(MONTH(G635),{1,4,7,10},{"Winter","Spring","Summer","Autumn"})</f>
        <v>Winter</v>
      </c>
      <c r="K635" s="15" t="str">
        <f>_xlfn.XLOOKUP(OrderDetails[[#This Row],[ProductID]],Product!A:A,Product!B:B,"Not Found")</f>
        <v>Longlife Tofu</v>
      </c>
    </row>
    <row r="636" spans="1:11">
      <c r="A636" s="1">
        <v>10487</v>
      </c>
      <c r="B636" s="1">
        <v>19</v>
      </c>
      <c r="C636" s="1">
        <v>7.3</v>
      </c>
      <c r="D636" s="1">
        <v>5</v>
      </c>
      <c r="E636" s="3">
        <v>0</v>
      </c>
      <c r="F636" s="1" t="str">
        <f>_xlfn.XLOOKUP(A636,Orders!A:A,Orders!B:B,"not found")</f>
        <v>QUEEN</v>
      </c>
      <c r="G636" s="13">
        <f>_xlfn.XLOOKUP(OrderDetails[[#This Row],[OrderID]],Orders!A:A,Orders!C:C,"Not Found")</f>
        <v>35515</v>
      </c>
      <c r="H636" s="16">
        <f>(OrderDetails[[#This Row],[UnitPrice]]*OrderDetails[[#This Row],[Quantity]])*(1-OrderDetails[[#This Row],[Discount]])</f>
        <v>36.5</v>
      </c>
      <c r="I636" s="15" t="str">
        <f>_xlfn.XLOOKUP(OrderDetails[[#This Row],[ProductID]],Product!A:A,Product!G:G,"Not Found")</f>
        <v>Confections</v>
      </c>
      <c r="J636" s="15" t="str">
        <f>LOOKUP(MONTH(G636),{1,4,7,10},{"Winter","Spring","Summer","Autumn"})</f>
        <v>Winter</v>
      </c>
      <c r="K636" s="15" t="str">
        <f>_xlfn.XLOOKUP(OrderDetails[[#This Row],[ProductID]],Product!A:A,Product!B:B,"Not Found")</f>
        <v>Teatime Chocolate Biscuits</v>
      </c>
    </row>
    <row r="637" spans="1:11">
      <c r="A637" s="2">
        <v>10487</v>
      </c>
      <c r="B637" s="2">
        <v>26</v>
      </c>
      <c r="C637" s="2">
        <v>24.9</v>
      </c>
      <c r="D637" s="2">
        <v>30</v>
      </c>
      <c r="E637" s="4">
        <v>0</v>
      </c>
      <c r="F637" s="1" t="str">
        <f>_xlfn.XLOOKUP(A637,Orders!A:A,Orders!B:B,"not found")</f>
        <v>QUEEN</v>
      </c>
      <c r="G637" s="13">
        <f>_xlfn.XLOOKUP(OrderDetails[[#This Row],[OrderID]],Orders!A:A,Orders!C:C,"Not Found")</f>
        <v>35515</v>
      </c>
      <c r="H637" s="16">
        <f>(OrderDetails[[#This Row],[UnitPrice]]*OrderDetails[[#This Row],[Quantity]])*(1-OrderDetails[[#This Row],[Discount]])</f>
        <v>747</v>
      </c>
      <c r="I637" s="15" t="str">
        <f>_xlfn.XLOOKUP(OrderDetails[[#This Row],[ProductID]],Product!A:A,Product!G:G,"Not Found")</f>
        <v>Confections</v>
      </c>
      <c r="J637" s="15" t="str">
        <f>LOOKUP(MONTH(G637),{1,4,7,10},{"Winter","Spring","Summer","Autumn"})</f>
        <v>Winter</v>
      </c>
      <c r="K637" s="15" t="str">
        <f>_xlfn.XLOOKUP(OrderDetails[[#This Row],[ProductID]],Product!A:A,Product!B:B,"Not Found")</f>
        <v>Gumbär Gummibärchen</v>
      </c>
    </row>
    <row r="638" spans="1:11">
      <c r="A638" s="1">
        <v>10487</v>
      </c>
      <c r="B638" s="1">
        <v>54</v>
      </c>
      <c r="C638" s="1">
        <v>5.9</v>
      </c>
      <c r="D638" s="1">
        <v>24</v>
      </c>
      <c r="E638" s="3">
        <v>0.25</v>
      </c>
      <c r="F638" s="1" t="str">
        <f>_xlfn.XLOOKUP(A638,Orders!A:A,Orders!B:B,"not found")</f>
        <v>QUEEN</v>
      </c>
      <c r="G638" s="13">
        <f>_xlfn.XLOOKUP(OrderDetails[[#This Row],[OrderID]],Orders!A:A,Orders!C:C,"Not Found")</f>
        <v>35515</v>
      </c>
      <c r="H638" s="16">
        <f>(OrderDetails[[#This Row],[UnitPrice]]*OrderDetails[[#This Row],[Quantity]])*(1-OrderDetails[[#This Row],[Discount]])</f>
        <v>106.20000000000002</v>
      </c>
      <c r="I638" s="15" t="str">
        <f>_xlfn.XLOOKUP(OrderDetails[[#This Row],[ProductID]],Product!A:A,Product!G:G,"Not Found")</f>
        <v>Meat/Poultry</v>
      </c>
      <c r="J638" s="15" t="str">
        <f>LOOKUP(MONTH(G638),{1,4,7,10},{"Winter","Spring","Summer","Autumn"})</f>
        <v>Winter</v>
      </c>
      <c r="K638" s="15" t="str">
        <f>_xlfn.XLOOKUP(OrderDetails[[#This Row],[ProductID]],Product!A:A,Product!B:B,"Not Found")</f>
        <v>Tourtière</v>
      </c>
    </row>
    <row r="639" spans="1:11">
      <c r="A639" s="2">
        <v>10488</v>
      </c>
      <c r="B639" s="2">
        <v>59</v>
      </c>
      <c r="C639" s="2">
        <v>44</v>
      </c>
      <c r="D639" s="2">
        <v>30</v>
      </c>
      <c r="E639" s="4">
        <v>0</v>
      </c>
      <c r="F639" s="1" t="str">
        <f>_xlfn.XLOOKUP(A639,Orders!A:A,Orders!B:B,"not found")</f>
        <v>FRANK</v>
      </c>
      <c r="G639" s="13">
        <f>_xlfn.XLOOKUP(OrderDetails[[#This Row],[OrderID]],Orders!A:A,Orders!C:C,"Not Found")</f>
        <v>35516</v>
      </c>
      <c r="H639" s="16">
        <f>(OrderDetails[[#This Row],[UnitPrice]]*OrderDetails[[#This Row],[Quantity]])*(1-OrderDetails[[#This Row],[Discount]])</f>
        <v>1320</v>
      </c>
      <c r="I639" s="15" t="str">
        <f>_xlfn.XLOOKUP(OrderDetails[[#This Row],[ProductID]],Product!A:A,Product!G:G,"Not Found")</f>
        <v>Dairy Products</v>
      </c>
      <c r="J639" s="15" t="str">
        <f>LOOKUP(MONTH(G639),{1,4,7,10},{"Winter","Spring","Summer","Autumn"})</f>
        <v>Winter</v>
      </c>
      <c r="K639" s="15" t="str">
        <f>_xlfn.XLOOKUP(OrderDetails[[#This Row],[ProductID]],Product!A:A,Product!B:B,"Not Found")</f>
        <v>Raclette Courdavault</v>
      </c>
    </row>
    <row r="640" spans="1:11">
      <c r="A640" s="1">
        <v>10488</v>
      </c>
      <c r="B640" s="1">
        <v>73</v>
      </c>
      <c r="C640" s="1">
        <v>12</v>
      </c>
      <c r="D640" s="1">
        <v>20</v>
      </c>
      <c r="E640" s="3">
        <v>0.20000000298023224</v>
      </c>
      <c r="F640" s="1" t="str">
        <f>_xlfn.XLOOKUP(A640,Orders!A:A,Orders!B:B,"not found")</f>
        <v>FRANK</v>
      </c>
      <c r="G640" s="13">
        <f>_xlfn.XLOOKUP(OrderDetails[[#This Row],[OrderID]],Orders!A:A,Orders!C:C,"Not Found")</f>
        <v>35516</v>
      </c>
      <c r="H640" s="16">
        <f>(OrderDetails[[#This Row],[UnitPrice]]*OrderDetails[[#This Row],[Quantity]])*(1-OrderDetails[[#This Row],[Discount]])</f>
        <v>191.99999928474426</v>
      </c>
      <c r="I640" s="15" t="str">
        <f>_xlfn.XLOOKUP(OrderDetails[[#This Row],[ProductID]],Product!A:A,Product!G:G,"Not Found")</f>
        <v>Seafood</v>
      </c>
      <c r="J640" s="15" t="str">
        <f>LOOKUP(MONTH(G640),{1,4,7,10},{"Winter","Spring","Summer","Autumn"})</f>
        <v>Winter</v>
      </c>
      <c r="K640" s="15" t="str">
        <f>_xlfn.XLOOKUP(OrderDetails[[#This Row],[ProductID]],Product!A:A,Product!B:B,"Not Found")</f>
        <v>Röd Kaviar</v>
      </c>
    </row>
    <row r="641" spans="1:11">
      <c r="A641" s="2">
        <v>10489</v>
      </c>
      <c r="B641" s="2">
        <v>11</v>
      </c>
      <c r="C641" s="2">
        <v>16.8</v>
      </c>
      <c r="D641" s="2">
        <v>15</v>
      </c>
      <c r="E641" s="4">
        <v>0.25</v>
      </c>
      <c r="F641" s="1" t="str">
        <f>_xlfn.XLOOKUP(A641,Orders!A:A,Orders!B:B,"not found")</f>
        <v>PICCO</v>
      </c>
      <c r="G641" s="13">
        <f>_xlfn.XLOOKUP(OrderDetails[[#This Row],[OrderID]],Orders!A:A,Orders!C:C,"Not Found")</f>
        <v>35517</v>
      </c>
      <c r="H641" s="16">
        <f>(OrderDetails[[#This Row],[UnitPrice]]*OrderDetails[[#This Row],[Quantity]])*(1-OrderDetails[[#This Row],[Discount]])</f>
        <v>189</v>
      </c>
      <c r="I641" s="15" t="str">
        <f>_xlfn.XLOOKUP(OrderDetails[[#This Row],[ProductID]],Product!A:A,Product!G:G,"Not Found")</f>
        <v>Dairy Products</v>
      </c>
      <c r="J641" s="15" t="str">
        <f>LOOKUP(MONTH(G641),{1,4,7,10},{"Winter","Spring","Summer","Autumn"})</f>
        <v>Winter</v>
      </c>
      <c r="K641" s="15" t="str">
        <f>_xlfn.XLOOKUP(OrderDetails[[#This Row],[ProductID]],Product!A:A,Product!B:B,"Not Found")</f>
        <v>Queso Cabrales</v>
      </c>
    </row>
    <row r="642" spans="1:11">
      <c r="A642" s="1">
        <v>10489</v>
      </c>
      <c r="B642" s="1">
        <v>16</v>
      </c>
      <c r="C642" s="1">
        <v>13.9</v>
      </c>
      <c r="D642" s="1">
        <v>18</v>
      </c>
      <c r="E642" s="3">
        <v>0</v>
      </c>
      <c r="F642" s="1" t="str">
        <f>_xlfn.XLOOKUP(A642,Orders!A:A,Orders!B:B,"not found")</f>
        <v>PICCO</v>
      </c>
      <c r="G642" s="13">
        <f>_xlfn.XLOOKUP(OrderDetails[[#This Row],[OrderID]],Orders!A:A,Orders!C:C,"Not Found")</f>
        <v>35517</v>
      </c>
      <c r="H642" s="16">
        <f>(OrderDetails[[#This Row],[UnitPrice]]*OrderDetails[[#This Row],[Quantity]])*(1-OrderDetails[[#This Row],[Discount]])</f>
        <v>250.20000000000002</v>
      </c>
      <c r="I642" s="15" t="str">
        <f>_xlfn.XLOOKUP(OrderDetails[[#This Row],[ProductID]],Product!A:A,Product!G:G,"Not Found")</f>
        <v>Confections</v>
      </c>
      <c r="J642" s="15" t="str">
        <f>LOOKUP(MONTH(G642),{1,4,7,10},{"Winter","Spring","Summer","Autumn"})</f>
        <v>Winter</v>
      </c>
      <c r="K642" s="15" t="str">
        <f>_xlfn.XLOOKUP(OrderDetails[[#This Row],[ProductID]],Product!A:A,Product!B:B,"Not Found")</f>
        <v>Pavlova</v>
      </c>
    </row>
    <row r="643" spans="1:11">
      <c r="A643" s="2">
        <v>10490</v>
      </c>
      <c r="B643" s="2">
        <v>59</v>
      </c>
      <c r="C643" s="2">
        <v>44</v>
      </c>
      <c r="D643" s="2">
        <v>60</v>
      </c>
      <c r="E643" s="4">
        <v>0</v>
      </c>
      <c r="F643" s="1" t="str">
        <f>_xlfn.XLOOKUP(A643,Orders!A:A,Orders!B:B,"not found")</f>
        <v>HILAA</v>
      </c>
      <c r="G643" s="13">
        <f>_xlfn.XLOOKUP(OrderDetails[[#This Row],[OrderID]],Orders!A:A,Orders!C:C,"Not Found")</f>
        <v>35520</v>
      </c>
      <c r="H643" s="16">
        <f>(OrderDetails[[#This Row],[UnitPrice]]*OrderDetails[[#This Row],[Quantity]])*(1-OrderDetails[[#This Row],[Discount]])</f>
        <v>2640</v>
      </c>
      <c r="I643" s="15" t="str">
        <f>_xlfn.XLOOKUP(OrderDetails[[#This Row],[ProductID]],Product!A:A,Product!G:G,"Not Found")</f>
        <v>Dairy Products</v>
      </c>
      <c r="J643" s="15" t="str">
        <f>LOOKUP(MONTH(G643),{1,4,7,10},{"Winter","Spring","Summer","Autumn"})</f>
        <v>Winter</v>
      </c>
      <c r="K643" s="15" t="str">
        <f>_xlfn.XLOOKUP(OrderDetails[[#This Row],[ProductID]],Product!A:A,Product!B:B,"Not Found")</f>
        <v>Raclette Courdavault</v>
      </c>
    </row>
    <row r="644" spans="1:11">
      <c r="A644" s="1">
        <v>10490</v>
      </c>
      <c r="B644" s="1">
        <v>68</v>
      </c>
      <c r="C644" s="1">
        <v>10</v>
      </c>
      <c r="D644" s="1">
        <v>30</v>
      </c>
      <c r="E644" s="3">
        <v>0</v>
      </c>
      <c r="F644" s="1" t="str">
        <f>_xlfn.XLOOKUP(A644,Orders!A:A,Orders!B:B,"not found")</f>
        <v>HILAA</v>
      </c>
      <c r="G644" s="13">
        <f>_xlfn.XLOOKUP(OrderDetails[[#This Row],[OrderID]],Orders!A:A,Orders!C:C,"Not Found")</f>
        <v>35520</v>
      </c>
      <c r="H644" s="16">
        <f>(OrderDetails[[#This Row],[UnitPrice]]*OrderDetails[[#This Row],[Quantity]])*(1-OrderDetails[[#This Row],[Discount]])</f>
        <v>300</v>
      </c>
      <c r="I644" s="15" t="str">
        <f>_xlfn.XLOOKUP(OrderDetails[[#This Row],[ProductID]],Product!A:A,Product!G:G,"Not Found")</f>
        <v>Confections</v>
      </c>
      <c r="J644" s="15" t="str">
        <f>LOOKUP(MONTH(G644),{1,4,7,10},{"Winter","Spring","Summer","Autumn"})</f>
        <v>Winter</v>
      </c>
      <c r="K644" s="15" t="str">
        <f>_xlfn.XLOOKUP(OrderDetails[[#This Row],[ProductID]],Product!A:A,Product!B:B,"Not Found")</f>
        <v>Scottish Longbreads</v>
      </c>
    </row>
    <row r="645" spans="1:11">
      <c r="A645" s="2">
        <v>10490</v>
      </c>
      <c r="B645" s="2">
        <v>75</v>
      </c>
      <c r="C645" s="2">
        <v>6.2</v>
      </c>
      <c r="D645" s="2">
        <v>36</v>
      </c>
      <c r="E645" s="4">
        <v>0</v>
      </c>
      <c r="F645" s="1" t="str">
        <f>_xlfn.XLOOKUP(A645,Orders!A:A,Orders!B:B,"not found")</f>
        <v>HILAA</v>
      </c>
      <c r="G645" s="13">
        <f>_xlfn.XLOOKUP(OrderDetails[[#This Row],[OrderID]],Orders!A:A,Orders!C:C,"Not Found")</f>
        <v>35520</v>
      </c>
      <c r="H645" s="16">
        <f>(OrderDetails[[#This Row],[UnitPrice]]*OrderDetails[[#This Row],[Quantity]])*(1-OrderDetails[[#This Row],[Discount]])</f>
        <v>223.20000000000002</v>
      </c>
      <c r="I645" s="15" t="str">
        <f>_xlfn.XLOOKUP(OrderDetails[[#This Row],[ProductID]],Product!A:A,Product!G:G,"Not Found")</f>
        <v>Beverages</v>
      </c>
      <c r="J645" s="15" t="str">
        <f>LOOKUP(MONTH(G645),{1,4,7,10},{"Winter","Spring","Summer","Autumn"})</f>
        <v>Winter</v>
      </c>
      <c r="K645" s="15" t="str">
        <f>_xlfn.XLOOKUP(OrderDetails[[#This Row],[ProductID]],Product!A:A,Product!B:B,"Not Found")</f>
        <v>Rhönbräu Klosterbier</v>
      </c>
    </row>
    <row r="646" spans="1:11">
      <c r="A646" s="1">
        <v>10491</v>
      </c>
      <c r="B646" s="1">
        <v>44</v>
      </c>
      <c r="C646" s="1">
        <v>15.5</v>
      </c>
      <c r="D646" s="1">
        <v>15</v>
      </c>
      <c r="E646" s="3">
        <v>0.15000000596046448</v>
      </c>
      <c r="F646" s="1" t="str">
        <f>_xlfn.XLOOKUP(A646,Orders!A:A,Orders!B:B,"not found")</f>
        <v>FURIB</v>
      </c>
      <c r="G646" s="13">
        <f>_xlfn.XLOOKUP(OrderDetails[[#This Row],[OrderID]],Orders!A:A,Orders!C:C,"Not Found")</f>
        <v>35520</v>
      </c>
      <c r="H646" s="16">
        <f>(OrderDetails[[#This Row],[UnitPrice]]*OrderDetails[[#This Row],[Quantity]])*(1-OrderDetails[[#This Row],[Discount]])</f>
        <v>197.62499861419201</v>
      </c>
      <c r="I646" s="15" t="str">
        <f>_xlfn.XLOOKUP(OrderDetails[[#This Row],[ProductID]],Product!A:A,Product!G:G,"Not Found")</f>
        <v>Condiments</v>
      </c>
      <c r="J646" s="15" t="str">
        <f>LOOKUP(MONTH(G646),{1,4,7,10},{"Winter","Spring","Summer","Autumn"})</f>
        <v>Winter</v>
      </c>
      <c r="K646" s="15" t="str">
        <f>_xlfn.XLOOKUP(OrderDetails[[#This Row],[ProductID]],Product!A:A,Product!B:B,"Not Found")</f>
        <v>Gula Malacca</v>
      </c>
    </row>
    <row r="647" spans="1:11">
      <c r="A647" s="2">
        <v>10491</v>
      </c>
      <c r="B647" s="2">
        <v>77</v>
      </c>
      <c r="C647" s="2">
        <v>10.4</v>
      </c>
      <c r="D647" s="2">
        <v>7</v>
      </c>
      <c r="E647" s="4">
        <v>0.15000000596046448</v>
      </c>
      <c r="F647" s="1" t="str">
        <f>_xlfn.XLOOKUP(A647,Orders!A:A,Orders!B:B,"not found")</f>
        <v>FURIB</v>
      </c>
      <c r="G647" s="13">
        <f>_xlfn.XLOOKUP(OrderDetails[[#This Row],[OrderID]],Orders!A:A,Orders!C:C,"Not Found")</f>
        <v>35520</v>
      </c>
      <c r="H647" s="16">
        <f>(OrderDetails[[#This Row],[UnitPrice]]*OrderDetails[[#This Row],[Quantity]])*(1-OrderDetails[[#This Row],[Discount]])</f>
        <v>61.879999566078183</v>
      </c>
      <c r="I647" s="15" t="str">
        <f>_xlfn.XLOOKUP(OrderDetails[[#This Row],[ProductID]],Product!A:A,Product!G:G,"Not Found")</f>
        <v>Condiments</v>
      </c>
      <c r="J647" s="15" t="str">
        <f>LOOKUP(MONTH(G647),{1,4,7,10},{"Winter","Spring","Summer","Autumn"})</f>
        <v>Winter</v>
      </c>
      <c r="K647" s="15" t="str">
        <f>_xlfn.XLOOKUP(OrderDetails[[#This Row],[ProductID]],Product!A:A,Product!B:B,"Not Found")</f>
        <v>Original Frankfurter grüne Soße</v>
      </c>
    </row>
    <row r="648" spans="1:11">
      <c r="A648" s="1">
        <v>10492</v>
      </c>
      <c r="B648" s="1">
        <v>25</v>
      </c>
      <c r="C648" s="1">
        <v>11.2</v>
      </c>
      <c r="D648" s="1">
        <v>60</v>
      </c>
      <c r="E648" s="3">
        <v>5.000000074505806E-2</v>
      </c>
      <c r="F648" s="1" t="str">
        <f>_xlfn.XLOOKUP(A648,Orders!A:A,Orders!B:B,"not found")</f>
        <v>BOTTM</v>
      </c>
      <c r="G648" s="13">
        <f>_xlfn.XLOOKUP(OrderDetails[[#This Row],[OrderID]],Orders!A:A,Orders!C:C,"Not Found")</f>
        <v>35521</v>
      </c>
      <c r="H648" s="16">
        <f>(OrderDetails[[#This Row],[UnitPrice]]*OrderDetails[[#This Row],[Quantity]])*(1-OrderDetails[[#This Row],[Discount]])</f>
        <v>638.39999949932098</v>
      </c>
      <c r="I648" s="15" t="str">
        <f>_xlfn.XLOOKUP(OrderDetails[[#This Row],[ProductID]],Product!A:A,Product!G:G,"Not Found")</f>
        <v>Confections</v>
      </c>
      <c r="J648" s="15" t="str">
        <f>LOOKUP(MONTH(G648),{1,4,7,10},{"Winter","Spring","Summer","Autumn"})</f>
        <v>Spring</v>
      </c>
      <c r="K648" s="15" t="str">
        <f>_xlfn.XLOOKUP(OrderDetails[[#This Row],[ProductID]],Product!A:A,Product!B:B,"Not Found")</f>
        <v>NuNuCa Nuß-Nougat-Creme</v>
      </c>
    </row>
    <row r="649" spans="1:11">
      <c r="A649" s="2">
        <v>10492</v>
      </c>
      <c r="B649" s="2">
        <v>42</v>
      </c>
      <c r="C649" s="2">
        <v>11.2</v>
      </c>
      <c r="D649" s="2">
        <v>20</v>
      </c>
      <c r="E649" s="4">
        <v>5.000000074505806E-2</v>
      </c>
      <c r="F649" s="1" t="str">
        <f>_xlfn.XLOOKUP(A649,Orders!A:A,Orders!B:B,"not found")</f>
        <v>BOTTM</v>
      </c>
      <c r="G649" s="13">
        <f>_xlfn.XLOOKUP(OrderDetails[[#This Row],[OrderID]],Orders!A:A,Orders!C:C,"Not Found")</f>
        <v>35521</v>
      </c>
      <c r="H649" s="16">
        <f>(OrderDetails[[#This Row],[UnitPrice]]*OrderDetails[[#This Row],[Quantity]])*(1-OrderDetails[[#This Row],[Discount]])</f>
        <v>212.79999983310699</v>
      </c>
      <c r="I649" s="15" t="str">
        <f>_xlfn.XLOOKUP(OrderDetails[[#This Row],[ProductID]],Product!A:A,Product!G:G,"Not Found")</f>
        <v>Grains/Cereals</v>
      </c>
      <c r="J649" s="15" t="str">
        <f>LOOKUP(MONTH(G649),{1,4,7,10},{"Winter","Spring","Summer","Autumn"})</f>
        <v>Spring</v>
      </c>
      <c r="K649" s="15" t="str">
        <f>_xlfn.XLOOKUP(OrderDetails[[#This Row],[ProductID]],Product!A:A,Product!B:B,"Not Found")</f>
        <v>Singaporean Hokkien Fried Mee</v>
      </c>
    </row>
    <row r="650" spans="1:11">
      <c r="A650" s="1">
        <v>10493</v>
      </c>
      <c r="B650" s="1">
        <v>65</v>
      </c>
      <c r="C650" s="1">
        <v>16.8</v>
      </c>
      <c r="D650" s="1">
        <v>15</v>
      </c>
      <c r="E650" s="3">
        <v>0.10000000149011612</v>
      </c>
      <c r="F650" s="1" t="str">
        <f>_xlfn.XLOOKUP(A650,Orders!A:A,Orders!B:B,"not found")</f>
        <v>LAMAI</v>
      </c>
      <c r="G650" s="13">
        <f>_xlfn.XLOOKUP(OrderDetails[[#This Row],[OrderID]],Orders!A:A,Orders!C:C,"Not Found")</f>
        <v>35522</v>
      </c>
      <c r="H650" s="16">
        <f>(OrderDetails[[#This Row],[UnitPrice]]*OrderDetails[[#This Row],[Quantity]])*(1-OrderDetails[[#This Row],[Discount]])</f>
        <v>226.79999962449074</v>
      </c>
      <c r="I650" s="15" t="str">
        <f>_xlfn.XLOOKUP(OrderDetails[[#This Row],[ProductID]],Product!A:A,Product!G:G,"Not Found")</f>
        <v>Condiments</v>
      </c>
      <c r="J650" s="15" t="str">
        <f>LOOKUP(MONTH(G650),{1,4,7,10},{"Winter","Spring","Summer","Autumn"})</f>
        <v>Spring</v>
      </c>
      <c r="K650" s="15" t="str">
        <f>_xlfn.XLOOKUP(OrderDetails[[#This Row],[ProductID]],Product!A:A,Product!B:B,"Not Found")</f>
        <v>Louisiana Fiery Hot Pepper Sauce</v>
      </c>
    </row>
    <row r="651" spans="1:11">
      <c r="A651" s="2">
        <v>10493</v>
      </c>
      <c r="B651" s="2">
        <v>66</v>
      </c>
      <c r="C651" s="2">
        <v>13.6</v>
      </c>
      <c r="D651" s="2">
        <v>10</v>
      </c>
      <c r="E651" s="4">
        <v>0.10000000149011612</v>
      </c>
      <c r="F651" s="1" t="str">
        <f>_xlfn.XLOOKUP(A651,Orders!A:A,Orders!B:B,"not found")</f>
        <v>LAMAI</v>
      </c>
      <c r="G651" s="13">
        <f>_xlfn.XLOOKUP(OrderDetails[[#This Row],[OrderID]],Orders!A:A,Orders!C:C,"Not Found")</f>
        <v>35522</v>
      </c>
      <c r="H651" s="16">
        <f>(OrderDetails[[#This Row],[UnitPrice]]*OrderDetails[[#This Row],[Quantity]])*(1-OrderDetails[[#This Row],[Discount]])</f>
        <v>122.39999979734421</v>
      </c>
      <c r="I651" s="15" t="str">
        <f>_xlfn.XLOOKUP(OrderDetails[[#This Row],[ProductID]],Product!A:A,Product!G:G,"Not Found")</f>
        <v>Condiments</v>
      </c>
      <c r="J651" s="15" t="str">
        <f>LOOKUP(MONTH(G651),{1,4,7,10},{"Winter","Spring","Summer","Autumn"})</f>
        <v>Spring</v>
      </c>
      <c r="K651" s="15" t="str">
        <f>_xlfn.XLOOKUP(OrderDetails[[#This Row],[ProductID]],Product!A:A,Product!B:B,"Not Found")</f>
        <v>Louisiana Hot Spiced Okra</v>
      </c>
    </row>
    <row r="652" spans="1:11">
      <c r="A652" s="1">
        <v>10493</v>
      </c>
      <c r="B652" s="1">
        <v>69</v>
      </c>
      <c r="C652" s="1">
        <v>28.8</v>
      </c>
      <c r="D652" s="1">
        <v>10</v>
      </c>
      <c r="E652" s="3">
        <v>0.10000000149011612</v>
      </c>
      <c r="F652" s="1" t="str">
        <f>_xlfn.XLOOKUP(A652,Orders!A:A,Orders!B:B,"not found")</f>
        <v>LAMAI</v>
      </c>
      <c r="G652" s="13">
        <f>_xlfn.XLOOKUP(OrderDetails[[#This Row],[OrderID]],Orders!A:A,Orders!C:C,"Not Found")</f>
        <v>35522</v>
      </c>
      <c r="H652" s="16">
        <f>(OrderDetails[[#This Row],[UnitPrice]]*OrderDetails[[#This Row],[Quantity]])*(1-OrderDetails[[#This Row],[Discount]])</f>
        <v>259.19999957084656</v>
      </c>
      <c r="I652" s="15" t="str">
        <f>_xlfn.XLOOKUP(OrderDetails[[#This Row],[ProductID]],Product!A:A,Product!G:G,"Not Found")</f>
        <v>Dairy Products</v>
      </c>
      <c r="J652" s="15" t="str">
        <f>LOOKUP(MONTH(G652),{1,4,7,10},{"Winter","Spring","Summer","Autumn"})</f>
        <v>Spring</v>
      </c>
      <c r="K652" s="15" t="str">
        <f>_xlfn.XLOOKUP(OrderDetails[[#This Row],[ProductID]],Product!A:A,Product!B:B,"Not Found")</f>
        <v>Gudbrandsdalsost</v>
      </c>
    </row>
    <row r="653" spans="1:11">
      <c r="A653" s="2">
        <v>10494</v>
      </c>
      <c r="B653" s="2">
        <v>56</v>
      </c>
      <c r="C653" s="2">
        <v>30.4</v>
      </c>
      <c r="D653" s="2">
        <v>30</v>
      </c>
      <c r="E653" s="4">
        <v>0</v>
      </c>
      <c r="F653" s="1" t="str">
        <f>_xlfn.XLOOKUP(A653,Orders!A:A,Orders!B:B,"not found")</f>
        <v>COMMI</v>
      </c>
      <c r="G653" s="13">
        <f>_xlfn.XLOOKUP(OrderDetails[[#This Row],[OrderID]],Orders!A:A,Orders!C:C,"Not Found")</f>
        <v>35522</v>
      </c>
      <c r="H653" s="16">
        <f>(OrderDetails[[#This Row],[UnitPrice]]*OrderDetails[[#This Row],[Quantity]])*(1-OrderDetails[[#This Row],[Discount]])</f>
        <v>912</v>
      </c>
      <c r="I653" s="15" t="str">
        <f>_xlfn.XLOOKUP(OrderDetails[[#This Row],[ProductID]],Product!A:A,Product!G:G,"Not Found")</f>
        <v>Grains/Cereals</v>
      </c>
      <c r="J653" s="15" t="str">
        <f>LOOKUP(MONTH(G653),{1,4,7,10},{"Winter","Spring","Summer","Autumn"})</f>
        <v>Spring</v>
      </c>
      <c r="K653" s="15" t="str">
        <f>_xlfn.XLOOKUP(OrderDetails[[#This Row],[ProductID]],Product!A:A,Product!B:B,"Not Found")</f>
        <v>Gnocchi di nonna Alice</v>
      </c>
    </row>
    <row r="654" spans="1:11">
      <c r="A654" s="1">
        <v>10495</v>
      </c>
      <c r="B654" s="1">
        <v>23</v>
      </c>
      <c r="C654" s="1">
        <v>7.2</v>
      </c>
      <c r="D654" s="1">
        <v>10</v>
      </c>
      <c r="E654" s="3">
        <v>0</v>
      </c>
      <c r="F654" s="1" t="str">
        <f>_xlfn.XLOOKUP(A654,Orders!A:A,Orders!B:B,"not found")</f>
        <v>LAUGB</v>
      </c>
      <c r="G654" s="13">
        <f>_xlfn.XLOOKUP(OrderDetails[[#This Row],[OrderID]],Orders!A:A,Orders!C:C,"Not Found")</f>
        <v>35523</v>
      </c>
      <c r="H654" s="16">
        <f>(OrderDetails[[#This Row],[UnitPrice]]*OrderDetails[[#This Row],[Quantity]])*(1-OrderDetails[[#This Row],[Discount]])</f>
        <v>72</v>
      </c>
      <c r="I654" s="15" t="str">
        <f>_xlfn.XLOOKUP(OrderDetails[[#This Row],[ProductID]],Product!A:A,Product!G:G,"Not Found")</f>
        <v>Grains/Cereals</v>
      </c>
      <c r="J654" s="15" t="str">
        <f>LOOKUP(MONTH(G654),{1,4,7,10},{"Winter","Spring","Summer","Autumn"})</f>
        <v>Spring</v>
      </c>
      <c r="K654" s="15" t="str">
        <f>_xlfn.XLOOKUP(OrderDetails[[#This Row],[ProductID]],Product!A:A,Product!B:B,"Not Found")</f>
        <v>Tunnbröd</v>
      </c>
    </row>
    <row r="655" spans="1:11">
      <c r="A655" s="2">
        <v>10495</v>
      </c>
      <c r="B655" s="2">
        <v>41</v>
      </c>
      <c r="C655" s="2">
        <v>7.7</v>
      </c>
      <c r="D655" s="2">
        <v>20</v>
      </c>
      <c r="E655" s="4">
        <v>0</v>
      </c>
      <c r="F655" s="1" t="str">
        <f>_xlfn.XLOOKUP(A655,Orders!A:A,Orders!B:B,"not found")</f>
        <v>LAUGB</v>
      </c>
      <c r="G655" s="13">
        <f>_xlfn.XLOOKUP(OrderDetails[[#This Row],[OrderID]],Orders!A:A,Orders!C:C,"Not Found")</f>
        <v>35523</v>
      </c>
      <c r="H655" s="16">
        <f>(OrderDetails[[#This Row],[UnitPrice]]*OrderDetails[[#This Row],[Quantity]])*(1-OrderDetails[[#This Row],[Discount]])</f>
        <v>154</v>
      </c>
      <c r="I655" s="15" t="str">
        <f>_xlfn.XLOOKUP(OrderDetails[[#This Row],[ProductID]],Product!A:A,Product!G:G,"Not Found")</f>
        <v>Seafood</v>
      </c>
      <c r="J655" s="15" t="str">
        <f>LOOKUP(MONTH(G655),{1,4,7,10},{"Winter","Spring","Summer","Autumn"})</f>
        <v>Spring</v>
      </c>
      <c r="K655" s="15" t="str">
        <f>_xlfn.XLOOKUP(OrderDetails[[#This Row],[ProductID]],Product!A:A,Product!B:B,"Not Found")</f>
        <v>Jack's New England Clam Chowder</v>
      </c>
    </row>
    <row r="656" spans="1:11">
      <c r="A656" s="1">
        <v>10495</v>
      </c>
      <c r="B656" s="1">
        <v>77</v>
      </c>
      <c r="C656" s="1">
        <v>10.4</v>
      </c>
      <c r="D656" s="1">
        <v>5</v>
      </c>
      <c r="E656" s="3">
        <v>0</v>
      </c>
      <c r="F656" s="1" t="str">
        <f>_xlfn.XLOOKUP(A656,Orders!A:A,Orders!B:B,"not found")</f>
        <v>LAUGB</v>
      </c>
      <c r="G656" s="13">
        <f>_xlfn.XLOOKUP(OrderDetails[[#This Row],[OrderID]],Orders!A:A,Orders!C:C,"Not Found")</f>
        <v>35523</v>
      </c>
      <c r="H656" s="16">
        <f>(OrderDetails[[#This Row],[UnitPrice]]*OrderDetails[[#This Row],[Quantity]])*(1-OrderDetails[[#This Row],[Discount]])</f>
        <v>52</v>
      </c>
      <c r="I656" s="15" t="str">
        <f>_xlfn.XLOOKUP(OrderDetails[[#This Row],[ProductID]],Product!A:A,Product!G:G,"Not Found")</f>
        <v>Condiments</v>
      </c>
      <c r="J656" s="15" t="str">
        <f>LOOKUP(MONTH(G656),{1,4,7,10},{"Winter","Spring","Summer","Autumn"})</f>
        <v>Spring</v>
      </c>
      <c r="K656" s="15" t="str">
        <f>_xlfn.XLOOKUP(OrderDetails[[#This Row],[ProductID]],Product!A:A,Product!B:B,"Not Found")</f>
        <v>Original Frankfurter grüne Soße</v>
      </c>
    </row>
    <row r="657" spans="1:11">
      <c r="A657" s="2">
        <v>10496</v>
      </c>
      <c r="B657" s="2">
        <v>31</v>
      </c>
      <c r="C657" s="2">
        <v>10</v>
      </c>
      <c r="D657" s="2">
        <v>20</v>
      </c>
      <c r="E657" s="4">
        <v>5.000000074505806E-2</v>
      </c>
      <c r="F657" s="1" t="str">
        <f>_xlfn.XLOOKUP(A657,Orders!A:A,Orders!B:B,"not found")</f>
        <v>TRADH</v>
      </c>
      <c r="G657" s="13">
        <f>_xlfn.XLOOKUP(OrderDetails[[#This Row],[OrderID]],Orders!A:A,Orders!C:C,"Not Found")</f>
        <v>35524</v>
      </c>
      <c r="H657" s="16">
        <f>(OrderDetails[[#This Row],[UnitPrice]]*OrderDetails[[#This Row],[Quantity]])*(1-OrderDetails[[#This Row],[Discount]])</f>
        <v>189.99999985098839</v>
      </c>
      <c r="I657" s="15" t="str">
        <f>_xlfn.XLOOKUP(OrderDetails[[#This Row],[ProductID]],Product!A:A,Product!G:G,"Not Found")</f>
        <v>Dairy Products</v>
      </c>
      <c r="J657" s="15" t="str">
        <f>LOOKUP(MONTH(G657),{1,4,7,10},{"Winter","Spring","Summer","Autumn"})</f>
        <v>Spring</v>
      </c>
      <c r="K657" s="15" t="str">
        <f>_xlfn.XLOOKUP(OrderDetails[[#This Row],[ProductID]],Product!A:A,Product!B:B,"Not Found")</f>
        <v>Gorgonzola Telino</v>
      </c>
    </row>
    <row r="658" spans="1:11">
      <c r="A658" s="1">
        <v>10497</v>
      </c>
      <c r="B658" s="1">
        <v>56</v>
      </c>
      <c r="C658" s="1">
        <v>30.4</v>
      </c>
      <c r="D658" s="1">
        <v>14</v>
      </c>
      <c r="E658" s="3">
        <v>0</v>
      </c>
      <c r="F658" s="1" t="str">
        <f>_xlfn.XLOOKUP(A658,Orders!A:A,Orders!B:B,"not found")</f>
        <v>LEHMS</v>
      </c>
      <c r="G658" s="13">
        <f>_xlfn.XLOOKUP(OrderDetails[[#This Row],[OrderID]],Orders!A:A,Orders!C:C,"Not Found")</f>
        <v>35524</v>
      </c>
      <c r="H658" s="16">
        <f>(OrderDetails[[#This Row],[UnitPrice]]*OrderDetails[[#This Row],[Quantity]])*(1-OrderDetails[[#This Row],[Discount]])</f>
        <v>425.59999999999997</v>
      </c>
      <c r="I658" s="15" t="str">
        <f>_xlfn.XLOOKUP(OrderDetails[[#This Row],[ProductID]],Product!A:A,Product!G:G,"Not Found")</f>
        <v>Grains/Cereals</v>
      </c>
      <c r="J658" s="15" t="str">
        <f>LOOKUP(MONTH(G658),{1,4,7,10},{"Winter","Spring","Summer","Autumn"})</f>
        <v>Spring</v>
      </c>
      <c r="K658" s="15" t="str">
        <f>_xlfn.XLOOKUP(OrderDetails[[#This Row],[ProductID]],Product!A:A,Product!B:B,"Not Found")</f>
        <v>Gnocchi di nonna Alice</v>
      </c>
    </row>
    <row r="659" spans="1:11">
      <c r="A659" s="2">
        <v>10497</v>
      </c>
      <c r="B659" s="2">
        <v>72</v>
      </c>
      <c r="C659" s="2">
        <v>27.8</v>
      </c>
      <c r="D659" s="2">
        <v>25</v>
      </c>
      <c r="E659" s="4">
        <v>0</v>
      </c>
      <c r="F659" s="1" t="str">
        <f>_xlfn.XLOOKUP(A659,Orders!A:A,Orders!B:B,"not found")</f>
        <v>LEHMS</v>
      </c>
      <c r="G659" s="13">
        <f>_xlfn.XLOOKUP(OrderDetails[[#This Row],[OrderID]],Orders!A:A,Orders!C:C,"Not Found")</f>
        <v>35524</v>
      </c>
      <c r="H659" s="16">
        <f>(OrderDetails[[#This Row],[UnitPrice]]*OrderDetails[[#This Row],[Quantity]])*(1-OrderDetails[[#This Row],[Discount]])</f>
        <v>695</v>
      </c>
      <c r="I659" s="15" t="str">
        <f>_xlfn.XLOOKUP(OrderDetails[[#This Row],[ProductID]],Product!A:A,Product!G:G,"Not Found")</f>
        <v>Dairy Products</v>
      </c>
      <c r="J659" s="15" t="str">
        <f>LOOKUP(MONTH(G659),{1,4,7,10},{"Winter","Spring","Summer","Autumn"})</f>
        <v>Spring</v>
      </c>
      <c r="K659" s="15" t="str">
        <f>_xlfn.XLOOKUP(OrderDetails[[#This Row],[ProductID]],Product!A:A,Product!B:B,"Not Found")</f>
        <v>Mozzarella di Giovanni</v>
      </c>
    </row>
    <row r="660" spans="1:11">
      <c r="A660" s="1">
        <v>10497</v>
      </c>
      <c r="B660" s="1">
        <v>77</v>
      </c>
      <c r="C660" s="1">
        <v>10.4</v>
      </c>
      <c r="D660" s="1">
        <v>25</v>
      </c>
      <c r="E660" s="3">
        <v>0</v>
      </c>
      <c r="F660" s="1" t="str">
        <f>_xlfn.XLOOKUP(A660,Orders!A:A,Orders!B:B,"not found")</f>
        <v>LEHMS</v>
      </c>
      <c r="G660" s="13">
        <f>_xlfn.XLOOKUP(OrderDetails[[#This Row],[OrderID]],Orders!A:A,Orders!C:C,"Not Found")</f>
        <v>35524</v>
      </c>
      <c r="H660" s="16">
        <f>(OrderDetails[[#This Row],[UnitPrice]]*OrderDetails[[#This Row],[Quantity]])*(1-OrderDetails[[#This Row],[Discount]])</f>
        <v>260</v>
      </c>
      <c r="I660" s="15" t="str">
        <f>_xlfn.XLOOKUP(OrderDetails[[#This Row],[ProductID]],Product!A:A,Product!G:G,"Not Found")</f>
        <v>Condiments</v>
      </c>
      <c r="J660" s="15" t="str">
        <f>LOOKUP(MONTH(G660),{1,4,7,10},{"Winter","Spring","Summer","Autumn"})</f>
        <v>Spring</v>
      </c>
      <c r="K660" s="15" t="str">
        <f>_xlfn.XLOOKUP(OrderDetails[[#This Row],[ProductID]],Product!A:A,Product!B:B,"Not Found")</f>
        <v>Original Frankfurter grüne Soße</v>
      </c>
    </row>
    <row r="661" spans="1:11">
      <c r="A661" s="2">
        <v>10498</v>
      </c>
      <c r="B661" s="2">
        <v>24</v>
      </c>
      <c r="C661" s="2">
        <v>4.5</v>
      </c>
      <c r="D661" s="2">
        <v>14</v>
      </c>
      <c r="E661" s="4">
        <v>0</v>
      </c>
      <c r="F661" s="1" t="str">
        <f>_xlfn.XLOOKUP(A661,Orders!A:A,Orders!B:B,"not found")</f>
        <v>HILAA</v>
      </c>
      <c r="G661" s="13">
        <f>_xlfn.XLOOKUP(OrderDetails[[#This Row],[OrderID]],Orders!A:A,Orders!C:C,"Not Found")</f>
        <v>35527</v>
      </c>
      <c r="H661" s="16">
        <f>(OrderDetails[[#This Row],[UnitPrice]]*OrderDetails[[#This Row],[Quantity]])*(1-OrderDetails[[#This Row],[Discount]])</f>
        <v>63</v>
      </c>
      <c r="I661" s="15" t="str">
        <f>_xlfn.XLOOKUP(OrderDetails[[#This Row],[ProductID]],Product!A:A,Product!G:G,"Not Found")</f>
        <v>Beverages</v>
      </c>
      <c r="J661" s="15" t="str">
        <f>LOOKUP(MONTH(G661),{1,4,7,10},{"Winter","Spring","Summer","Autumn"})</f>
        <v>Spring</v>
      </c>
      <c r="K661" s="15" t="str">
        <f>_xlfn.XLOOKUP(OrderDetails[[#This Row],[ProductID]],Product!A:A,Product!B:B,"Not Found")</f>
        <v>Guaraná Fantástica</v>
      </c>
    </row>
    <row r="662" spans="1:11">
      <c r="A662" s="1">
        <v>10498</v>
      </c>
      <c r="B662" s="1">
        <v>40</v>
      </c>
      <c r="C662" s="1">
        <v>18.399999999999999</v>
      </c>
      <c r="D662" s="1">
        <v>5</v>
      </c>
      <c r="E662" s="3">
        <v>0</v>
      </c>
      <c r="F662" s="1" t="str">
        <f>_xlfn.XLOOKUP(A662,Orders!A:A,Orders!B:B,"not found")</f>
        <v>HILAA</v>
      </c>
      <c r="G662" s="13">
        <f>_xlfn.XLOOKUP(OrderDetails[[#This Row],[OrderID]],Orders!A:A,Orders!C:C,"Not Found")</f>
        <v>35527</v>
      </c>
      <c r="H662" s="16">
        <f>(OrderDetails[[#This Row],[UnitPrice]]*OrderDetails[[#This Row],[Quantity]])*(1-OrderDetails[[#This Row],[Discount]])</f>
        <v>92</v>
      </c>
      <c r="I662" s="15" t="str">
        <f>_xlfn.XLOOKUP(OrderDetails[[#This Row],[ProductID]],Product!A:A,Product!G:G,"Not Found")</f>
        <v>Seafood</v>
      </c>
      <c r="J662" s="15" t="str">
        <f>LOOKUP(MONTH(G662),{1,4,7,10},{"Winter","Spring","Summer","Autumn"})</f>
        <v>Spring</v>
      </c>
      <c r="K662" s="15" t="str">
        <f>_xlfn.XLOOKUP(OrderDetails[[#This Row],[ProductID]],Product!A:A,Product!B:B,"Not Found")</f>
        <v>Boston Crab Meat</v>
      </c>
    </row>
    <row r="663" spans="1:11">
      <c r="A663" s="2">
        <v>10498</v>
      </c>
      <c r="B663" s="2">
        <v>42</v>
      </c>
      <c r="C663" s="2">
        <v>14</v>
      </c>
      <c r="D663" s="2">
        <v>30</v>
      </c>
      <c r="E663" s="4">
        <v>0</v>
      </c>
      <c r="F663" s="1" t="str">
        <f>_xlfn.XLOOKUP(A663,Orders!A:A,Orders!B:B,"not found")</f>
        <v>HILAA</v>
      </c>
      <c r="G663" s="13">
        <f>_xlfn.XLOOKUP(OrderDetails[[#This Row],[OrderID]],Orders!A:A,Orders!C:C,"Not Found")</f>
        <v>35527</v>
      </c>
      <c r="H663" s="16">
        <f>(OrderDetails[[#This Row],[UnitPrice]]*OrderDetails[[#This Row],[Quantity]])*(1-OrderDetails[[#This Row],[Discount]])</f>
        <v>420</v>
      </c>
      <c r="I663" s="15" t="str">
        <f>_xlfn.XLOOKUP(OrderDetails[[#This Row],[ProductID]],Product!A:A,Product!G:G,"Not Found")</f>
        <v>Grains/Cereals</v>
      </c>
      <c r="J663" s="15" t="str">
        <f>LOOKUP(MONTH(G663),{1,4,7,10},{"Winter","Spring","Summer","Autumn"})</f>
        <v>Spring</v>
      </c>
      <c r="K663" s="15" t="str">
        <f>_xlfn.XLOOKUP(OrderDetails[[#This Row],[ProductID]],Product!A:A,Product!B:B,"Not Found")</f>
        <v>Singaporean Hokkien Fried Mee</v>
      </c>
    </row>
    <row r="664" spans="1:11">
      <c r="A664" s="1">
        <v>10499</v>
      </c>
      <c r="B664" s="1">
        <v>28</v>
      </c>
      <c r="C664" s="1">
        <v>45.6</v>
      </c>
      <c r="D664" s="1">
        <v>20</v>
      </c>
      <c r="E664" s="3">
        <v>0</v>
      </c>
      <c r="F664" s="1" t="str">
        <f>_xlfn.XLOOKUP(A664,Orders!A:A,Orders!B:B,"not found")</f>
        <v>LILAS</v>
      </c>
      <c r="G664" s="13">
        <f>_xlfn.XLOOKUP(OrderDetails[[#This Row],[OrderID]],Orders!A:A,Orders!C:C,"Not Found")</f>
        <v>35528</v>
      </c>
      <c r="H664" s="16">
        <f>(OrderDetails[[#This Row],[UnitPrice]]*OrderDetails[[#This Row],[Quantity]])*(1-OrderDetails[[#This Row],[Discount]])</f>
        <v>912</v>
      </c>
      <c r="I664" s="15" t="str">
        <f>_xlfn.XLOOKUP(OrderDetails[[#This Row],[ProductID]],Product!A:A,Product!G:G,"Not Found")</f>
        <v>Produce</v>
      </c>
      <c r="J664" s="15" t="str">
        <f>LOOKUP(MONTH(G664),{1,4,7,10},{"Winter","Spring","Summer","Autumn"})</f>
        <v>Spring</v>
      </c>
      <c r="K664" s="15" t="str">
        <f>_xlfn.XLOOKUP(OrderDetails[[#This Row],[ProductID]],Product!A:A,Product!B:B,"Not Found")</f>
        <v>Rössle Sauerkraut</v>
      </c>
    </row>
    <row r="665" spans="1:11">
      <c r="A665" s="2">
        <v>10499</v>
      </c>
      <c r="B665" s="2">
        <v>49</v>
      </c>
      <c r="C665" s="2">
        <v>20</v>
      </c>
      <c r="D665" s="2">
        <v>25</v>
      </c>
      <c r="E665" s="4">
        <v>0</v>
      </c>
      <c r="F665" s="1" t="str">
        <f>_xlfn.XLOOKUP(A665,Orders!A:A,Orders!B:B,"not found")</f>
        <v>LILAS</v>
      </c>
      <c r="G665" s="13">
        <f>_xlfn.XLOOKUP(OrderDetails[[#This Row],[OrderID]],Orders!A:A,Orders!C:C,"Not Found")</f>
        <v>35528</v>
      </c>
      <c r="H665" s="16">
        <f>(OrderDetails[[#This Row],[UnitPrice]]*OrderDetails[[#This Row],[Quantity]])*(1-OrderDetails[[#This Row],[Discount]])</f>
        <v>500</v>
      </c>
      <c r="I665" s="15" t="str">
        <f>_xlfn.XLOOKUP(OrderDetails[[#This Row],[ProductID]],Product!A:A,Product!G:G,"Not Found")</f>
        <v>Confections</v>
      </c>
      <c r="J665" s="15" t="str">
        <f>LOOKUP(MONTH(G665),{1,4,7,10},{"Winter","Spring","Summer","Autumn"})</f>
        <v>Spring</v>
      </c>
      <c r="K665" s="15" t="str">
        <f>_xlfn.XLOOKUP(OrderDetails[[#This Row],[ProductID]],Product!A:A,Product!B:B,"Not Found")</f>
        <v>Maxilaku</v>
      </c>
    </row>
    <row r="666" spans="1:11">
      <c r="A666" s="1">
        <v>10500</v>
      </c>
      <c r="B666" s="1">
        <v>15</v>
      </c>
      <c r="C666" s="1">
        <v>15.5</v>
      </c>
      <c r="D666" s="1">
        <v>12</v>
      </c>
      <c r="E666" s="3">
        <v>5.000000074505806E-2</v>
      </c>
      <c r="F666" s="1" t="str">
        <f>_xlfn.XLOOKUP(A666,Orders!A:A,Orders!B:B,"not found")</f>
        <v>LAMAI</v>
      </c>
      <c r="G666" s="13">
        <f>_xlfn.XLOOKUP(OrderDetails[[#This Row],[OrderID]],Orders!A:A,Orders!C:C,"Not Found")</f>
        <v>35529</v>
      </c>
      <c r="H666" s="16">
        <f>(OrderDetails[[#This Row],[UnitPrice]]*OrderDetails[[#This Row],[Quantity]])*(1-OrderDetails[[#This Row],[Discount]])</f>
        <v>176.6999998614192</v>
      </c>
      <c r="I666" s="15" t="str">
        <f>_xlfn.XLOOKUP(OrderDetails[[#This Row],[ProductID]],Product!A:A,Product!G:G,"Not Found")</f>
        <v>Condiments</v>
      </c>
      <c r="J666" s="15" t="str">
        <f>LOOKUP(MONTH(G666),{1,4,7,10},{"Winter","Spring","Summer","Autumn"})</f>
        <v>Spring</v>
      </c>
      <c r="K666" s="15" t="str">
        <f>_xlfn.XLOOKUP(OrderDetails[[#This Row],[ProductID]],Product!A:A,Product!B:B,"Not Found")</f>
        <v>Genen Shouyu</v>
      </c>
    </row>
    <row r="667" spans="1:11">
      <c r="A667" s="2">
        <v>10500</v>
      </c>
      <c r="B667" s="2">
        <v>28</v>
      </c>
      <c r="C667" s="2">
        <v>45.6</v>
      </c>
      <c r="D667" s="2">
        <v>8</v>
      </c>
      <c r="E667" s="4">
        <v>5.000000074505806E-2</v>
      </c>
      <c r="F667" s="1" t="str">
        <f>_xlfn.XLOOKUP(A667,Orders!A:A,Orders!B:B,"not found")</f>
        <v>LAMAI</v>
      </c>
      <c r="G667" s="13">
        <f>_xlfn.XLOOKUP(OrderDetails[[#This Row],[OrderID]],Orders!A:A,Orders!C:C,"Not Found")</f>
        <v>35529</v>
      </c>
      <c r="H667" s="16">
        <f>(OrderDetails[[#This Row],[UnitPrice]]*OrderDetails[[#This Row],[Quantity]])*(1-OrderDetails[[#This Row],[Discount]])</f>
        <v>346.55999972820285</v>
      </c>
      <c r="I667" s="15" t="str">
        <f>_xlfn.XLOOKUP(OrderDetails[[#This Row],[ProductID]],Product!A:A,Product!G:G,"Not Found")</f>
        <v>Produce</v>
      </c>
      <c r="J667" s="15" t="str">
        <f>LOOKUP(MONTH(G667),{1,4,7,10},{"Winter","Spring","Summer","Autumn"})</f>
        <v>Spring</v>
      </c>
      <c r="K667" s="15" t="str">
        <f>_xlfn.XLOOKUP(OrderDetails[[#This Row],[ProductID]],Product!A:A,Product!B:B,"Not Found")</f>
        <v>Rössle Sauerkraut</v>
      </c>
    </row>
    <row r="668" spans="1:11">
      <c r="A668" s="1">
        <v>10501</v>
      </c>
      <c r="B668" s="1">
        <v>54</v>
      </c>
      <c r="C668" s="1">
        <v>7.45</v>
      </c>
      <c r="D668" s="1">
        <v>20</v>
      </c>
      <c r="E668" s="3">
        <v>0</v>
      </c>
      <c r="F668" s="1" t="str">
        <f>_xlfn.XLOOKUP(A668,Orders!A:A,Orders!B:B,"not found")</f>
        <v>BLAUS</v>
      </c>
      <c r="G668" s="13">
        <f>_xlfn.XLOOKUP(OrderDetails[[#This Row],[OrderID]],Orders!A:A,Orders!C:C,"Not Found")</f>
        <v>35529</v>
      </c>
      <c r="H668" s="16">
        <f>(OrderDetails[[#This Row],[UnitPrice]]*OrderDetails[[#This Row],[Quantity]])*(1-OrderDetails[[#This Row],[Discount]])</f>
        <v>149</v>
      </c>
      <c r="I668" s="15" t="str">
        <f>_xlfn.XLOOKUP(OrderDetails[[#This Row],[ProductID]],Product!A:A,Product!G:G,"Not Found")</f>
        <v>Meat/Poultry</v>
      </c>
      <c r="J668" s="15" t="str">
        <f>LOOKUP(MONTH(G668),{1,4,7,10},{"Winter","Spring","Summer","Autumn"})</f>
        <v>Spring</v>
      </c>
      <c r="K668" s="15" t="str">
        <f>_xlfn.XLOOKUP(OrderDetails[[#This Row],[ProductID]],Product!A:A,Product!B:B,"Not Found")</f>
        <v>Tourtière</v>
      </c>
    </row>
    <row r="669" spans="1:11">
      <c r="A669" s="2">
        <v>10502</v>
      </c>
      <c r="B669" s="2">
        <v>45</v>
      </c>
      <c r="C669" s="2">
        <v>9.5</v>
      </c>
      <c r="D669" s="2">
        <v>21</v>
      </c>
      <c r="E669" s="4">
        <v>0</v>
      </c>
      <c r="F669" s="1" t="str">
        <f>_xlfn.XLOOKUP(A669,Orders!A:A,Orders!B:B,"not found")</f>
        <v>PERIC</v>
      </c>
      <c r="G669" s="13">
        <f>_xlfn.XLOOKUP(OrderDetails[[#This Row],[OrderID]],Orders!A:A,Orders!C:C,"Not Found")</f>
        <v>35530</v>
      </c>
      <c r="H669" s="16">
        <f>(OrderDetails[[#This Row],[UnitPrice]]*OrderDetails[[#This Row],[Quantity]])*(1-OrderDetails[[#This Row],[Discount]])</f>
        <v>199.5</v>
      </c>
      <c r="I669" s="15" t="str">
        <f>_xlfn.XLOOKUP(OrderDetails[[#This Row],[ProductID]],Product!A:A,Product!G:G,"Not Found")</f>
        <v>Seafood</v>
      </c>
      <c r="J669" s="15" t="str">
        <f>LOOKUP(MONTH(G669),{1,4,7,10},{"Winter","Spring","Summer","Autumn"})</f>
        <v>Spring</v>
      </c>
      <c r="K669" s="15" t="str">
        <f>_xlfn.XLOOKUP(OrderDetails[[#This Row],[ProductID]],Product!A:A,Product!B:B,"Not Found")</f>
        <v>Rogede sild</v>
      </c>
    </row>
    <row r="670" spans="1:11">
      <c r="A670" s="1">
        <v>10502</v>
      </c>
      <c r="B670" s="1">
        <v>53</v>
      </c>
      <c r="C670" s="1">
        <v>32.799999999999997</v>
      </c>
      <c r="D670" s="1">
        <v>6</v>
      </c>
      <c r="E670" s="3">
        <v>0</v>
      </c>
      <c r="F670" s="1" t="str">
        <f>_xlfn.XLOOKUP(A670,Orders!A:A,Orders!B:B,"not found")</f>
        <v>PERIC</v>
      </c>
      <c r="G670" s="13">
        <f>_xlfn.XLOOKUP(OrderDetails[[#This Row],[OrderID]],Orders!A:A,Orders!C:C,"Not Found")</f>
        <v>35530</v>
      </c>
      <c r="H670" s="16">
        <f>(OrderDetails[[#This Row],[UnitPrice]]*OrderDetails[[#This Row],[Quantity]])*(1-OrderDetails[[#This Row],[Discount]])</f>
        <v>196.79999999999998</v>
      </c>
      <c r="I670" s="15" t="str">
        <f>_xlfn.XLOOKUP(OrderDetails[[#This Row],[ProductID]],Product!A:A,Product!G:G,"Not Found")</f>
        <v>Meat/Poultry</v>
      </c>
      <c r="J670" s="15" t="str">
        <f>LOOKUP(MONTH(G670),{1,4,7,10},{"Winter","Spring","Summer","Autumn"})</f>
        <v>Spring</v>
      </c>
      <c r="K670" s="15" t="str">
        <f>_xlfn.XLOOKUP(OrderDetails[[#This Row],[ProductID]],Product!A:A,Product!B:B,"Not Found")</f>
        <v>Perth Pasties</v>
      </c>
    </row>
    <row r="671" spans="1:11">
      <c r="A671" s="2">
        <v>10502</v>
      </c>
      <c r="B671" s="2">
        <v>67</v>
      </c>
      <c r="C671" s="2">
        <v>14</v>
      </c>
      <c r="D671" s="2">
        <v>30</v>
      </c>
      <c r="E671" s="4">
        <v>0</v>
      </c>
      <c r="F671" s="1" t="str">
        <f>_xlfn.XLOOKUP(A671,Orders!A:A,Orders!B:B,"not found")</f>
        <v>PERIC</v>
      </c>
      <c r="G671" s="13">
        <f>_xlfn.XLOOKUP(OrderDetails[[#This Row],[OrderID]],Orders!A:A,Orders!C:C,"Not Found")</f>
        <v>35530</v>
      </c>
      <c r="H671" s="16">
        <f>(OrderDetails[[#This Row],[UnitPrice]]*OrderDetails[[#This Row],[Quantity]])*(1-OrderDetails[[#This Row],[Discount]])</f>
        <v>420</v>
      </c>
      <c r="I671" s="15" t="str">
        <f>_xlfn.XLOOKUP(OrderDetails[[#This Row],[ProductID]],Product!A:A,Product!G:G,"Not Found")</f>
        <v>Beverages</v>
      </c>
      <c r="J671" s="15" t="str">
        <f>LOOKUP(MONTH(G671),{1,4,7,10},{"Winter","Spring","Summer","Autumn"})</f>
        <v>Spring</v>
      </c>
      <c r="K671" s="15" t="str">
        <f>_xlfn.XLOOKUP(OrderDetails[[#This Row],[ProductID]],Product!A:A,Product!B:B,"Not Found")</f>
        <v>Laughing Lumberjack Lager</v>
      </c>
    </row>
    <row r="672" spans="1:11">
      <c r="A672" s="1">
        <v>10503</v>
      </c>
      <c r="B672" s="1">
        <v>14</v>
      </c>
      <c r="C672" s="1">
        <v>23.25</v>
      </c>
      <c r="D672" s="1">
        <v>70</v>
      </c>
      <c r="E672" s="3">
        <v>0</v>
      </c>
      <c r="F672" s="1" t="str">
        <f>_xlfn.XLOOKUP(A672,Orders!A:A,Orders!B:B,"not found")</f>
        <v>HUNGO</v>
      </c>
      <c r="G672" s="13">
        <f>_xlfn.XLOOKUP(OrderDetails[[#This Row],[OrderID]],Orders!A:A,Orders!C:C,"Not Found")</f>
        <v>35531</v>
      </c>
      <c r="H672" s="16">
        <f>(OrderDetails[[#This Row],[UnitPrice]]*OrderDetails[[#This Row],[Quantity]])*(1-OrderDetails[[#This Row],[Discount]])</f>
        <v>1627.5</v>
      </c>
      <c r="I672" s="15" t="str">
        <f>_xlfn.XLOOKUP(OrderDetails[[#This Row],[ProductID]],Product!A:A,Product!G:G,"Not Found")</f>
        <v>Produce</v>
      </c>
      <c r="J672" s="15" t="str">
        <f>LOOKUP(MONTH(G672),{1,4,7,10},{"Winter","Spring","Summer","Autumn"})</f>
        <v>Spring</v>
      </c>
      <c r="K672" s="15" t="str">
        <f>_xlfn.XLOOKUP(OrderDetails[[#This Row],[ProductID]],Product!A:A,Product!B:B,"Not Found")</f>
        <v>Tofu</v>
      </c>
    </row>
    <row r="673" spans="1:11">
      <c r="A673" s="2">
        <v>10503</v>
      </c>
      <c r="B673" s="2">
        <v>65</v>
      </c>
      <c r="C673" s="2">
        <v>21.05</v>
      </c>
      <c r="D673" s="2">
        <v>20</v>
      </c>
      <c r="E673" s="4">
        <v>0</v>
      </c>
      <c r="F673" s="1" t="str">
        <f>_xlfn.XLOOKUP(A673,Orders!A:A,Orders!B:B,"not found")</f>
        <v>HUNGO</v>
      </c>
      <c r="G673" s="13">
        <f>_xlfn.XLOOKUP(OrderDetails[[#This Row],[OrderID]],Orders!A:A,Orders!C:C,"Not Found")</f>
        <v>35531</v>
      </c>
      <c r="H673" s="16">
        <f>(OrderDetails[[#This Row],[UnitPrice]]*OrderDetails[[#This Row],[Quantity]])*(1-OrderDetails[[#This Row],[Discount]])</f>
        <v>421</v>
      </c>
      <c r="I673" s="15" t="str">
        <f>_xlfn.XLOOKUP(OrderDetails[[#This Row],[ProductID]],Product!A:A,Product!G:G,"Not Found")</f>
        <v>Condiments</v>
      </c>
      <c r="J673" s="15" t="str">
        <f>LOOKUP(MONTH(G673),{1,4,7,10},{"Winter","Spring","Summer","Autumn"})</f>
        <v>Spring</v>
      </c>
      <c r="K673" s="15" t="str">
        <f>_xlfn.XLOOKUP(OrderDetails[[#This Row],[ProductID]],Product!A:A,Product!B:B,"Not Found")</f>
        <v>Louisiana Fiery Hot Pepper Sauce</v>
      </c>
    </row>
    <row r="674" spans="1:11">
      <c r="A674" s="1">
        <v>10504</v>
      </c>
      <c r="B674" s="1">
        <v>2</v>
      </c>
      <c r="C674" s="1">
        <v>19</v>
      </c>
      <c r="D674" s="1">
        <v>12</v>
      </c>
      <c r="E674" s="3">
        <v>0</v>
      </c>
      <c r="F674" s="1" t="str">
        <f>_xlfn.XLOOKUP(A674,Orders!A:A,Orders!B:B,"not found")</f>
        <v>WHITC</v>
      </c>
      <c r="G674" s="13">
        <f>_xlfn.XLOOKUP(OrderDetails[[#This Row],[OrderID]],Orders!A:A,Orders!C:C,"Not Found")</f>
        <v>35531</v>
      </c>
      <c r="H674" s="16">
        <f>(OrderDetails[[#This Row],[UnitPrice]]*OrderDetails[[#This Row],[Quantity]])*(1-OrderDetails[[#This Row],[Discount]])</f>
        <v>228</v>
      </c>
      <c r="I674" s="15" t="str">
        <f>_xlfn.XLOOKUP(OrderDetails[[#This Row],[ProductID]],Product!A:A,Product!G:G,"Not Found")</f>
        <v>Beverages</v>
      </c>
      <c r="J674" s="15" t="str">
        <f>LOOKUP(MONTH(G674),{1,4,7,10},{"Winter","Spring","Summer","Autumn"})</f>
        <v>Spring</v>
      </c>
      <c r="K674" s="15" t="str">
        <f>_xlfn.XLOOKUP(OrderDetails[[#This Row],[ProductID]],Product!A:A,Product!B:B,"Not Found")</f>
        <v>Chang</v>
      </c>
    </row>
    <row r="675" spans="1:11">
      <c r="A675" s="2">
        <v>10504</v>
      </c>
      <c r="B675" s="2">
        <v>21</v>
      </c>
      <c r="C675" s="2">
        <v>10</v>
      </c>
      <c r="D675" s="2">
        <v>12</v>
      </c>
      <c r="E675" s="4">
        <v>0</v>
      </c>
      <c r="F675" s="1" t="str">
        <f>_xlfn.XLOOKUP(A675,Orders!A:A,Orders!B:B,"not found")</f>
        <v>WHITC</v>
      </c>
      <c r="G675" s="13">
        <f>_xlfn.XLOOKUP(OrderDetails[[#This Row],[OrderID]],Orders!A:A,Orders!C:C,"Not Found")</f>
        <v>35531</v>
      </c>
      <c r="H675" s="16">
        <f>(OrderDetails[[#This Row],[UnitPrice]]*OrderDetails[[#This Row],[Quantity]])*(1-OrderDetails[[#This Row],[Discount]])</f>
        <v>120</v>
      </c>
      <c r="I675" s="15" t="str">
        <f>_xlfn.XLOOKUP(OrderDetails[[#This Row],[ProductID]],Product!A:A,Product!G:G,"Not Found")</f>
        <v>Confections</v>
      </c>
      <c r="J675" s="15" t="str">
        <f>LOOKUP(MONTH(G675),{1,4,7,10},{"Winter","Spring","Summer","Autumn"})</f>
        <v>Spring</v>
      </c>
      <c r="K675" s="15" t="str">
        <f>_xlfn.XLOOKUP(OrderDetails[[#This Row],[ProductID]],Product!A:A,Product!B:B,"Not Found")</f>
        <v>Sir Rodney's Scones</v>
      </c>
    </row>
    <row r="676" spans="1:11">
      <c r="A676" s="1">
        <v>10504</v>
      </c>
      <c r="B676" s="1">
        <v>53</v>
      </c>
      <c r="C676" s="1">
        <v>32.799999999999997</v>
      </c>
      <c r="D676" s="1">
        <v>10</v>
      </c>
      <c r="E676" s="3">
        <v>0</v>
      </c>
      <c r="F676" s="1" t="str">
        <f>_xlfn.XLOOKUP(A676,Orders!A:A,Orders!B:B,"not found")</f>
        <v>WHITC</v>
      </c>
      <c r="G676" s="13">
        <f>_xlfn.XLOOKUP(OrderDetails[[#This Row],[OrderID]],Orders!A:A,Orders!C:C,"Not Found")</f>
        <v>35531</v>
      </c>
      <c r="H676" s="16">
        <f>(OrderDetails[[#This Row],[UnitPrice]]*OrderDetails[[#This Row],[Quantity]])*(1-OrderDetails[[#This Row],[Discount]])</f>
        <v>328</v>
      </c>
      <c r="I676" s="15" t="str">
        <f>_xlfn.XLOOKUP(OrderDetails[[#This Row],[ProductID]],Product!A:A,Product!G:G,"Not Found")</f>
        <v>Meat/Poultry</v>
      </c>
      <c r="J676" s="15" t="str">
        <f>LOOKUP(MONTH(G676),{1,4,7,10},{"Winter","Spring","Summer","Autumn"})</f>
        <v>Spring</v>
      </c>
      <c r="K676" s="15" t="str">
        <f>_xlfn.XLOOKUP(OrderDetails[[#This Row],[ProductID]],Product!A:A,Product!B:B,"Not Found")</f>
        <v>Perth Pasties</v>
      </c>
    </row>
    <row r="677" spans="1:11">
      <c r="A677" s="2">
        <v>10504</v>
      </c>
      <c r="B677" s="2">
        <v>61</v>
      </c>
      <c r="C677" s="2">
        <v>28.5</v>
      </c>
      <c r="D677" s="2">
        <v>25</v>
      </c>
      <c r="E677" s="4">
        <v>0</v>
      </c>
      <c r="F677" s="1" t="str">
        <f>_xlfn.XLOOKUP(A677,Orders!A:A,Orders!B:B,"not found")</f>
        <v>WHITC</v>
      </c>
      <c r="G677" s="13">
        <f>_xlfn.XLOOKUP(OrderDetails[[#This Row],[OrderID]],Orders!A:A,Orders!C:C,"Not Found")</f>
        <v>35531</v>
      </c>
      <c r="H677" s="16">
        <f>(OrderDetails[[#This Row],[UnitPrice]]*OrderDetails[[#This Row],[Quantity]])*(1-OrderDetails[[#This Row],[Discount]])</f>
        <v>712.5</v>
      </c>
      <c r="I677" s="15" t="str">
        <f>_xlfn.XLOOKUP(OrderDetails[[#This Row],[ProductID]],Product!A:A,Product!G:G,"Not Found")</f>
        <v>Condiments</v>
      </c>
      <c r="J677" s="15" t="str">
        <f>LOOKUP(MONTH(G677),{1,4,7,10},{"Winter","Spring","Summer","Autumn"})</f>
        <v>Spring</v>
      </c>
      <c r="K677" s="15" t="str">
        <f>_xlfn.XLOOKUP(OrderDetails[[#This Row],[ProductID]],Product!A:A,Product!B:B,"Not Found")</f>
        <v>Sirop d'érable</v>
      </c>
    </row>
    <row r="678" spans="1:11">
      <c r="A678" s="1">
        <v>10505</v>
      </c>
      <c r="B678" s="1">
        <v>62</v>
      </c>
      <c r="C678" s="1">
        <v>49.3</v>
      </c>
      <c r="D678" s="1">
        <v>3</v>
      </c>
      <c r="E678" s="3">
        <v>0</v>
      </c>
      <c r="F678" s="1" t="str">
        <f>_xlfn.XLOOKUP(A678,Orders!A:A,Orders!B:B,"not found")</f>
        <v>MEREP</v>
      </c>
      <c r="G678" s="13">
        <f>_xlfn.XLOOKUP(OrderDetails[[#This Row],[OrderID]],Orders!A:A,Orders!C:C,"Not Found")</f>
        <v>35534</v>
      </c>
      <c r="H678" s="16">
        <f>(OrderDetails[[#This Row],[UnitPrice]]*OrderDetails[[#This Row],[Quantity]])*(1-OrderDetails[[#This Row],[Discount]])</f>
        <v>147.89999999999998</v>
      </c>
      <c r="I678" s="15" t="str">
        <f>_xlfn.XLOOKUP(OrderDetails[[#This Row],[ProductID]],Product!A:A,Product!G:G,"Not Found")</f>
        <v>Confections</v>
      </c>
      <c r="J678" s="15" t="str">
        <f>LOOKUP(MONTH(G678),{1,4,7,10},{"Winter","Spring","Summer","Autumn"})</f>
        <v>Spring</v>
      </c>
      <c r="K678" s="15" t="str">
        <f>_xlfn.XLOOKUP(OrderDetails[[#This Row],[ProductID]],Product!A:A,Product!B:B,"Not Found")</f>
        <v>Tarte au sucre</v>
      </c>
    </row>
    <row r="679" spans="1:11">
      <c r="A679" s="2">
        <v>10506</v>
      </c>
      <c r="B679" s="2">
        <v>25</v>
      </c>
      <c r="C679" s="2">
        <v>14</v>
      </c>
      <c r="D679" s="2">
        <v>18</v>
      </c>
      <c r="E679" s="4">
        <v>0.10000000149011612</v>
      </c>
      <c r="F679" s="1" t="str">
        <f>_xlfn.XLOOKUP(A679,Orders!A:A,Orders!B:B,"not found")</f>
        <v>KOENE</v>
      </c>
      <c r="G679" s="13">
        <f>_xlfn.XLOOKUP(OrderDetails[[#This Row],[OrderID]],Orders!A:A,Orders!C:C,"Not Found")</f>
        <v>35535</v>
      </c>
      <c r="H679" s="16">
        <f>(OrderDetails[[#This Row],[UnitPrice]]*OrderDetails[[#This Row],[Quantity]])*(1-OrderDetails[[#This Row],[Discount]])</f>
        <v>226.79999962449074</v>
      </c>
      <c r="I679" s="15" t="str">
        <f>_xlfn.XLOOKUP(OrderDetails[[#This Row],[ProductID]],Product!A:A,Product!G:G,"Not Found")</f>
        <v>Confections</v>
      </c>
      <c r="J679" s="15" t="str">
        <f>LOOKUP(MONTH(G679),{1,4,7,10},{"Winter","Spring","Summer","Autumn"})</f>
        <v>Spring</v>
      </c>
      <c r="K679" s="15" t="str">
        <f>_xlfn.XLOOKUP(OrderDetails[[#This Row],[ProductID]],Product!A:A,Product!B:B,"Not Found")</f>
        <v>NuNuCa Nuß-Nougat-Creme</v>
      </c>
    </row>
    <row r="680" spans="1:11">
      <c r="A680" s="1">
        <v>10506</v>
      </c>
      <c r="B680" s="1">
        <v>70</v>
      </c>
      <c r="C680" s="1">
        <v>15</v>
      </c>
      <c r="D680" s="1">
        <v>14</v>
      </c>
      <c r="E680" s="3">
        <v>0.10000000149011612</v>
      </c>
      <c r="F680" s="1" t="str">
        <f>_xlfn.XLOOKUP(A680,Orders!A:A,Orders!B:B,"not found")</f>
        <v>KOENE</v>
      </c>
      <c r="G680" s="13">
        <f>_xlfn.XLOOKUP(OrderDetails[[#This Row],[OrderID]],Orders!A:A,Orders!C:C,"Not Found")</f>
        <v>35535</v>
      </c>
      <c r="H680" s="16">
        <f>(OrderDetails[[#This Row],[UnitPrice]]*OrderDetails[[#This Row],[Quantity]])*(1-OrderDetails[[#This Row],[Discount]])</f>
        <v>188.99999968707561</v>
      </c>
      <c r="I680" s="15" t="str">
        <f>_xlfn.XLOOKUP(OrderDetails[[#This Row],[ProductID]],Product!A:A,Product!G:G,"Not Found")</f>
        <v>Beverages</v>
      </c>
      <c r="J680" s="15" t="str">
        <f>LOOKUP(MONTH(G680),{1,4,7,10},{"Winter","Spring","Summer","Autumn"})</f>
        <v>Spring</v>
      </c>
      <c r="K680" s="15" t="str">
        <f>_xlfn.XLOOKUP(OrderDetails[[#This Row],[ProductID]],Product!A:A,Product!B:B,"Not Found")</f>
        <v>Outback Lager</v>
      </c>
    </row>
    <row r="681" spans="1:11">
      <c r="A681" s="2">
        <v>10507</v>
      </c>
      <c r="B681" s="2">
        <v>43</v>
      </c>
      <c r="C681" s="2">
        <v>46</v>
      </c>
      <c r="D681" s="2">
        <v>15</v>
      </c>
      <c r="E681" s="4">
        <v>0.15000000596046448</v>
      </c>
      <c r="F681" s="1" t="str">
        <f>_xlfn.XLOOKUP(A681,Orders!A:A,Orders!B:B,"not found")</f>
        <v>ANTON</v>
      </c>
      <c r="G681" s="13">
        <f>_xlfn.XLOOKUP(OrderDetails[[#This Row],[OrderID]],Orders!A:A,Orders!C:C,"Not Found")</f>
        <v>35535</v>
      </c>
      <c r="H681" s="16">
        <f>(OrderDetails[[#This Row],[UnitPrice]]*OrderDetails[[#This Row],[Quantity]])*(1-OrderDetails[[#This Row],[Discount]])</f>
        <v>586.49999588727951</v>
      </c>
      <c r="I681" s="15" t="str">
        <f>_xlfn.XLOOKUP(OrderDetails[[#This Row],[ProductID]],Product!A:A,Product!G:G,"Not Found")</f>
        <v>Beverages</v>
      </c>
      <c r="J681" s="15" t="str">
        <f>LOOKUP(MONTH(G681),{1,4,7,10},{"Winter","Spring","Summer","Autumn"})</f>
        <v>Spring</v>
      </c>
      <c r="K681" s="15" t="str">
        <f>_xlfn.XLOOKUP(OrderDetails[[#This Row],[ProductID]],Product!A:A,Product!B:B,"Not Found")</f>
        <v>Ipoh Coffee</v>
      </c>
    </row>
    <row r="682" spans="1:11">
      <c r="A682" s="1">
        <v>10507</v>
      </c>
      <c r="B682" s="1">
        <v>48</v>
      </c>
      <c r="C682" s="1">
        <v>12.75</v>
      </c>
      <c r="D682" s="1">
        <v>15</v>
      </c>
      <c r="E682" s="3">
        <v>0.15000000596046448</v>
      </c>
      <c r="F682" s="1" t="str">
        <f>_xlfn.XLOOKUP(A682,Orders!A:A,Orders!B:B,"not found")</f>
        <v>ANTON</v>
      </c>
      <c r="G682" s="13">
        <f>_xlfn.XLOOKUP(OrderDetails[[#This Row],[OrderID]],Orders!A:A,Orders!C:C,"Not Found")</f>
        <v>35535</v>
      </c>
      <c r="H682" s="16">
        <f>(OrderDetails[[#This Row],[UnitPrice]]*OrderDetails[[#This Row],[Quantity]])*(1-OrderDetails[[#This Row],[Discount]])</f>
        <v>162.56249886006117</v>
      </c>
      <c r="I682" s="15" t="str">
        <f>_xlfn.XLOOKUP(OrderDetails[[#This Row],[ProductID]],Product!A:A,Product!G:G,"Not Found")</f>
        <v>Confections</v>
      </c>
      <c r="J682" s="15" t="str">
        <f>LOOKUP(MONTH(G682),{1,4,7,10},{"Winter","Spring","Summer","Autumn"})</f>
        <v>Spring</v>
      </c>
      <c r="K682" s="15" t="str">
        <f>_xlfn.XLOOKUP(OrderDetails[[#This Row],[ProductID]],Product!A:A,Product!B:B,"Not Found")</f>
        <v>Chocolade</v>
      </c>
    </row>
    <row r="683" spans="1:11">
      <c r="A683" s="2">
        <v>10508</v>
      </c>
      <c r="B683" s="2">
        <v>13</v>
      </c>
      <c r="C683" s="2">
        <v>6</v>
      </c>
      <c r="D683" s="2">
        <v>10</v>
      </c>
      <c r="E683" s="4">
        <v>0</v>
      </c>
      <c r="F683" s="1" t="str">
        <f>_xlfn.XLOOKUP(A683,Orders!A:A,Orders!B:B,"not found")</f>
        <v>OTTIK</v>
      </c>
      <c r="G683" s="13">
        <f>_xlfn.XLOOKUP(OrderDetails[[#This Row],[OrderID]],Orders!A:A,Orders!C:C,"Not Found")</f>
        <v>35536</v>
      </c>
      <c r="H683" s="16">
        <f>(OrderDetails[[#This Row],[UnitPrice]]*OrderDetails[[#This Row],[Quantity]])*(1-OrderDetails[[#This Row],[Discount]])</f>
        <v>60</v>
      </c>
      <c r="I683" s="15" t="str">
        <f>_xlfn.XLOOKUP(OrderDetails[[#This Row],[ProductID]],Product!A:A,Product!G:G,"Not Found")</f>
        <v>Seafood</v>
      </c>
      <c r="J683" s="15" t="str">
        <f>LOOKUP(MONTH(G683),{1,4,7,10},{"Winter","Spring","Summer","Autumn"})</f>
        <v>Spring</v>
      </c>
      <c r="K683" s="15" t="str">
        <f>_xlfn.XLOOKUP(OrderDetails[[#This Row],[ProductID]],Product!A:A,Product!B:B,"Not Found")</f>
        <v>Konbu</v>
      </c>
    </row>
    <row r="684" spans="1:11">
      <c r="A684" s="1">
        <v>10508</v>
      </c>
      <c r="B684" s="1">
        <v>39</v>
      </c>
      <c r="C684" s="1">
        <v>18</v>
      </c>
      <c r="D684" s="1">
        <v>10</v>
      </c>
      <c r="E684" s="3">
        <v>0</v>
      </c>
      <c r="F684" s="1" t="str">
        <f>_xlfn.XLOOKUP(A684,Orders!A:A,Orders!B:B,"not found")</f>
        <v>OTTIK</v>
      </c>
      <c r="G684" s="13">
        <f>_xlfn.XLOOKUP(OrderDetails[[#This Row],[OrderID]],Orders!A:A,Orders!C:C,"Not Found")</f>
        <v>35536</v>
      </c>
      <c r="H684" s="16">
        <f>(OrderDetails[[#This Row],[UnitPrice]]*OrderDetails[[#This Row],[Quantity]])*(1-OrderDetails[[#This Row],[Discount]])</f>
        <v>180</v>
      </c>
      <c r="I684" s="15" t="str">
        <f>_xlfn.XLOOKUP(OrderDetails[[#This Row],[ProductID]],Product!A:A,Product!G:G,"Not Found")</f>
        <v>Beverages</v>
      </c>
      <c r="J684" s="15" t="str">
        <f>LOOKUP(MONTH(G684),{1,4,7,10},{"Winter","Spring","Summer","Autumn"})</f>
        <v>Spring</v>
      </c>
      <c r="K684" s="15" t="str">
        <f>_xlfn.XLOOKUP(OrderDetails[[#This Row],[ProductID]],Product!A:A,Product!B:B,"Not Found")</f>
        <v>Chartreuse verte</v>
      </c>
    </row>
    <row r="685" spans="1:11">
      <c r="A685" s="2">
        <v>10509</v>
      </c>
      <c r="B685" s="2">
        <v>28</v>
      </c>
      <c r="C685" s="2">
        <v>45.6</v>
      </c>
      <c r="D685" s="2">
        <v>3</v>
      </c>
      <c r="E685" s="4">
        <v>0</v>
      </c>
      <c r="F685" s="1" t="str">
        <f>_xlfn.XLOOKUP(A685,Orders!A:A,Orders!B:B,"not found")</f>
        <v>BLAUS</v>
      </c>
      <c r="G685" s="13">
        <f>_xlfn.XLOOKUP(OrderDetails[[#This Row],[OrderID]],Orders!A:A,Orders!C:C,"Not Found")</f>
        <v>35537</v>
      </c>
      <c r="H685" s="16">
        <f>(OrderDetails[[#This Row],[UnitPrice]]*OrderDetails[[#This Row],[Quantity]])*(1-OrderDetails[[#This Row],[Discount]])</f>
        <v>136.80000000000001</v>
      </c>
      <c r="I685" s="15" t="str">
        <f>_xlfn.XLOOKUP(OrderDetails[[#This Row],[ProductID]],Product!A:A,Product!G:G,"Not Found")</f>
        <v>Produce</v>
      </c>
      <c r="J685" s="15" t="str">
        <f>LOOKUP(MONTH(G685),{1,4,7,10},{"Winter","Spring","Summer","Autumn"})</f>
        <v>Spring</v>
      </c>
      <c r="K685" s="15" t="str">
        <f>_xlfn.XLOOKUP(OrderDetails[[#This Row],[ProductID]],Product!A:A,Product!B:B,"Not Found")</f>
        <v>Rössle Sauerkraut</v>
      </c>
    </row>
    <row r="686" spans="1:11">
      <c r="A686" s="1">
        <v>10510</v>
      </c>
      <c r="B686" s="1">
        <v>29</v>
      </c>
      <c r="C686" s="1">
        <v>123.79</v>
      </c>
      <c r="D686" s="1">
        <v>36</v>
      </c>
      <c r="E686" s="3">
        <v>0</v>
      </c>
      <c r="F686" s="1" t="str">
        <f>_xlfn.XLOOKUP(A686,Orders!A:A,Orders!B:B,"not found")</f>
        <v>SAVEA</v>
      </c>
      <c r="G686" s="13">
        <f>_xlfn.XLOOKUP(OrderDetails[[#This Row],[OrderID]],Orders!A:A,Orders!C:C,"Not Found")</f>
        <v>35538</v>
      </c>
      <c r="H686" s="16">
        <f>(OrderDetails[[#This Row],[UnitPrice]]*OrderDetails[[#This Row],[Quantity]])*(1-OrderDetails[[#This Row],[Discount]])</f>
        <v>4456.4400000000005</v>
      </c>
      <c r="I686" s="15" t="str">
        <f>_xlfn.XLOOKUP(OrderDetails[[#This Row],[ProductID]],Product!A:A,Product!G:G,"Not Found")</f>
        <v>Meat/Poultry</v>
      </c>
      <c r="J686" s="15" t="str">
        <f>LOOKUP(MONTH(G686),{1,4,7,10},{"Winter","Spring","Summer","Autumn"})</f>
        <v>Spring</v>
      </c>
      <c r="K686" s="15" t="str">
        <f>_xlfn.XLOOKUP(OrderDetails[[#This Row],[ProductID]],Product!A:A,Product!B:B,"Not Found")</f>
        <v>Thüringer Rostbratwurst</v>
      </c>
    </row>
    <row r="687" spans="1:11">
      <c r="A687" s="2">
        <v>10510</v>
      </c>
      <c r="B687" s="2">
        <v>75</v>
      </c>
      <c r="C687" s="2">
        <v>7.75</v>
      </c>
      <c r="D687" s="2">
        <v>36</v>
      </c>
      <c r="E687" s="4">
        <v>0.10000000149011612</v>
      </c>
      <c r="F687" s="1" t="str">
        <f>_xlfn.XLOOKUP(A687,Orders!A:A,Orders!B:B,"not found")</f>
        <v>SAVEA</v>
      </c>
      <c r="G687" s="13">
        <f>_xlfn.XLOOKUP(OrderDetails[[#This Row],[OrderID]],Orders!A:A,Orders!C:C,"Not Found")</f>
        <v>35538</v>
      </c>
      <c r="H687" s="16">
        <f>(OrderDetails[[#This Row],[UnitPrice]]*OrderDetails[[#This Row],[Quantity]])*(1-OrderDetails[[#This Row],[Discount]])</f>
        <v>251.0999995842576</v>
      </c>
      <c r="I687" s="15" t="str">
        <f>_xlfn.XLOOKUP(OrderDetails[[#This Row],[ProductID]],Product!A:A,Product!G:G,"Not Found")</f>
        <v>Beverages</v>
      </c>
      <c r="J687" s="15" t="str">
        <f>LOOKUP(MONTH(G687),{1,4,7,10},{"Winter","Spring","Summer","Autumn"})</f>
        <v>Spring</v>
      </c>
      <c r="K687" s="15" t="str">
        <f>_xlfn.XLOOKUP(OrderDetails[[#This Row],[ProductID]],Product!A:A,Product!B:B,"Not Found")</f>
        <v>Rhönbräu Klosterbier</v>
      </c>
    </row>
    <row r="688" spans="1:11">
      <c r="A688" s="1">
        <v>10511</v>
      </c>
      <c r="B688" s="1">
        <v>4</v>
      </c>
      <c r="C688" s="1">
        <v>22</v>
      </c>
      <c r="D688" s="1">
        <v>50</v>
      </c>
      <c r="E688" s="3">
        <v>0.15000000596046448</v>
      </c>
      <c r="F688" s="1" t="str">
        <f>_xlfn.XLOOKUP(A688,Orders!A:A,Orders!B:B,"not found")</f>
        <v>BONAP</v>
      </c>
      <c r="G688" s="13">
        <f>_xlfn.XLOOKUP(OrderDetails[[#This Row],[OrderID]],Orders!A:A,Orders!C:C,"Not Found")</f>
        <v>35538</v>
      </c>
      <c r="H688" s="16">
        <f>(OrderDetails[[#This Row],[UnitPrice]]*OrderDetails[[#This Row],[Quantity]])*(1-OrderDetails[[#This Row],[Discount]])</f>
        <v>934.99999344348907</v>
      </c>
      <c r="I688" s="15" t="str">
        <f>_xlfn.XLOOKUP(OrderDetails[[#This Row],[ProductID]],Product!A:A,Product!G:G,"Not Found")</f>
        <v>Condiments</v>
      </c>
      <c r="J688" s="15" t="str">
        <f>LOOKUP(MONTH(G688),{1,4,7,10},{"Winter","Spring","Summer","Autumn"})</f>
        <v>Spring</v>
      </c>
      <c r="K688" s="15" t="str">
        <f>_xlfn.XLOOKUP(OrderDetails[[#This Row],[ProductID]],Product!A:A,Product!B:B,"Not Found")</f>
        <v>Chef Anton's Cajun Seasoning</v>
      </c>
    </row>
    <row r="689" spans="1:11">
      <c r="A689" s="2">
        <v>10511</v>
      </c>
      <c r="B689" s="2">
        <v>7</v>
      </c>
      <c r="C689" s="2">
        <v>30</v>
      </c>
      <c r="D689" s="2">
        <v>50</v>
      </c>
      <c r="E689" s="4">
        <v>0.15000000596046448</v>
      </c>
      <c r="F689" s="1" t="str">
        <f>_xlfn.XLOOKUP(A689,Orders!A:A,Orders!B:B,"not found")</f>
        <v>BONAP</v>
      </c>
      <c r="G689" s="13">
        <f>_xlfn.XLOOKUP(OrderDetails[[#This Row],[OrderID]],Orders!A:A,Orders!C:C,"Not Found")</f>
        <v>35538</v>
      </c>
      <c r="H689" s="16">
        <f>(OrderDetails[[#This Row],[UnitPrice]]*OrderDetails[[#This Row],[Quantity]])*(1-OrderDetails[[#This Row],[Discount]])</f>
        <v>1274.9999910593033</v>
      </c>
      <c r="I689" s="15" t="str">
        <f>_xlfn.XLOOKUP(OrderDetails[[#This Row],[ProductID]],Product!A:A,Product!G:G,"Not Found")</f>
        <v>Produce</v>
      </c>
      <c r="J689" s="15" t="str">
        <f>LOOKUP(MONTH(G689),{1,4,7,10},{"Winter","Spring","Summer","Autumn"})</f>
        <v>Spring</v>
      </c>
      <c r="K689" s="15" t="str">
        <f>_xlfn.XLOOKUP(OrderDetails[[#This Row],[ProductID]],Product!A:A,Product!B:B,"Not Found")</f>
        <v>Uncle Bob's Organic Dried Pears</v>
      </c>
    </row>
    <row r="690" spans="1:11">
      <c r="A690" s="1">
        <v>10511</v>
      </c>
      <c r="B690" s="1">
        <v>8</v>
      </c>
      <c r="C690" s="1">
        <v>40</v>
      </c>
      <c r="D690" s="1">
        <v>10</v>
      </c>
      <c r="E690" s="3">
        <v>0.15000000596046448</v>
      </c>
      <c r="F690" s="1" t="str">
        <f>_xlfn.XLOOKUP(A690,Orders!A:A,Orders!B:B,"not found")</f>
        <v>BONAP</v>
      </c>
      <c r="G690" s="13">
        <f>_xlfn.XLOOKUP(OrderDetails[[#This Row],[OrderID]],Orders!A:A,Orders!C:C,"Not Found")</f>
        <v>35538</v>
      </c>
      <c r="H690" s="16">
        <f>(OrderDetails[[#This Row],[UnitPrice]]*OrderDetails[[#This Row],[Quantity]])*(1-OrderDetails[[#This Row],[Discount]])</f>
        <v>339.99999761581421</v>
      </c>
      <c r="I690" s="15" t="str">
        <f>_xlfn.XLOOKUP(OrderDetails[[#This Row],[ProductID]],Product!A:A,Product!G:G,"Not Found")</f>
        <v>Condiments</v>
      </c>
      <c r="J690" s="15" t="str">
        <f>LOOKUP(MONTH(G690),{1,4,7,10},{"Winter","Spring","Summer","Autumn"})</f>
        <v>Spring</v>
      </c>
      <c r="K690" s="15" t="str">
        <f>_xlfn.XLOOKUP(OrderDetails[[#This Row],[ProductID]],Product!A:A,Product!B:B,"Not Found")</f>
        <v>Northwoods Cranberry Sauce</v>
      </c>
    </row>
    <row r="691" spans="1:11">
      <c r="A691" s="2">
        <v>10512</v>
      </c>
      <c r="B691" s="2">
        <v>24</v>
      </c>
      <c r="C691" s="2">
        <v>4.5</v>
      </c>
      <c r="D691" s="2">
        <v>10</v>
      </c>
      <c r="E691" s="4">
        <v>0.15000000596046448</v>
      </c>
      <c r="F691" s="1" t="str">
        <f>_xlfn.XLOOKUP(A691,Orders!A:A,Orders!B:B,"not found")</f>
        <v>FAMIA</v>
      </c>
      <c r="G691" s="13">
        <f>_xlfn.XLOOKUP(OrderDetails[[#This Row],[OrderID]],Orders!A:A,Orders!C:C,"Not Found")</f>
        <v>35541</v>
      </c>
      <c r="H691" s="16">
        <f>(OrderDetails[[#This Row],[UnitPrice]]*OrderDetails[[#This Row],[Quantity]])*(1-OrderDetails[[#This Row],[Discount]])</f>
        <v>38.249999731779099</v>
      </c>
      <c r="I691" s="15" t="str">
        <f>_xlfn.XLOOKUP(OrderDetails[[#This Row],[ProductID]],Product!A:A,Product!G:G,"Not Found")</f>
        <v>Beverages</v>
      </c>
      <c r="J691" s="15" t="str">
        <f>LOOKUP(MONTH(G691),{1,4,7,10},{"Winter","Spring","Summer","Autumn"})</f>
        <v>Spring</v>
      </c>
      <c r="K691" s="15" t="str">
        <f>_xlfn.XLOOKUP(OrderDetails[[#This Row],[ProductID]],Product!A:A,Product!B:B,"Not Found")</f>
        <v>Guaraná Fantástica</v>
      </c>
    </row>
    <row r="692" spans="1:11">
      <c r="A692" s="1">
        <v>10512</v>
      </c>
      <c r="B692" s="1">
        <v>46</v>
      </c>
      <c r="C692" s="1">
        <v>12</v>
      </c>
      <c r="D692" s="1">
        <v>9</v>
      </c>
      <c r="E692" s="3">
        <v>0.15000000596046448</v>
      </c>
      <c r="F692" s="1" t="str">
        <f>_xlfn.XLOOKUP(A692,Orders!A:A,Orders!B:B,"not found")</f>
        <v>FAMIA</v>
      </c>
      <c r="G692" s="13">
        <f>_xlfn.XLOOKUP(OrderDetails[[#This Row],[OrderID]],Orders!A:A,Orders!C:C,"Not Found")</f>
        <v>35541</v>
      </c>
      <c r="H692" s="16">
        <f>(OrderDetails[[#This Row],[UnitPrice]]*OrderDetails[[#This Row],[Quantity]])*(1-OrderDetails[[#This Row],[Discount]])</f>
        <v>91.799999356269836</v>
      </c>
      <c r="I692" s="15" t="str">
        <f>_xlfn.XLOOKUP(OrderDetails[[#This Row],[ProductID]],Product!A:A,Product!G:G,"Not Found")</f>
        <v>Seafood</v>
      </c>
      <c r="J692" s="15" t="str">
        <f>LOOKUP(MONTH(G692),{1,4,7,10},{"Winter","Spring","Summer","Autumn"})</f>
        <v>Spring</v>
      </c>
      <c r="K692" s="15" t="str">
        <f>_xlfn.XLOOKUP(OrderDetails[[#This Row],[ProductID]],Product!A:A,Product!B:B,"Not Found")</f>
        <v>Spegesild</v>
      </c>
    </row>
    <row r="693" spans="1:11">
      <c r="A693" s="2">
        <v>10512</v>
      </c>
      <c r="B693" s="2">
        <v>47</v>
      </c>
      <c r="C693" s="2">
        <v>9.5</v>
      </c>
      <c r="D693" s="2">
        <v>6</v>
      </c>
      <c r="E693" s="4">
        <v>0.15000000596046448</v>
      </c>
      <c r="F693" s="1" t="str">
        <f>_xlfn.XLOOKUP(A693,Orders!A:A,Orders!B:B,"not found")</f>
        <v>FAMIA</v>
      </c>
      <c r="G693" s="13">
        <f>_xlfn.XLOOKUP(OrderDetails[[#This Row],[OrderID]],Orders!A:A,Orders!C:C,"Not Found")</f>
        <v>35541</v>
      </c>
      <c r="H693" s="16">
        <f>(OrderDetails[[#This Row],[UnitPrice]]*OrderDetails[[#This Row],[Quantity]])*(1-OrderDetails[[#This Row],[Discount]])</f>
        <v>48.449999660253525</v>
      </c>
      <c r="I693" s="15" t="str">
        <f>_xlfn.XLOOKUP(OrderDetails[[#This Row],[ProductID]],Product!A:A,Product!G:G,"Not Found")</f>
        <v>Confections</v>
      </c>
      <c r="J693" s="15" t="str">
        <f>LOOKUP(MONTH(G693),{1,4,7,10},{"Winter","Spring","Summer","Autumn"})</f>
        <v>Spring</v>
      </c>
      <c r="K693" s="15" t="str">
        <f>_xlfn.XLOOKUP(OrderDetails[[#This Row],[ProductID]],Product!A:A,Product!B:B,"Not Found")</f>
        <v>Zaanse koeken</v>
      </c>
    </row>
    <row r="694" spans="1:11">
      <c r="A694" s="1">
        <v>10512</v>
      </c>
      <c r="B694" s="1">
        <v>60</v>
      </c>
      <c r="C694" s="1">
        <v>34</v>
      </c>
      <c r="D694" s="1">
        <v>12</v>
      </c>
      <c r="E694" s="3">
        <v>0.15000000596046448</v>
      </c>
      <c r="F694" s="1" t="str">
        <f>_xlfn.XLOOKUP(A694,Orders!A:A,Orders!B:B,"not found")</f>
        <v>FAMIA</v>
      </c>
      <c r="G694" s="13">
        <f>_xlfn.XLOOKUP(OrderDetails[[#This Row],[OrderID]],Orders!A:A,Orders!C:C,"Not Found")</f>
        <v>35541</v>
      </c>
      <c r="H694" s="16">
        <f>(OrderDetails[[#This Row],[UnitPrice]]*OrderDetails[[#This Row],[Quantity]])*(1-OrderDetails[[#This Row],[Discount]])</f>
        <v>346.79999756813049</v>
      </c>
      <c r="I694" s="15" t="str">
        <f>_xlfn.XLOOKUP(OrderDetails[[#This Row],[ProductID]],Product!A:A,Product!G:G,"Not Found")</f>
        <v>Dairy Products</v>
      </c>
      <c r="J694" s="15" t="str">
        <f>LOOKUP(MONTH(G694),{1,4,7,10},{"Winter","Spring","Summer","Autumn"})</f>
        <v>Spring</v>
      </c>
      <c r="K694" s="15" t="str">
        <f>_xlfn.XLOOKUP(OrderDetails[[#This Row],[ProductID]],Product!A:A,Product!B:B,"Not Found")</f>
        <v>Camembert Pierrot</v>
      </c>
    </row>
    <row r="695" spans="1:11">
      <c r="A695" s="2">
        <v>10513</v>
      </c>
      <c r="B695" s="2">
        <v>21</v>
      </c>
      <c r="C695" s="2">
        <v>10</v>
      </c>
      <c r="D695" s="2">
        <v>40</v>
      </c>
      <c r="E695" s="4">
        <v>0.20000000298023224</v>
      </c>
      <c r="F695" s="1" t="str">
        <f>_xlfn.XLOOKUP(A695,Orders!A:A,Orders!B:B,"not found")</f>
        <v>WANDK</v>
      </c>
      <c r="G695" s="13">
        <f>_xlfn.XLOOKUP(OrderDetails[[#This Row],[OrderID]],Orders!A:A,Orders!C:C,"Not Found")</f>
        <v>35542</v>
      </c>
      <c r="H695" s="16">
        <f>(OrderDetails[[#This Row],[UnitPrice]]*OrderDetails[[#This Row],[Quantity]])*(1-OrderDetails[[#This Row],[Discount]])</f>
        <v>319.9999988079071</v>
      </c>
      <c r="I695" s="15" t="str">
        <f>_xlfn.XLOOKUP(OrderDetails[[#This Row],[ProductID]],Product!A:A,Product!G:G,"Not Found")</f>
        <v>Confections</v>
      </c>
      <c r="J695" s="15" t="str">
        <f>LOOKUP(MONTH(G695),{1,4,7,10},{"Winter","Spring","Summer","Autumn"})</f>
        <v>Spring</v>
      </c>
      <c r="K695" s="15" t="str">
        <f>_xlfn.XLOOKUP(OrderDetails[[#This Row],[ProductID]],Product!A:A,Product!B:B,"Not Found")</f>
        <v>Sir Rodney's Scones</v>
      </c>
    </row>
    <row r="696" spans="1:11">
      <c r="A696" s="1">
        <v>10513</v>
      </c>
      <c r="B696" s="1">
        <v>32</v>
      </c>
      <c r="C696" s="1">
        <v>32</v>
      </c>
      <c r="D696" s="1">
        <v>50</v>
      </c>
      <c r="E696" s="3">
        <v>0.20000000298023224</v>
      </c>
      <c r="F696" s="1" t="str">
        <f>_xlfn.XLOOKUP(A696,Orders!A:A,Orders!B:B,"not found")</f>
        <v>WANDK</v>
      </c>
      <c r="G696" s="13">
        <f>_xlfn.XLOOKUP(OrderDetails[[#This Row],[OrderID]],Orders!A:A,Orders!C:C,"Not Found")</f>
        <v>35542</v>
      </c>
      <c r="H696" s="16">
        <f>(OrderDetails[[#This Row],[UnitPrice]]*OrderDetails[[#This Row],[Quantity]])*(1-OrderDetails[[#This Row],[Discount]])</f>
        <v>1279.9999952316284</v>
      </c>
      <c r="I696" s="15" t="str">
        <f>_xlfn.XLOOKUP(OrderDetails[[#This Row],[ProductID]],Product!A:A,Product!G:G,"Not Found")</f>
        <v>Dairy Products</v>
      </c>
      <c r="J696" s="15" t="str">
        <f>LOOKUP(MONTH(G696),{1,4,7,10},{"Winter","Spring","Summer","Autumn"})</f>
        <v>Spring</v>
      </c>
      <c r="K696" s="15" t="str">
        <f>_xlfn.XLOOKUP(OrderDetails[[#This Row],[ProductID]],Product!A:A,Product!B:B,"Not Found")</f>
        <v>Mascarpone Fabioli</v>
      </c>
    </row>
    <row r="697" spans="1:11">
      <c r="A697" s="2">
        <v>10513</v>
      </c>
      <c r="B697" s="2">
        <v>61</v>
      </c>
      <c r="C697" s="2">
        <v>28.5</v>
      </c>
      <c r="D697" s="2">
        <v>15</v>
      </c>
      <c r="E697" s="4">
        <v>0.20000000298023224</v>
      </c>
      <c r="F697" s="1" t="str">
        <f>_xlfn.XLOOKUP(A697,Orders!A:A,Orders!B:B,"not found")</f>
        <v>WANDK</v>
      </c>
      <c r="G697" s="13">
        <f>_xlfn.XLOOKUP(OrderDetails[[#This Row],[OrderID]],Orders!A:A,Orders!C:C,"Not Found")</f>
        <v>35542</v>
      </c>
      <c r="H697" s="16">
        <f>(OrderDetails[[#This Row],[UnitPrice]]*OrderDetails[[#This Row],[Quantity]])*(1-OrderDetails[[#This Row],[Discount]])</f>
        <v>341.99999872595072</v>
      </c>
      <c r="I697" s="15" t="str">
        <f>_xlfn.XLOOKUP(OrderDetails[[#This Row],[ProductID]],Product!A:A,Product!G:G,"Not Found")</f>
        <v>Condiments</v>
      </c>
      <c r="J697" s="15" t="str">
        <f>LOOKUP(MONTH(G697),{1,4,7,10},{"Winter","Spring","Summer","Autumn"})</f>
        <v>Spring</v>
      </c>
      <c r="K697" s="15" t="str">
        <f>_xlfn.XLOOKUP(OrderDetails[[#This Row],[ProductID]],Product!A:A,Product!B:B,"Not Found")</f>
        <v>Sirop d'érable</v>
      </c>
    </row>
    <row r="698" spans="1:11">
      <c r="A698" s="1">
        <v>10514</v>
      </c>
      <c r="B698" s="1">
        <v>20</v>
      </c>
      <c r="C698" s="1">
        <v>81</v>
      </c>
      <c r="D698" s="1">
        <v>39</v>
      </c>
      <c r="E698" s="3">
        <v>0</v>
      </c>
      <c r="F698" s="1" t="str">
        <f>_xlfn.XLOOKUP(A698,Orders!A:A,Orders!B:B,"not found")</f>
        <v>ERNSH</v>
      </c>
      <c r="G698" s="13">
        <f>_xlfn.XLOOKUP(OrderDetails[[#This Row],[OrderID]],Orders!A:A,Orders!C:C,"Not Found")</f>
        <v>35542</v>
      </c>
      <c r="H698" s="16">
        <f>(OrderDetails[[#This Row],[UnitPrice]]*OrderDetails[[#This Row],[Quantity]])*(1-OrderDetails[[#This Row],[Discount]])</f>
        <v>3159</v>
      </c>
      <c r="I698" s="15" t="str">
        <f>_xlfn.XLOOKUP(OrderDetails[[#This Row],[ProductID]],Product!A:A,Product!G:G,"Not Found")</f>
        <v>Confections</v>
      </c>
      <c r="J698" s="15" t="str">
        <f>LOOKUP(MONTH(G698),{1,4,7,10},{"Winter","Spring","Summer","Autumn"})</f>
        <v>Spring</v>
      </c>
      <c r="K698" s="15" t="str">
        <f>_xlfn.XLOOKUP(OrderDetails[[#This Row],[ProductID]],Product!A:A,Product!B:B,"Not Found")</f>
        <v>Sir Rodney's Marmalade</v>
      </c>
    </row>
    <row r="699" spans="1:11">
      <c r="A699" s="2">
        <v>10514</v>
      </c>
      <c r="B699" s="2">
        <v>28</v>
      </c>
      <c r="C699" s="2">
        <v>45.6</v>
      </c>
      <c r="D699" s="2">
        <v>35</v>
      </c>
      <c r="E699" s="4">
        <v>0</v>
      </c>
      <c r="F699" s="1" t="str">
        <f>_xlfn.XLOOKUP(A699,Orders!A:A,Orders!B:B,"not found")</f>
        <v>ERNSH</v>
      </c>
      <c r="G699" s="13">
        <f>_xlfn.XLOOKUP(OrderDetails[[#This Row],[OrderID]],Orders!A:A,Orders!C:C,"Not Found")</f>
        <v>35542</v>
      </c>
      <c r="H699" s="16">
        <f>(OrderDetails[[#This Row],[UnitPrice]]*OrderDetails[[#This Row],[Quantity]])*(1-OrderDetails[[#This Row],[Discount]])</f>
        <v>1596</v>
      </c>
      <c r="I699" s="15" t="str">
        <f>_xlfn.XLOOKUP(OrderDetails[[#This Row],[ProductID]],Product!A:A,Product!G:G,"Not Found")</f>
        <v>Produce</v>
      </c>
      <c r="J699" s="15" t="str">
        <f>LOOKUP(MONTH(G699),{1,4,7,10},{"Winter","Spring","Summer","Autumn"})</f>
        <v>Spring</v>
      </c>
      <c r="K699" s="15" t="str">
        <f>_xlfn.XLOOKUP(OrderDetails[[#This Row],[ProductID]],Product!A:A,Product!B:B,"Not Found")</f>
        <v>Rössle Sauerkraut</v>
      </c>
    </row>
    <row r="700" spans="1:11">
      <c r="A700" s="1">
        <v>10514</v>
      </c>
      <c r="B700" s="1">
        <v>56</v>
      </c>
      <c r="C700" s="1">
        <v>38</v>
      </c>
      <c r="D700" s="1">
        <v>70</v>
      </c>
      <c r="E700" s="3">
        <v>0</v>
      </c>
      <c r="F700" s="1" t="str">
        <f>_xlfn.XLOOKUP(A700,Orders!A:A,Orders!B:B,"not found")</f>
        <v>ERNSH</v>
      </c>
      <c r="G700" s="13">
        <f>_xlfn.XLOOKUP(OrderDetails[[#This Row],[OrderID]],Orders!A:A,Orders!C:C,"Not Found")</f>
        <v>35542</v>
      </c>
      <c r="H700" s="16">
        <f>(OrderDetails[[#This Row],[UnitPrice]]*OrderDetails[[#This Row],[Quantity]])*(1-OrderDetails[[#This Row],[Discount]])</f>
        <v>2660</v>
      </c>
      <c r="I700" s="15" t="str">
        <f>_xlfn.XLOOKUP(OrderDetails[[#This Row],[ProductID]],Product!A:A,Product!G:G,"Not Found")</f>
        <v>Grains/Cereals</v>
      </c>
      <c r="J700" s="15" t="str">
        <f>LOOKUP(MONTH(G700),{1,4,7,10},{"Winter","Spring","Summer","Autumn"})</f>
        <v>Spring</v>
      </c>
      <c r="K700" s="15" t="str">
        <f>_xlfn.XLOOKUP(OrderDetails[[#This Row],[ProductID]],Product!A:A,Product!B:B,"Not Found")</f>
        <v>Gnocchi di nonna Alice</v>
      </c>
    </row>
    <row r="701" spans="1:11">
      <c r="A701" s="2">
        <v>10514</v>
      </c>
      <c r="B701" s="2">
        <v>65</v>
      </c>
      <c r="C701" s="2">
        <v>21.05</v>
      </c>
      <c r="D701" s="2">
        <v>39</v>
      </c>
      <c r="E701" s="4">
        <v>0</v>
      </c>
      <c r="F701" s="1" t="str">
        <f>_xlfn.XLOOKUP(A701,Orders!A:A,Orders!B:B,"not found")</f>
        <v>ERNSH</v>
      </c>
      <c r="G701" s="13">
        <f>_xlfn.XLOOKUP(OrderDetails[[#This Row],[OrderID]],Orders!A:A,Orders!C:C,"Not Found")</f>
        <v>35542</v>
      </c>
      <c r="H701" s="16">
        <f>(OrderDetails[[#This Row],[UnitPrice]]*OrderDetails[[#This Row],[Quantity]])*(1-OrderDetails[[#This Row],[Discount]])</f>
        <v>820.95</v>
      </c>
      <c r="I701" s="15" t="str">
        <f>_xlfn.XLOOKUP(OrderDetails[[#This Row],[ProductID]],Product!A:A,Product!G:G,"Not Found")</f>
        <v>Condiments</v>
      </c>
      <c r="J701" s="15" t="str">
        <f>LOOKUP(MONTH(G701),{1,4,7,10},{"Winter","Spring","Summer","Autumn"})</f>
        <v>Spring</v>
      </c>
      <c r="K701" s="15" t="str">
        <f>_xlfn.XLOOKUP(OrderDetails[[#This Row],[ProductID]],Product!A:A,Product!B:B,"Not Found")</f>
        <v>Louisiana Fiery Hot Pepper Sauce</v>
      </c>
    </row>
    <row r="702" spans="1:11">
      <c r="A702" s="1">
        <v>10514</v>
      </c>
      <c r="B702" s="1">
        <v>75</v>
      </c>
      <c r="C702" s="1">
        <v>7.75</v>
      </c>
      <c r="D702" s="1">
        <v>50</v>
      </c>
      <c r="E702" s="3">
        <v>0</v>
      </c>
      <c r="F702" s="1" t="str">
        <f>_xlfn.XLOOKUP(A702,Orders!A:A,Orders!B:B,"not found")</f>
        <v>ERNSH</v>
      </c>
      <c r="G702" s="13">
        <f>_xlfn.XLOOKUP(OrderDetails[[#This Row],[OrderID]],Orders!A:A,Orders!C:C,"Not Found")</f>
        <v>35542</v>
      </c>
      <c r="H702" s="16">
        <f>(OrderDetails[[#This Row],[UnitPrice]]*OrderDetails[[#This Row],[Quantity]])*(1-OrderDetails[[#This Row],[Discount]])</f>
        <v>387.5</v>
      </c>
      <c r="I702" s="15" t="str">
        <f>_xlfn.XLOOKUP(OrderDetails[[#This Row],[ProductID]],Product!A:A,Product!G:G,"Not Found")</f>
        <v>Beverages</v>
      </c>
      <c r="J702" s="15" t="str">
        <f>LOOKUP(MONTH(G702),{1,4,7,10},{"Winter","Spring","Summer","Autumn"})</f>
        <v>Spring</v>
      </c>
      <c r="K702" s="15" t="str">
        <f>_xlfn.XLOOKUP(OrderDetails[[#This Row],[ProductID]],Product!A:A,Product!B:B,"Not Found")</f>
        <v>Rhönbräu Klosterbier</v>
      </c>
    </row>
    <row r="703" spans="1:11">
      <c r="A703" s="2">
        <v>10515</v>
      </c>
      <c r="B703" s="2">
        <v>9</v>
      </c>
      <c r="C703" s="2">
        <v>97</v>
      </c>
      <c r="D703" s="2">
        <v>16</v>
      </c>
      <c r="E703" s="4">
        <v>0.15000000596046448</v>
      </c>
      <c r="F703" s="1" t="str">
        <f>_xlfn.XLOOKUP(A703,Orders!A:A,Orders!B:B,"not found")</f>
        <v>QUICK</v>
      </c>
      <c r="G703" s="13">
        <f>_xlfn.XLOOKUP(OrderDetails[[#This Row],[OrderID]],Orders!A:A,Orders!C:C,"Not Found")</f>
        <v>35543</v>
      </c>
      <c r="H703" s="16">
        <f>(OrderDetails[[#This Row],[UnitPrice]]*OrderDetails[[#This Row],[Quantity]])*(1-OrderDetails[[#This Row],[Discount]])</f>
        <v>1319.1999907493591</v>
      </c>
      <c r="I703" s="15" t="str">
        <f>_xlfn.XLOOKUP(OrderDetails[[#This Row],[ProductID]],Product!A:A,Product!G:G,"Not Found")</f>
        <v>Meat/Poultry</v>
      </c>
      <c r="J703" s="15" t="str">
        <f>LOOKUP(MONTH(G703),{1,4,7,10},{"Winter","Spring","Summer","Autumn"})</f>
        <v>Spring</v>
      </c>
      <c r="K703" s="15" t="str">
        <f>_xlfn.XLOOKUP(OrderDetails[[#This Row],[ProductID]],Product!A:A,Product!B:B,"Not Found")</f>
        <v>Mishi Kobe Niku</v>
      </c>
    </row>
    <row r="704" spans="1:11">
      <c r="A704" s="1">
        <v>10515</v>
      </c>
      <c r="B704" s="1">
        <v>16</v>
      </c>
      <c r="C704" s="1">
        <v>17.45</v>
      </c>
      <c r="D704" s="1">
        <v>50</v>
      </c>
      <c r="E704" s="3">
        <v>0</v>
      </c>
      <c r="F704" s="1" t="str">
        <f>_xlfn.XLOOKUP(A704,Orders!A:A,Orders!B:B,"not found")</f>
        <v>QUICK</v>
      </c>
      <c r="G704" s="13">
        <f>_xlfn.XLOOKUP(OrderDetails[[#This Row],[OrderID]],Orders!A:A,Orders!C:C,"Not Found")</f>
        <v>35543</v>
      </c>
      <c r="H704" s="16">
        <f>(OrderDetails[[#This Row],[UnitPrice]]*OrderDetails[[#This Row],[Quantity]])*(1-OrderDetails[[#This Row],[Discount]])</f>
        <v>872.5</v>
      </c>
      <c r="I704" s="15" t="str">
        <f>_xlfn.XLOOKUP(OrderDetails[[#This Row],[ProductID]],Product!A:A,Product!G:G,"Not Found")</f>
        <v>Confections</v>
      </c>
      <c r="J704" s="15" t="str">
        <f>LOOKUP(MONTH(G704),{1,4,7,10},{"Winter","Spring","Summer","Autumn"})</f>
        <v>Spring</v>
      </c>
      <c r="K704" s="15" t="str">
        <f>_xlfn.XLOOKUP(OrderDetails[[#This Row],[ProductID]],Product!A:A,Product!B:B,"Not Found")</f>
        <v>Pavlova</v>
      </c>
    </row>
    <row r="705" spans="1:11">
      <c r="A705" s="2">
        <v>10515</v>
      </c>
      <c r="B705" s="2">
        <v>27</v>
      </c>
      <c r="C705" s="2">
        <v>43.9</v>
      </c>
      <c r="D705" s="2">
        <v>120</v>
      </c>
      <c r="E705" s="4">
        <v>0</v>
      </c>
      <c r="F705" s="1" t="str">
        <f>_xlfn.XLOOKUP(A705,Orders!A:A,Orders!B:B,"not found")</f>
        <v>QUICK</v>
      </c>
      <c r="G705" s="13">
        <f>_xlfn.XLOOKUP(OrderDetails[[#This Row],[OrderID]],Orders!A:A,Orders!C:C,"Not Found")</f>
        <v>35543</v>
      </c>
      <c r="H705" s="16">
        <f>(OrderDetails[[#This Row],[UnitPrice]]*OrderDetails[[#This Row],[Quantity]])*(1-OrderDetails[[#This Row],[Discount]])</f>
        <v>5268</v>
      </c>
      <c r="I705" s="15" t="str">
        <f>_xlfn.XLOOKUP(OrderDetails[[#This Row],[ProductID]],Product!A:A,Product!G:G,"Not Found")</f>
        <v>Confections</v>
      </c>
      <c r="J705" s="15" t="str">
        <f>LOOKUP(MONTH(G705),{1,4,7,10},{"Winter","Spring","Summer","Autumn"})</f>
        <v>Spring</v>
      </c>
      <c r="K705" s="15" t="str">
        <f>_xlfn.XLOOKUP(OrderDetails[[#This Row],[ProductID]],Product!A:A,Product!B:B,"Not Found")</f>
        <v>Schoggi Schokolade</v>
      </c>
    </row>
    <row r="706" spans="1:11">
      <c r="A706" s="1">
        <v>10515</v>
      </c>
      <c r="B706" s="1">
        <v>33</v>
      </c>
      <c r="C706" s="1">
        <v>2.5</v>
      </c>
      <c r="D706" s="1">
        <v>16</v>
      </c>
      <c r="E706" s="3">
        <v>0.15000000596046448</v>
      </c>
      <c r="F706" s="1" t="str">
        <f>_xlfn.XLOOKUP(A706,Orders!A:A,Orders!B:B,"not found")</f>
        <v>QUICK</v>
      </c>
      <c r="G706" s="13">
        <f>_xlfn.XLOOKUP(OrderDetails[[#This Row],[OrderID]],Orders!A:A,Orders!C:C,"Not Found")</f>
        <v>35543</v>
      </c>
      <c r="H706" s="16">
        <f>(OrderDetails[[#This Row],[UnitPrice]]*OrderDetails[[#This Row],[Quantity]])*(1-OrderDetails[[#This Row],[Discount]])</f>
        <v>33.999999761581421</v>
      </c>
      <c r="I706" s="15" t="str">
        <f>_xlfn.XLOOKUP(OrderDetails[[#This Row],[ProductID]],Product!A:A,Product!G:G,"Not Found")</f>
        <v>Dairy Products</v>
      </c>
      <c r="J706" s="15" t="str">
        <f>LOOKUP(MONTH(G706),{1,4,7,10},{"Winter","Spring","Summer","Autumn"})</f>
        <v>Spring</v>
      </c>
      <c r="K706" s="15" t="str">
        <f>_xlfn.XLOOKUP(OrderDetails[[#This Row],[ProductID]],Product!A:A,Product!B:B,"Not Found")</f>
        <v>Geitost</v>
      </c>
    </row>
    <row r="707" spans="1:11">
      <c r="A707" s="2">
        <v>10515</v>
      </c>
      <c r="B707" s="2">
        <v>60</v>
      </c>
      <c r="C707" s="2">
        <v>34</v>
      </c>
      <c r="D707" s="2">
        <v>84</v>
      </c>
      <c r="E707" s="4">
        <v>0.15000000596046448</v>
      </c>
      <c r="F707" s="1" t="str">
        <f>_xlfn.XLOOKUP(A707,Orders!A:A,Orders!B:B,"not found")</f>
        <v>QUICK</v>
      </c>
      <c r="G707" s="13">
        <f>_xlfn.XLOOKUP(OrderDetails[[#This Row],[OrderID]],Orders!A:A,Orders!C:C,"Not Found")</f>
        <v>35543</v>
      </c>
      <c r="H707" s="16">
        <f>(OrderDetails[[#This Row],[UnitPrice]]*OrderDetails[[#This Row],[Quantity]])*(1-OrderDetails[[#This Row],[Discount]])</f>
        <v>2427.5999829769135</v>
      </c>
      <c r="I707" s="15" t="str">
        <f>_xlfn.XLOOKUP(OrderDetails[[#This Row],[ProductID]],Product!A:A,Product!G:G,"Not Found")</f>
        <v>Dairy Products</v>
      </c>
      <c r="J707" s="15" t="str">
        <f>LOOKUP(MONTH(G707),{1,4,7,10},{"Winter","Spring","Summer","Autumn"})</f>
        <v>Spring</v>
      </c>
      <c r="K707" s="15" t="str">
        <f>_xlfn.XLOOKUP(OrderDetails[[#This Row],[ProductID]],Product!A:A,Product!B:B,"Not Found")</f>
        <v>Camembert Pierrot</v>
      </c>
    </row>
    <row r="708" spans="1:11">
      <c r="A708" s="1">
        <v>10516</v>
      </c>
      <c r="B708" s="1">
        <v>18</v>
      </c>
      <c r="C708" s="1">
        <v>62.5</v>
      </c>
      <c r="D708" s="1">
        <v>25</v>
      </c>
      <c r="E708" s="3">
        <v>0.10000000149011612</v>
      </c>
      <c r="F708" s="1" t="str">
        <f>_xlfn.XLOOKUP(A708,Orders!A:A,Orders!B:B,"not found")</f>
        <v>HUNGO</v>
      </c>
      <c r="G708" s="13">
        <f>_xlfn.XLOOKUP(OrderDetails[[#This Row],[OrderID]],Orders!A:A,Orders!C:C,"Not Found")</f>
        <v>35544</v>
      </c>
      <c r="H708" s="16">
        <f>(OrderDetails[[#This Row],[UnitPrice]]*OrderDetails[[#This Row],[Quantity]])*(1-OrderDetails[[#This Row],[Discount]])</f>
        <v>1406.2499976716936</v>
      </c>
      <c r="I708" s="15" t="str">
        <f>_xlfn.XLOOKUP(OrderDetails[[#This Row],[ProductID]],Product!A:A,Product!G:G,"Not Found")</f>
        <v>Seafood</v>
      </c>
      <c r="J708" s="15" t="str">
        <f>LOOKUP(MONTH(G708),{1,4,7,10},{"Winter","Spring","Summer","Autumn"})</f>
        <v>Spring</v>
      </c>
      <c r="K708" s="15" t="str">
        <f>_xlfn.XLOOKUP(OrderDetails[[#This Row],[ProductID]],Product!A:A,Product!B:B,"Not Found")</f>
        <v>Carnarvon Tigers</v>
      </c>
    </row>
    <row r="709" spans="1:11">
      <c r="A709" s="2">
        <v>10516</v>
      </c>
      <c r="B709" s="2">
        <v>41</v>
      </c>
      <c r="C709" s="2">
        <v>9.65</v>
      </c>
      <c r="D709" s="2">
        <v>80</v>
      </c>
      <c r="E709" s="4">
        <v>0.10000000149011612</v>
      </c>
      <c r="F709" s="1" t="str">
        <f>_xlfn.XLOOKUP(A709,Orders!A:A,Orders!B:B,"not found")</f>
        <v>HUNGO</v>
      </c>
      <c r="G709" s="13">
        <f>_xlfn.XLOOKUP(OrderDetails[[#This Row],[OrderID]],Orders!A:A,Orders!C:C,"Not Found")</f>
        <v>35544</v>
      </c>
      <c r="H709" s="16">
        <f>(OrderDetails[[#This Row],[UnitPrice]]*OrderDetails[[#This Row],[Quantity]])*(1-OrderDetails[[#This Row],[Discount]])</f>
        <v>694.79999884963036</v>
      </c>
      <c r="I709" s="15" t="str">
        <f>_xlfn.XLOOKUP(OrderDetails[[#This Row],[ProductID]],Product!A:A,Product!G:G,"Not Found")</f>
        <v>Seafood</v>
      </c>
      <c r="J709" s="15" t="str">
        <f>LOOKUP(MONTH(G709),{1,4,7,10},{"Winter","Spring","Summer","Autumn"})</f>
        <v>Spring</v>
      </c>
      <c r="K709" s="15" t="str">
        <f>_xlfn.XLOOKUP(OrderDetails[[#This Row],[ProductID]],Product!A:A,Product!B:B,"Not Found")</f>
        <v>Jack's New England Clam Chowder</v>
      </c>
    </row>
    <row r="710" spans="1:11">
      <c r="A710" s="1">
        <v>10516</v>
      </c>
      <c r="B710" s="1">
        <v>42</v>
      </c>
      <c r="C710" s="1">
        <v>14</v>
      </c>
      <c r="D710" s="1">
        <v>20</v>
      </c>
      <c r="E710" s="3">
        <v>0</v>
      </c>
      <c r="F710" s="1" t="str">
        <f>_xlfn.XLOOKUP(A710,Orders!A:A,Orders!B:B,"not found")</f>
        <v>HUNGO</v>
      </c>
      <c r="G710" s="13">
        <f>_xlfn.XLOOKUP(OrderDetails[[#This Row],[OrderID]],Orders!A:A,Orders!C:C,"Not Found")</f>
        <v>35544</v>
      </c>
      <c r="H710" s="16">
        <f>(OrderDetails[[#This Row],[UnitPrice]]*OrderDetails[[#This Row],[Quantity]])*(1-OrderDetails[[#This Row],[Discount]])</f>
        <v>280</v>
      </c>
      <c r="I710" s="15" t="str">
        <f>_xlfn.XLOOKUP(OrderDetails[[#This Row],[ProductID]],Product!A:A,Product!G:G,"Not Found")</f>
        <v>Grains/Cereals</v>
      </c>
      <c r="J710" s="15" t="str">
        <f>LOOKUP(MONTH(G710),{1,4,7,10},{"Winter","Spring","Summer","Autumn"})</f>
        <v>Spring</v>
      </c>
      <c r="K710" s="15" t="str">
        <f>_xlfn.XLOOKUP(OrderDetails[[#This Row],[ProductID]],Product!A:A,Product!B:B,"Not Found")</f>
        <v>Singaporean Hokkien Fried Mee</v>
      </c>
    </row>
    <row r="711" spans="1:11">
      <c r="A711" s="2">
        <v>10517</v>
      </c>
      <c r="B711" s="2">
        <v>52</v>
      </c>
      <c r="C711" s="2">
        <v>7</v>
      </c>
      <c r="D711" s="2">
        <v>6</v>
      </c>
      <c r="E711" s="4">
        <v>0</v>
      </c>
      <c r="F711" s="1" t="str">
        <f>_xlfn.XLOOKUP(A711,Orders!A:A,Orders!B:B,"not found")</f>
        <v>NORTS</v>
      </c>
      <c r="G711" s="13">
        <f>_xlfn.XLOOKUP(OrderDetails[[#This Row],[OrderID]],Orders!A:A,Orders!C:C,"Not Found")</f>
        <v>35544</v>
      </c>
      <c r="H711" s="16">
        <f>(OrderDetails[[#This Row],[UnitPrice]]*OrderDetails[[#This Row],[Quantity]])*(1-OrderDetails[[#This Row],[Discount]])</f>
        <v>42</v>
      </c>
      <c r="I711" s="15" t="str">
        <f>_xlfn.XLOOKUP(OrderDetails[[#This Row],[ProductID]],Product!A:A,Product!G:G,"Not Found")</f>
        <v>Grains/Cereals</v>
      </c>
      <c r="J711" s="15" t="str">
        <f>LOOKUP(MONTH(G711),{1,4,7,10},{"Winter","Spring","Summer","Autumn"})</f>
        <v>Spring</v>
      </c>
      <c r="K711" s="15" t="str">
        <f>_xlfn.XLOOKUP(OrderDetails[[#This Row],[ProductID]],Product!A:A,Product!B:B,"Not Found")</f>
        <v>Filo Mix</v>
      </c>
    </row>
    <row r="712" spans="1:11">
      <c r="A712" s="1">
        <v>10517</v>
      </c>
      <c r="B712" s="1">
        <v>59</v>
      </c>
      <c r="C712" s="1">
        <v>55</v>
      </c>
      <c r="D712" s="1">
        <v>4</v>
      </c>
      <c r="E712" s="3">
        <v>0</v>
      </c>
      <c r="F712" s="1" t="str">
        <f>_xlfn.XLOOKUP(A712,Orders!A:A,Orders!B:B,"not found")</f>
        <v>NORTS</v>
      </c>
      <c r="G712" s="13">
        <f>_xlfn.XLOOKUP(OrderDetails[[#This Row],[OrderID]],Orders!A:A,Orders!C:C,"Not Found")</f>
        <v>35544</v>
      </c>
      <c r="H712" s="16">
        <f>(OrderDetails[[#This Row],[UnitPrice]]*OrderDetails[[#This Row],[Quantity]])*(1-OrderDetails[[#This Row],[Discount]])</f>
        <v>220</v>
      </c>
      <c r="I712" s="15" t="str">
        <f>_xlfn.XLOOKUP(OrderDetails[[#This Row],[ProductID]],Product!A:A,Product!G:G,"Not Found")</f>
        <v>Dairy Products</v>
      </c>
      <c r="J712" s="15" t="str">
        <f>LOOKUP(MONTH(G712),{1,4,7,10},{"Winter","Spring","Summer","Autumn"})</f>
        <v>Spring</v>
      </c>
      <c r="K712" s="15" t="str">
        <f>_xlfn.XLOOKUP(OrderDetails[[#This Row],[ProductID]],Product!A:A,Product!B:B,"Not Found")</f>
        <v>Raclette Courdavault</v>
      </c>
    </row>
    <row r="713" spans="1:11">
      <c r="A713" s="2">
        <v>10517</v>
      </c>
      <c r="B713" s="2">
        <v>70</v>
      </c>
      <c r="C713" s="2">
        <v>15</v>
      </c>
      <c r="D713" s="2">
        <v>6</v>
      </c>
      <c r="E713" s="4">
        <v>0</v>
      </c>
      <c r="F713" s="1" t="str">
        <f>_xlfn.XLOOKUP(A713,Orders!A:A,Orders!B:B,"not found")</f>
        <v>NORTS</v>
      </c>
      <c r="G713" s="13">
        <f>_xlfn.XLOOKUP(OrderDetails[[#This Row],[OrderID]],Orders!A:A,Orders!C:C,"Not Found")</f>
        <v>35544</v>
      </c>
      <c r="H713" s="16">
        <f>(OrderDetails[[#This Row],[UnitPrice]]*OrderDetails[[#This Row],[Quantity]])*(1-OrderDetails[[#This Row],[Discount]])</f>
        <v>90</v>
      </c>
      <c r="I713" s="15" t="str">
        <f>_xlfn.XLOOKUP(OrderDetails[[#This Row],[ProductID]],Product!A:A,Product!G:G,"Not Found")</f>
        <v>Beverages</v>
      </c>
      <c r="J713" s="15" t="str">
        <f>LOOKUP(MONTH(G713),{1,4,7,10},{"Winter","Spring","Summer","Autumn"})</f>
        <v>Spring</v>
      </c>
      <c r="K713" s="15" t="str">
        <f>_xlfn.XLOOKUP(OrderDetails[[#This Row],[ProductID]],Product!A:A,Product!B:B,"Not Found")</f>
        <v>Outback Lager</v>
      </c>
    </row>
    <row r="714" spans="1:11">
      <c r="A714" s="1">
        <v>10518</v>
      </c>
      <c r="B714" s="1">
        <v>24</v>
      </c>
      <c r="C714" s="1">
        <v>4.5</v>
      </c>
      <c r="D714" s="1">
        <v>5</v>
      </c>
      <c r="E714" s="3">
        <v>0</v>
      </c>
      <c r="F714" s="1" t="str">
        <f>_xlfn.XLOOKUP(A714,Orders!A:A,Orders!B:B,"not found")</f>
        <v>TORTU</v>
      </c>
      <c r="G714" s="13">
        <f>_xlfn.XLOOKUP(OrderDetails[[#This Row],[OrderID]],Orders!A:A,Orders!C:C,"Not Found")</f>
        <v>35545</v>
      </c>
      <c r="H714" s="16">
        <f>(OrderDetails[[#This Row],[UnitPrice]]*OrderDetails[[#This Row],[Quantity]])*(1-OrderDetails[[#This Row],[Discount]])</f>
        <v>22.5</v>
      </c>
      <c r="I714" s="15" t="str">
        <f>_xlfn.XLOOKUP(OrderDetails[[#This Row],[ProductID]],Product!A:A,Product!G:G,"Not Found")</f>
        <v>Beverages</v>
      </c>
      <c r="J714" s="15" t="str">
        <f>LOOKUP(MONTH(G714),{1,4,7,10},{"Winter","Spring","Summer","Autumn"})</f>
        <v>Spring</v>
      </c>
      <c r="K714" s="15" t="str">
        <f>_xlfn.XLOOKUP(OrderDetails[[#This Row],[ProductID]],Product!A:A,Product!B:B,"Not Found")</f>
        <v>Guaraná Fantástica</v>
      </c>
    </row>
    <row r="715" spans="1:11">
      <c r="A715" s="2">
        <v>10518</v>
      </c>
      <c r="B715" s="2">
        <v>38</v>
      </c>
      <c r="C715" s="2">
        <v>263.5</v>
      </c>
      <c r="D715" s="2">
        <v>15</v>
      </c>
      <c r="E715" s="4">
        <v>0</v>
      </c>
      <c r="F715" s="1" t="str">
        <f>_xlfn.XLOOKUP(A715,Orders!A:A,Orders!B:B,"not found")</f>
        <v>TORTU</v>
      </c>
      <c r="G715" s="13">
        <f>_xlfn.XLOOKUP(OrderDetails[[#This Row],[OrderID]],Orders!A:A,Orders!C:C,"Not Found")</f>
        <v>35545</v>
      </c>
      <c r="H715" s="16">
        <f>(OrderDetails[[#This Row],[UnitPrice]]*OrderDetails[[#This Row],[Quantity]])*(1-OrderDetails[[#This Row],[Discount]])</f>
        <v>3952.5</v>
      </c>
      <c r="I715" s="15" t="str">
        <f>_xlfn.XLOOKUP(OrderDetails[[#This Row],[ProductID]],Product!A:A,Product!G:G,"Not Found")</f>
        <v>Beverages</v>
      </c>
      <c r="J715" s="15" t="str">
        <f>LOOKUP(MONTH(G715),{1,4,7,10},{"Winter","Spring","Summer","Autumn"})</f>
        <v>Spring</v>
      </c>
      <c r="K715" s="15" t="str">
        <f>_xlfn.XLOOKUP(OrderDetails[[#This Row],[ProductID]],Product!A:A,Product!B:B,"Not Found")</f>
        <v>Côte de Blaye</v>
      </c>
    </row>
    <row r="716" spans="1:11">
      <c r="A716" s="1">
        <v>10518</v>
      </c>
      <c r="B716" s="1">
        <v>44</v>
      </c>
      <c r="C716" s="1">
        <v>19.45</v>
      </c>
      <c r="D716" s="1">
        <v>9</v>
      </c>
      <c r="E716" s="3">
        <v>0</v>
      </c>
      <c r="F716" s="1" t="str">
        <f>_xlfn.XLOOKUP(A716,Orders!A:A,Orders!B:B,"not found")</f>
        <v>TORTU</v>
      </c>
      <c r="G716" s="13">
        <f>_xlfn.XLOOKUP(OrderDetails[[#This Row],[OrderID]],Orders!A:A,Orders!C:C,"Not Found")</f>
        <v>35545</v>
      </c>
      <c r="H716" s="16">
        <f>(OrderDetails[[#This Row],[UnitPrice]]*OrderDetails[[#This Row],[Quantity]])*(1-OrderDetails[[#This Row],[Discount]])</f>
        <v>175.04999999999998</v>
      </c>
      <c r="I716" s="15" t="str">
        <f>_xlfn.XLOOKUP(OrderDetails[[#This Row],[ProductID]],Product!A:A,Product!G:G,"Not Found")</f>
        <v>Condiments</v>
      </c>
      <c r="J716" s="15" t="str">
        <f>LOOKUP(MONTH(G716),{1,4,7,10},{"Winter","Spring","Summer","Autumn"})</f>
        <v>Spring</v>
      </c>
      <c r="K716" s="15" t="str">
        <f>_xlfn.XLOOKUP(OrderDetails[[#This Row],[ProductID]],Product!A:A,Product!B:B,"Not Found")</f>
        <v>Gula Malacca</v>
      </c>
    </row>
    <row r="717" spans="1:11">
      <c r="A717" s="2">
        <v>10519</v>
      </c>
      <c r="B717" s="2">
        <v>10</v>
      </c>
      <c r="C717" s="2">
        <v>31</v>
      </c>
      <c r="D717" s="2">
        <v>16</v>
      </c>
      <c r="E717" s="4">
        <v>5.000000074505806E-2</v>
      </c>
      <c r="F717" s="1" t="str">
        <f>_xlfn.XLOOKUP(A717,Orders!A:A,Orders!B:B,"not found")</f>
        <v>CHOPS</v>
      </c>
      <c r="G717" s="13">
        <f>_xlfn.XLOOKUP(OrderDetails[[#This Row],[OrderID]],Orders!A:A,Orders!C:C,"Not Found")</f>
        <v>35548</v>
      </c>
      <c r="H717" s="16">
        <f>(OrderDetails[[#This Row],[UnitPrice]]*OrderDetails[[#This Row],[Quantity]])*(1-OrderDetails[[#This Row],[Discount]])</f>
        <v>471.1999996304512</v>
      </c>
      <c r="I717" s="15" t="str">
        <f>_xlfn.XLOOKUP(OrderDetails[[#This Row],[ProductID]],Product!A:A,Product!G:G,"Not Found")</f>
        <v>Seafood</v>
      </c>
      <c r="J717" s="15" t="str">
        <f>LOOKUP(MONTH(G717),{1,4,7,10},{"Winter","Spring","Summer","Autumn"})</f>
        <v>Spring</v>
      </c>
      <c r="K717" s="15" t="str">
        <f>_xlfn.XLOOKUP(OrderDetails[[#This Row],[ProductID]],Product!A:A,Product!B:B,"Not Found")</f>
        <v>Ikura</v>
      </c>
    </row>
    <row r="718" spans="1:11">
      <c r="A718" s="1">
        <v>10519</v>
      </c>
      <c r="B718" s="1">
        <v>56</v>
      </c>
      <c r="C718" s="1">
        <v>38</v>
      </c>
      <c r="D718" s="1">
        <v>40</v>
      </c>
      <c r="E718" s="3">
        <v>0</v>
      </c>
      <c r="F718" s="1" t="str">
        <f>_xlfn.XLOOKUP(A718,Orders!A:A,Orders!B:B,"not found")</f>
        <v>CHOPS</v>
      </c>
      <c r="G718" s="13">
        <f>_xlfn.XLOOKUP(OrderDetails[[#This Row],[OrderID]],Orders!A:A,Orders!C:C,"Not Found")</f>
        <v>35548</v>
      </c>
      <c r="H718" s="16">
        <f>(OrderDetails[[#This Row],[UnitPrice]]*OrderDetails[[#This Row],[Quantity]])*(1-OrderDetails[[#This Row],[Discount]])</f>
        <v>1520</v>
      </c>
      <c r="I718" s="15" t="str">
        <f>_xlfn.XLOOKUP(OrderDetails[[#This Row],[ProductID]],Product!A:A,Product!G:G,"Not Found")</f>
        <v>Grains/Cereals</v>
      </c>
      <c r="J718" s="15" t="str">
        <f>LOOKUP(MONTH(G718),{1,4,7,10},{"Winter","Spring","Summer","Autumn"})</f>
        <v>Spring</v>
      </c>
      <c r="K718" s="15" t="str">
        <f>_xlfn.XLOOKUP(OrderDetails[[#This Row],[ProductID]],Product!A:A,Product!B:B,"Not Found")</f>
        <v>Gnocchi di nonna Alice</v>
      </c>
    </row>
    <row r="719" spans="1:11">
      <c r="A719" s="2">
        <v>10519</v>
      </c>
      <c r="B719" s="2">
        <v>60</v>
      </c>
      <c r="C719" s="2">
        <v>34</v>
      </c>
      <c r="D719" s="2">
        <v>10</v>
      </c>
      <c r="E719" s="4">
        <v>5.000000074505806E-2</v>
      </c>
      <c r="F719" s="1" t="str">
        <f>_xlfn.XLOOKUP(A719,Orders!A:A,Orders!B:B,"not found")</f>
        <v>CHOPS</v>
      </c>
      <c r="G719" s="13">
        <f>_xlfn.XLOOKUP(OrderDetails[[#This Row],[OrderID]],Orders!A:A,Orders!C:C,"Not Found")</f>
        <v>35548</v>
      </c>
      <c r="H719" s="16">
        <f>(OrderDetails[[#This Row],[UnitPrice]]*OrderDetails[[#This Row],[Quantity]])*(1-OrderDetails[[#This Row],[Discount]])</f>
        <v>322.99999974668026</v>
      </c>
      <c r="I719" s="15" t="str">
        <f>_xlfn.XLOOKUP(OrderDetails[[#This Row],[ProductID]],Product!A:A,Product!G:G,"Not Found")</f>
        <v>Dairy Products</v>
      </c>
      <c r="J719" s="15" t="str">
        <f>LOOKUP(MONTH(G719),{1,4,7,10},{"Winter","Spring","Summer","Autumn"})</f>
        <v>Spring</v>
      </c>
      <c r="K719" s="15" t="str">
        <f>_xlfn.XLOOKUP(OrderDetails[[#This Row],[ProductID]],Product!A:A,Product!B:B,"Not Found")</f>
        <v>Camembert Pierrot</v>
      </c>
    </row>
    <row r="720" spans="1:11">
      <c r="A720" s="1">
        <v>10520</v>
      </c>
      <c r="B720" s="1">
        <v>24</v>
      </c>
      <c r="C720" s="1">
        <v>4.5</v>
      </c>
      <c r="D720" s="1">
        <v>8</v>
      </c>
      <c r="E720" s="3">
        <v>0</v>
      </c>
      <c r="F720" s="1" t="str">
        <f>_xlfn.XLOOKUP(A720,Orders!A:A,Orders!B:B,"not found")</f>
        <v>SANTG</v>
      </c>
      <c r="G720" s="13">
        <f>_xlfn.XLOOKUP(OrderDetails[[#This Row],[OrderID]],Orders!A:A,Orders!C:C,"Not Found")</f>
        <v>35549</v>
      </c>
      <c r="H720" s="16">
        <f>(OrderDetails[[#This Row],[UnitPrice]]*OrderDetails[[#This Row],[Quantity]])*(1-OrderDetails[[#This Row],[Discount]])</f>
        <v>36</v>
      </c>
      <c r="I720" s="15" t="str">
        <f>_xlfn.XLOOKUP(OrderDetails[[#This Row],[ProductID]],Product!A:A,Product!G:G,"Not Found")</f>
        <v>Beverages</v>
      </c>
      <c r="J720" s="15" t="str">
        <f>LOOKUP(MONTH(G720),{1,4,7,10},{"Winter","Spring","Summer","Autumn"})</f>
        <v>Spring</v>
      </c>
      <c r="K720" s="15" t="str">
        <f>_xlfn.XLOOKUP(OrderDetails[[#This Row],[ProductID]],Product!A:A,Product!B:B,"Not Found")</f>
        <v>Guaraná Fantástica</v>
      </c>
    </row>
    <row r="721" spans="1:11">
      <c r="A721" s="2">
        <v>10520</v>
      </c>
      <c r="B721" s="2">
        <v>53</v>
      </c>
      <c r="C721" s="2">
        <v>32.799999999999997</v>
      </c>
      <c r="D721" s="2">
        <v>5</v>
      </c>
      <c r="E721" s="4">
        <v>0</v>
      </c>
      <c r="F721" s="1" t="str">
        <f>_xlfn.XLOOKUP(A721,Orders!A:A,Orders!B:B,"not found")</f>
        <v>SANTG</v>
      </c>
      <c r="G721" s="13">
        <f>_xlfn.XLOOKUP(OrderDetails[[#This Row],[OrderID]],Orders!A:A,Orders!C:C,"Not Found")</f>
        <v>35549</v>
      </c>
      <c r="H721" s="16">
        <f>(OrderDetails[[#This Row],[UnitPrice]]*OrderDetails[[#This Row],[Quantity]])*(1-OrderDetails[[#This Row],[Discount]])</f>
        <v>164</v>
      </c>
      <c r="I721" s="15" t="str">
        <f>_xlfn.XLOOKUP(OrderDetails[[#This Row],[ProductID]],Product!A:A,Product!G:G,"Not Found")</f>
        <v>Meat/Poultry</v>
      </c>
      <c r="J721" s="15" t="str">
        <f>LOOKUP(MONTH(G721),{1,4,7,10},{"Winter","Spring","Summer","Autumn"})</f>
        <v>Spring</v>
      </c>
      <c r="K721" s="15" t="str">
        <f>_xlfn.XLOOKUP(OrderDetails[[#This Row],[ProductID]],Product!A:A,Product!B:B,"Not Found")</f>
        <v>Perth Pasties</v>
      </c>
    </row>
    <row r="722" spans="1:11">
      <c r="A722" s="1">
        <v>10521</v>
      </c>
      <c r="B722" s="1">
        <v>35</v>
      </c>
      <c r="C722" s="1">
        <v>18</v>
      </c>
      <c r="D722" s="1">
        <v>3</v>
      </c>
      <c r="E722" s="3">
        <v>0</v>
      </c>
      <c r="F722" s="1" t="str">
        <f>_xlfn.XLOOKUP(A722,Orders!A:A,Orders!B:B,"not found")</f>
        <v>CACTU</v>
      </c>
      <c r="G722" s="13">
        <f>_xlfn.XLOOKUP(OrderDetails[[#This Row],[OrderID]],Orders!A:A,Orders!C:C,"Not Found")</f>
        <v>35549</v>
      </c>
      <c r="H722" s="16">
        <f>(OrderDetails[[#This Row],[UnitPrice]]*OrderDetails[[#This Row],[Quantity]])*(1-OrderDetails[[#This Row],[Discount]])</f>
        <v>54</v>
      </c>
      <c r="I722" s="15" t="str">
        <f>_xlfn.XLOOKUP(OrderDetails[[#This Row],[ProductID]],Product!A:A,Product!G:G,"Not Found")</f>
        <v>Beverages</v>
      </c>
      <c r="J722" s="15" t="str">
        <f>LOOKUP(MONTH(G722),{1,4,7,10},{"Winter","Spring","Summer","Autumn"})</f>
        <v>Spring</v>
      </c>
      <c r="K722" s="15" t="str">
        <f>_xlfn.XLOOKUP(OrderDetails[[#This Row],[ProductID]],Product!A:A,Product!B:B,"Not Found")</f>
        <v>Steeleye Stout</v>
      </c>
    </row>
    <row r="723" spans="1:11">
      <c r="A723" s="2">
        <v>10521</v>
      </c>
      <c r="B723" s="2">
        <v>41</v>
      </c>
      <c r="C723" s="2">
        <v>9.65</v>
      </c>
      <c r="D723" s="2">
        <v>10</v>
      </c>
      <c r="E723" s="4">
        <v>0</v>
      </c>
      <c r="F723" s="1" t="str">
        <f>_xlfn.XLOOKUP(A723,Orders!A:A,Orders!B:B,"not found")</f>
        <v>CACTU</v>
      </c>
      <c r="G723" s="13">
        <f>_xlfn.XLOOKUP(OrderDetails[[#This Row],[OrderID]],Orders!A:A,Orders!C:C,"Not Found")</f>
        <v>35549</v>
      </c>
      <c r="H723" s="16">
        <f>(OrderDetails[[#This Row],[UnitPrice]]*OrderDetails[[#This Row],[Quantity]])*(1-OrderDetails[[#This Row],[Discount]])</f>
        <v>96.5</v>
      </c>
      <c r="I723" s="15" t="str">
        <f>_xlfn.XLOOKUP(OrderDetails[[#This Row],[ProductID]],Product!A:A,Product!G:G,"Not Found")</f>
        <v>Seafood</v>
      </c>
      <c r="J723" s="15" t="str">
        <f>LOOKUP(MONTH(G723),{1,4,7,10},{"Winter","Spring","Summer","Autumn"})</f>
        <v>Spring</v>
      </c>
      <c r="K723" s="15" t="str">
        <f>_xlfn.XLOOKUP(OrderDetails[[#This Row],[ProductID]],Product!A:A,Product!B:B,"Not Found")</f>
        <v>Jack's New England Clam Chowder</v>
      </c>
    </row>
    <row r="724" spans="1:11">
      <c r="A724" s="1">
        <v>10521</v>
      </c>
      <c r="B724" s="1">
        <v>68</v>
      </c>
      <c r="C724" s="1">
        <v>12.5</v>
      </c>
      <c r="D724" s="1">
        <v>6</v>
      </c>
      <c r="E724" s="3">
        <v>0</v>
      </c>
      <c r="F724" s="1" t="str">
        <f>_xlfn.XLOOKUP(A724,Orders!A:A,Orders!B:B,"not found")</f>
        <v>CACTU</v>
      </c>
      <c r="G724" s="13">
        <f>_xlfn.XLOOKUP(OrderDetails[[#This Row],[OrderID]],Orders!A:A,Orders!C:C,"Not Found")</f>
        <v>35549</v>
      </c>
      <c r="H724" s="16">
        <f>(OrderDetails[[#This Row],[UnitPrice]]*OrderDetails[[#This Row],[Quantity]])*(1-OrderDetails[[#This Row],[Discount]])</f>
        <v>75</v>
      </c>
      <c r="I724" s="15" t="str">
        <f>_xlfn.XLOOKUP(OrderDetails[[#This Row],[ProductID]],Product!A:A,Product!G:G,"Not Found")</f>
        <v>Confections</v>
      </c>
      <c r="J724" s="15" t="str">
        <f>LOOKUP(MONTH(G724),{1,4,7,10},{"Winter","Spring","Summer","Autumn"})</f>
        <v>Spring</v>
      </c>
      <c r="K724" s="15" t="str">
        <f>_xlfn.XLOOKUP(OrderDetails[[#This Row],[ProductID]],Product!A:A,Product!B:B,"Not Found")</f>
        <v>Scottish Longbreads</v>
      </c>
    </row>
    <row r="725" spans="1:11">
      <c r="A725" s="2">
        <v>10522</v>
      </c>
      <c r="B725" s="2">
        <v>1</v>
      </c>
      <c r="C725" s="2">
        <v>18</v>
      </c>
      <c r="D725" s="2">
        <v>40</v>
      </c>
      <c r="E725" s="4">
        <v>0.20000000298023224</v>
      </c>
      <c r="F725" s="1" t="str">
        <f>_xlfn.XLOOKUP(A725,Orders!A:A,Orders!B:B,"not found")</f>
        <v>LEHMS</v>
      </c>
      <c r="G725" s="13">
        <f>_xlfn.XLOOKUP(OrderDetails[[#This Row],[OrderID]],Orders!A:A,Orders!C:C,"Not Found")</f>
        <v>35550</v>
      </c>
      <c r="H725" s="16">
        <f>(OrderDetails[[#This Row],[UnitPrice]]*OrderDetails[[#This Row],[Quantity]])*(1-OrderDetails[[#This Row],[Discount]])</f>
        <v>575.99999785423279</v>
      </c>
      <c r="I725" s="15" t="str">
        <f>_xlfn.XLOOKUP(OrderDetails[[#This Row],[ProductID]],Product!A:A,Product!G:G,"Not Found")</f>
        <v>Beverages</v>
      </c>
      <c r="J725" s="15" t="str">
        <f>LOOKUP(MONTH(G725),{1,4,7,10},{"Winter","Spring","Summer","Autumn"})</f>
        <v>Spring</v>
      </c>
      <c r="K725" s="15" t="str">
        <f>_xlfn.XLOOKUP(OrderDetails[[#This Row],[ProductID]],Product!A:A,Product!B:B,"Not Found")</f>
        <v>Chai</v>
      </c>
    </row>
    <row r="726" spans="1:11">
      <c r="A726" s="1">
        <v>10522</v>
      </c>
      <c r="B726" s="1">
        <v>8</v>
      </c>
      <c r="C726" s="1">
        <v>40</v>
      </c>
      <c r="D726" s="1">
        <v>24</v>
      </c>
      <c r="E726" s="3">
        <v>0</v>
      </c>
      <c r="F726" s="1" t="str">
        <f>_xlfn.XLOOKUP(A726,Orders!A:A,Orders!B:B,"not found")</f>
        <v>LEHMS</v>
      </c>
      <c r="G726" s="13">
        <f>_xlfn.XLOOKUP(OrderDetails[[#This Row],[OrderID]],Orders!A:A,Orders!C:C,"Not Found")</f>
        <v>35550</v>
      </c>
      <c r="H726" s="16">
        <f>(OrderDetails[[#This Row],[UnitPrice]]*OrderDetails[[#This Row],[Quantity]])*(1-OrderDetails[[#This Row],[Discount]])</f>
        <v>960</v>
      </c>
      <c r="I726" s="15" t="str">
        <f>_xlfn.XLOOKUP(OrderDetails[[#This Row],[ProductID]],Product!A:A,Product!G:G,"Not Found")</f>
        <v>Condiments</v>
      </c>
      <c r="J726" s="15" t="str">
        <f>LOOKUP(MONTH(G726),{1,4,7,10},{"Winter","Spring","Summer","Autumn"})</f>
        <v>Spring</v>
      </c>
      <c r="K726" s="15" t="str">
        <f>_xlfn.XLOOKUP(OrderDetails[[#This Row],[ProductID]],Product!A:A,Product!B:B,"Not Found")</f>
        <v>Northwoods Cranberry Sauce</v>
      </c>
    </row>
    <row r="727" spans="1:11">
      <c r="A727" s="2">
        <v>10522</v>
      </c>
      <c r="B727" s="2">
        <v>30</v>
      </c>
      <c r="C727" s="2">
        <v>25.89</v>
      </c>
      <c r="D727" s="2">
        <v>20</v>
      </c>
      <c r="E727" s="4">
        <v>0.20000000298023224</v>
      </c>
      <c r="F727" s="1" t="str">
        <f>_xlfn.XLOOKUP(A727,Orders!A:A,Orders!B:B,"not found")</f>
        <v>LEHMS</v>
      </c>
      <c r="G727" s="13">
        <f>_xlfn.XLOOKUP(OrderDetails[[#This Row],[OrderID]],Orders!A:A,Orders!C:C,"Not Found")</f>
        <v>35550</v>
      </c>
      <c r="H727" s="16">
        <f>(OrderDetails[[#This Row],[UnitPrice]]*OrderDetails[[#This Row],[Quantity]])*(1-OrderDetails[[#This Row],[Discount]])</f>
        <v>414.23999845683574</v>
      </c>
      <c r="I727" s="15" t="str">
        <f>_xlfn.XLOOKUP(OrderDetails[[#This Row],[ProductID]],Product!A:A,Product!G:G,"Not Found")</f>
        <v>Seafood</v>
      </c>
      <c r="J727" s="15" t="str">
        <f>LOOKUP(MONTH(G727),{1,4,7,10},{"Winter","Spring","Summer","Autumn"})</f>
        <v>Spring</v>
      </c>
      <c r="K727" s="15" t="str">
        <f>_xlfn.XLOOKUP(OrderDetails[[#This Row],[ProductID]],Product!A:A,Product!B:B,"Not Found")</f>
        <v>Nord-Ost Matjeshering</v>
      </c>
    </row>
    <row r="728" spans="1:11">
      <c r="A728" s="1">
        <v>10522</v>
      </c>
      <c r="B728" s="1">
        <v>40</v>
      </c>
      <c r="C728" s="1">
        <v>18.399999999999999</v>
      </c>
      <c r="D728" s="1">
        <v>25</v>
      </c>
      <c r="E728" s="3">
        <v>0.20000000298023224</v>
      </c>
      <c r="F728" s="1" t="str">
        <f>_xlfn.XLOOKUP(A728,Orders!A:A,Orders!B:B,"not found")</f>
        <v>LEHMS</v>
      </c>
      <c r="G728" s="13">
        <f>_xlfn.XLOOKUP(OrderDetails[[#This Row],[OrderID]],Orders!A:A,Orders!C:C,"Not Found")</f>
        <v>35550</v>
      </c>
      <c r="H728" s="16">
        <f>(OrderDetails[[#This Row],[UnitPrice]]*OrderDetails[[#This Row],[Quantity]])*(1-OrderDetails[[#This Row],[Discount]])</f>
        <v>367.99999862909311</v>
      </c>
      <c r="I728" s="15" t="str">
        <f>_xlfn.XLOOKUP(OrderDetails[[#This Row],[ProductID]],Product!A:A,Product!G:G,"Not Found")</f>
        <v>Seafood</v>
      </c>
      <c r="J728" s="15" t="str">
        <f>LOOKUP(MONTH(G728),{1,4,7,10},{"Winter","Spring","Summer","Autumn"})</f>
        <v>Spring</v>
      </c>
      <c r="K728" s="15" t="str">
        <f>_xlfn.XLOOKUP(OrderDetails[[#This Row],[ProductID]],Product!A:A,Product!B:B,"Not Found")</f>
        <v>Boston Crab Meat</v>
      </c>
    </row>
    <row r="729" spans="1:11">
      <c r="A729" s="2">
        <v>10523</v>
      </c>
      <c r="B729" s="2">
        <v>17</v>
      </c>
      <c r="C729" s="2">
        <v>39</v>
      </c>
      <c r="D729" s="2">
        <v>25</v>
      </c>
      <c r="E729" s="4">
        <v>0.10000000149011612</v>
      </c>
      <c r="F729" s="1" t="str">
        <f>_xlfn.XLOOKUP(A729,Orders!A:A,Orders!B:B,"not found")</f>
        <v>SEVES</v>
      </c>
      <c r="G729" s="13">
        <f>_xlfn.XLOOKUP(OrderDetails[[#This Row],[OrderID]],Orders!A:A,Orders!C:C,"Not Found")</f>
        <v>35551</v>
      </c>
      <c r="H729" s="16">
        <f>(OrderDetails[[#This Row],[UnitPrice]]*OrderDetails[[#This Row],[Quantity]])*(1-OrderDetails[[#This Row],[Discount]])</f>
        <v>877.49999854713678</v>
      </c>
      <c r="I729" s="15" t="str">
        <f>_xlfn.XLOOKUP(OrderDetails[[#This Row],[ProductID]],Product!A:A,Product!G:G,"Not Found")</f>
        <v>Meat/Poultry</v>
      </c>
      <c r="J729" s="15" t="str">
        <f>LOOKUP(MONTH(G729),{1,4,7,10},{"Winter","Spring","Summer","Autumn"})</f>
        <v>Spring</v>
      </c>
      <c r="K729" s="15" t="str">
        <f>_xlfn.XLOOKUP(OrderDetails[[#This Row],[ProductID]],Product!A:A,Product!B:B,"Not Found")</f>
        <v>Alice Mutton</v>
      </c>
    </row>
    <row r="730" spans="1:11">
      <c r="A730" s="1">
        <v>10523</v>
      </c>
      <c r="B730" s="1">
        <v>20</v>
      </c>
      <c r="C730" s="1">
        <v>81</v>
      </c>
      <c r="D730" s="1">
        <v>15</v>
      </c>
      <c r="E730" s="3">
        <v>0.10000000149011612</v>
      </c>
      <c r="F730" s="1" t="str">
        <f>_xlfn.XLOOKUP(A730,Orders!A:A,Orders!B:B,"not found")</f>
        <v>SEVES</v>
      </c>
      <c r="G730" s="13">
        <f>_xlfn.XLOOKUP(OrderDetails[[#This Row],[OrderID]],Orders!A:A,Orders!C:C,"Not Found")</f>
        <v>35551</v>
      </c>
      <c r="H730" s="16">
        <f>(OrderDetails[[#This Row],[UnitPrice]]*OrderDetails[[#This Row],[Quantity]])*(1-OrderDetails[[#This Row],[Discount]])</f>
        <v>1093.4999981895089</v>
      </c>
      <c r="I730" s="15" t="str">
        <f>_xlfn.XLOOKUP(OrderDetails[[#This Row],[ProductID]],Product!A:A,Product!G:G,"Not Found")</f>
        <v>Confections</v>
      </c>
      <c r="J730" s="15" t="str">
        <f>LOOKUP(MONTH(G730),{1,4,7,10},{"Winter","Spring","Summer","Autumn"})</f>
        <v>Spring</v>
      </c>
      <c r="K730" s="15" t="str">
        <f>_xlfn.XLOOKUP(OrderDetails[[#This Row],[ProductID]],Product!A:A,Product!B:B,"Not Found")</f>
        <v>Sir Rodney's Marmalade</v>
      </c>
    </row>
    <row r="731" spans="1:11">
      <c r="A731" s="2">
        <v>10523</v>
      </c>
      <c r="B731" s="2">
        <v>37</v>
      </c>
      <c r="C731" s="2">
        <v>26</v>
      </c>
      <c r="D731" s="2">
        <v>18</v>
      </c>
      <c r="E731" s="4">
        <v>0.10000000149011612</v>
      </c>
      <c r="F731" s="1" t="str">
        <f>_xlfn.XLOOKUP(A731,Orders!A:A,Orders!B:B,"not found")</f>
        <v>SEVES</v>
      </c>
      <c r="G731" s="13">
        <f>_xlfn.XLOOKUP(OrderDetails[[#This Row],[OrderID]],Orders!A:A,Orders!C:C,"Not Found")</f>
        <v>35551</v>
      </c>
      <c r="H731" s="16">
        <f>(OrderDetails[[#This Row],[UnitPrice]]*OrderDetails[[#This Row],[Quantity]])*(1-OrderDetails[[#This Row],[Discount]])</f>
        <v>421.19999930262566</v>
      </c>
      <c r="I731" s="15" t="str">
        <f>_xlfn.XLOOKUP(OrderDetails[[#This Row],[ProductID]],Product!A:A,Product!G:G,"Not Found")</f>
        <v>Seafood</v>
      </c>
      <c r="J731" s="15" t="str">
        <f>LOOKUP(MONTH(G731),{1,4,7,10},{"Winter","Spring","Summer","Autumn"})</f>
        <v>Spring</v>
      </c>
      <c r="K731" s="15" t="str">
        <f>_xlfn.XLOOKUP(OrderDetails[[#This Row],[ProductID]],Product!A:A,Product!B:B,"Not Found")</f>
        <v>Gravad lax</v>
      </c>
    </row>
    <row r="732" spans="1:11">
      <c r="A732" s="1">
        <v>10523</v>
      </c>
      <c r="B732" s="1">
        <v>41</v>
      </c>
      <c r="C732" s="1">
        <v>9.65</v>
      </c>
      <c r="D732" s="1">
        <v>6</v>
      </c>
      <c r="E732" s="3">
        <v>0.10000000149011612</v>
      </c>
      <c r="F732" s="1" t="str">
        <f>_xlfn.XLOOKUP(A732,Orders!A:A,Orders!B:B,"not found")</f>
        <v>SEVES</v>
      </c>
      <c r="G732" s="13">
        <f>_xlfn.XLOOKUP(OrderDetails[[#This Row],[OrderID]],Orders!A:A,Orders!C:C,"Not Found")</f>
        <v>35551</v>
      </c>
      <c r="H732" s="16">
        <f>(OrderDetails[[#This Row],[UnitPrice]]*OrderDetails[[#This Row],[Quantity]])*(1-OrderDetails[[#This Row],[Discount]])</f>
        <v>52.109999913722284</v>
      </c>
      <c r="I732" s="15" t="str">
        <f>_xlfn.XLOOKUP(OrderDetails[[#This Row],[ProductID]],Product!A:A,Product!G:G,"Not Found")</f>
        <v>Seafood</v>
      </c>
      <c r="J732" s="15" t="str">
        <f>LOOKUP(MONTH(G732),{1,4,7,10},{"Winter","Spring","Summer","Autumn"})</f>
        <v>Spring</v>
      </c>
      <c r="K732" s="15" t="str">
        <f>_xlfn.XLOOKUP(OrderDetails[[#This Row],[ProductID]],Product!A:A,Product!B:B,"Not Found")</f>
        <v>Jack's New England Clam Chowder</v>
      </c>
    </row>
    <row r="733" spans="1:11">
      <c r="A733" s="2">
        <v>10524</v>
      </c>
      <c r="B733" s="2">
        <v>10</v>
      </c>
      <c r="C733" s="2">
        <v>31</v>
      </c>
      <c r="D733" s="2">
        <v>2</v>
      </c>
      <c r="E733" s="4">
        <v>0</v>
      </c>
      <c r="F733" s="1" t="str">
        <f>_xlfn.XLOOKUP(A733,Orders!A:A,Orders!B:B,"not found")</f>
        <v>BERGS</v>
      </c>
      <c r="G733" s="13">
        <f>_xlfn.XLOOKUP(OrderDetails[[#This Row],[OrderID]],Orders!A:A,Orders!C:C,"Not Found")</f>
        <v>35551</v>
      </c>
      <c r="H733" s="16">
        <f>(OrderDetails[[#This Row],[UnitPrice]]*OrderDetails[[#This Row],[Quantity]])*(1-OrderDetails[[#This Row],[Discount]])</f>
        <v>62</v>
      </c>
      <c r="I733" s="15" t="str">
        <f>_xlfn.XLOOKUP(OrderDetails[[#This Row],[ProductID]],Product!A:A,Product!G:G,"Not Found")</f>
        <v>Seafood</v>
      </c>
      <c r="J733" s="15" t="str">
        <f>LOOKUP(MONTH(G733),{1,4,7,10},{"Winter","Spring","Summer","Autumn"})</f>
        <v>Spring</v>
      </c>
      <c r="K733" s="15" t="str">
        <f>_xlfn.XLOOKUP(OrderDetails[[#This Row],[ProductID]],Product!A:A,Product!B:B,"Not Found")</f>
        <v>Ikura</v>
      </c>
    </row>
    <row r="734" spans="1:11">
      <c r="A734" s="1">
        <v>10524</v>
      </c>
      <c r="B734" s="1">
        <v>30</v>
      </c>
      <c r="C734" s="1">
        <v>25.89</v>
      </c>
      <c r="D734" s="1">
        <v>10</v>
      </c>
      <c r="E734" s="3">
        <v>0</v>
      </c>
      <c r="F734" s="1" t="str">
        <f>_xlfn.XLOOKUP(A734,Orders!A:A,Orders!B:B,"not found")</f>
        <v>BERGS</v>
      </c>
      <c r="G734" s="13">
        <f>_xlfn.XLOOKUP(OrderDetails[[#This Row],[OrderID]],Orders!A:A,Orders!C:C,"Not Found")</f>
        <v>35551</v>
      </c>
      <c r="H734" s="16">
        <f>(OrderDetails[[#This Row],[UnitPrice]]*OrderDetails[[#This Row],[Quantity]])*(1-OrderDetails[[#This Row],[Discount]])</f>
        <v>258.89999999999998</v>
      </c>
      <c r="I734" s="15" t="str">
        <f>_xlfn.XLOOKUP(OrderDetails[[#This Row],[ProductID]],Product!A:A,Product!G:G,"Not Found")</f>
        <v>Seafood</v>
      </c>
      <c r="J734" s="15" t="str">
        <f>LOOKUP(MONTH(G734),{1,4,7,10},{"Winter","Spring","Summer","Autumn"})</f>
        <v>Spring</v>
      </c>
      <c r="K734" s="15" t="str">
        <f>_xlfn.XLOOKUP(OrderDetails[[#This Row],[ProductID]],Product!A:A,Product!B:B,"Not Found")</f>
        <v>Nord-Ost Matjeshering</v>
      </c>
    </row>
    <row r="735" spans="1:11">
      <c r="A735" s="2">
        <v>10524</v>
      </c>
      <c r="B735" s="2">
        <v>43</v>
      </c>
      <c r="C735" s="2">
        <v>46</v>
      </c>
      <c r="D735" s="2">
        <v>60</v>
      </c>
      <c r="E735" s="4">
        <v>0</v>
      </c>
      <c r="F735" s="1" t="str">
        <f>_xlfn.XLOOKUP(A735,Orders!A:A,Orders!B:B,"not found")</f>
        <v>BERGS</v>
      </c>
      <c r="G735" s="13">
        <f>_xlfn.XLOOKUP(OrderDetails[[#This Row],[OrderID]],Orders!A:A,Orders!C:C,"Not Found")</f>
        <v>35551</v>
      </c>
      <c r="H735" s="16">
        <f>(OrderDetails[[#This Row],[UnitPrice]]*OrderDetails[[#This Row],[Quantity]])*(1-OrderDetails[[#This Row],[Discount]])</f>
        <v>2760</v>
      </c>
      <c r="I735" s="15" t="str">
        <f>_xlfn.XLOOKUP(OrderDetails[[#This Row],[ProductID]],Product!A:A,Product!G:G,"Not Found")</f>
        <v>Beverages</v>
      </c>
      <c r="J735" s="15" t="str">
        <f>LOOKUP(MONTH(G735),{1,4,7,10},{"Winter","Spring","Summer","Autumn"})</f>
        <v>Spring</v>
      </c>
      <c r="K735" s="15" t="str">
        <f>_xlfn.XLOOKUP(OrderDetails[[#This Row],[ProductID]],Product!A:A,Product!B:B,"Not Found")</f>
        <v>Ipoh Coffee</v>
      </c>
    </row>
    <row r="736" spans="1:11">
      <c r="A736" s="1">
        <v>10524</v>
      </c>
      <c r="B736" s="1">
        <v>54</v>
      </c>
      <c r="C736" s="1">
        <v>7.45</v>
      </c>
      <c r="D736" s="1">
        <v>15</v>
      </c>
      <c r="E736" s="3">
        <v>0</v>
      </c>
      <c r="F736" s="1" t="str">
        <f>_xlfn.XLOOKUP(A736,Orders!A:A,Orders!B:B,"not found")</f>
        <v>BERGS</v>
      </c>
      <c r="G736" s="13">
        <f>_xlfn.XLOOKUP(OrderDetails[[#This Row],[OrderID]],Orders!A:A,Orders!C:C,"Not Found")</f>
        <v>35551</v>
      </c>
      <c r="H736" s="16">
        <f>(OrderDetails[[#This Row],[UnitPrice]]*OrderDetails[[#This Row],[Quantity]])*(1-OrderDetails[[#This Row],[Discount]])</f>
        <v>111.75</v>
      </c>
      <c r="I736" s="15" t="str">
        <f>_xlfn.XLOOKUP(OrderDetails[[#This Row],[ProductID]],Product!A:A,Product!G:G,"Not Found")</f>
        <v>Meat/Poultry</v>
      </c>
      <c r="J736" s="15" t="str">
        <f>LOOKUP(MONTH(G736),{1,4,7,10},{"Winter","Spring","Summer","Autumn"})</f>
        <v>Spring</v>
      </c>
      <c r="K736" s="15" t="str">
        <f>_xlfn.XLOOKUP(OrderDetails[[#This Row],[ProductID]],Product!A:A,Product!B:B,"Not Found")</f>
        <v>Tourtière</v>
      </c>
    </row>
    <row r="737" spans="1:11">
      <c r="A737" s="2">
        <v>10525</v>
      </c>
      <c r="B737" s="2">
        <v>36</v>
      </c>
      <c r="C737" s="2">
        <v>19</v>
      </c>
      <c r="D737" s="2">
        <v>30</v>
      </c>
      <c r="E737" s="4">
        <v>0</v>
      </c>
      <c r="F737" s="1" t="str">
        <f>_xlfn.XLOOKUP(A737,Orders!A:A,Orders!B:B,"not found")</f>
        <v>BONAP</v>
      </c>
      <c r="G737" s="13">
        <f>_xlfn.XLOOKUP(OrderDetails[[#This Row],[OrderID]],Orders!A:A,Orders!C:C,"Not Found")</f>
        <v>35552</v>
      </c>
      <c r="H737" s="16">
        <f>(OrderDetails[[#This Row],[UnitPrice]]*OrderDetails[[#This Row],[Quantity]])*(1-OrderDetails[[#This Row],[Discount]])</f>
        <v>570</v>
      </c>
      <c r="I737" s="15" t="str">
        <f>_xlfn.XLOOKUP(OrderDetails[[#This Row],[ProductID]],Product!A:A,Product!G:G,"Not Found")</f>
        <v>Seafood</v>
      </c>
      <c r="J737" s="15" t="str">
        <f>LOOKUP(MONTH(G737),{1,4,7,10},{"Winter","Spring","Summer","Autumn"})</f>
        <v>Spring</v>
      </c>
      <c r="K737" s="15" t="str">
        <f>_xlfn.XLOOKUP(OrderDetails[[#This Row],[ProductID]],Product!A:A,Product!B:B,"Not Found")</f>
        <v>Inlagd Sill</v>
      </c>
    </row>
    <row r="738" spans="1:11">
      <c r="A738" s="1">
        <v>10525</v>
      </c>
      <c r="B738" s="1">
        <v>40</v>
      </c>
      <c r="C738" s="1">
        <v>18.399999999999999</v>
      </c>
      <c r="D738" s="1">
        <v>15</v>
      </c>
      <c r="E738" s="3">
        <v>0.10000000149011612</v>
      </c>
      <c r="F738" s="1" t="str">
        <f>_xlfn.XLOOKUP(A738,Orders!A:A,Orders!B:B,"not found")</f>
        <v>BONAP</v>
      </c>
      <c r="G738" s="13">
        <f>_xlfn.XLOOKUP(OrderDetails[[#This Row],[OrderID]],Orders!A:A,Orders!C:C,"Not Found")</f>
        <v>35552</v>
      </c>
      <c r="H738" s="16">
        <f>(OrderDetails[[#This Row],[UnitPrice]]*OrderDetails[[#This Row],[Quantity]])*(1-OrderDetails[[#This Row],[Discount]])</f>
        <v>248.39999958872795</v>
      </c>
      <c r="I738" s="15" t="str">
        <f>_xlfn.XLOOKUP(OrderDetails[[#This Row],[ProductID]],Product!A:A,Product!G:G,"Not Found")</f>
        <v>Seafood</v>
      </c>
      <c r="J738" s="15" t="str">
        <f>LOOKUP(MONTH(G738),{1,4,7,10},{"Winter","Spring","Summer","Autumn"})</f>
        <v>Spring</v>
      </c>
      <c r="K738" s="15" t="str">
        <f>_xlfn.XLOOKUP(OrderDetails[[#This Row],[ProductID]],Product!A:A,Product!B:B,"Not Found")</f>
        <v>Boston Crab Meat</v>
      </c>
    </row>
    <row r="739" spans="1:11">
      <c r="A739" s="2">
        <v>10526</v>
      </c>
      <c r="B739" s="2">
        <v>1</v>
      </c>
      <c r="C739" s="2">
        <v>18</v>
      </c>
      <c r="D739" s="2">
        <v>8</v>
      </c>
      <c r="E739" s="4">
        <v>0.15000000596046448</v>
      </c>
      <c r="F739" s="1" t="str">
        <f>_xlfn.XLOOKUP(A739,Orders!A:A,Orders!B:B,"not found")</f>
        <v>WARTH</v>
      </c>
      <c r="G739" s="13">
        <f>_xlfn.XLOOKUP(OrderDetails[[#This Row],[OrderID]],Orders!A:A,Orders!C:C,"Not Found")</f>
        <v>35555</v>
      </c>
      <c r="H739" s="16">
        <f>(OrderDetails[[#This Row],[UnitPrice]]*OrderDetails[[#This Row],[Quantity]])*(1-OrderDetails[[#This Row],[Discount]])</f>
        <v>122.39999914169312</v>
      </c>
      <c r="I739" s="15" t="str">
        <f>_xlfn.XLOOKUP(OrderDetails[[#This Row],[ProductID]],Product!A:A,Product!G:G,"Not Found")</f>
        <v>Beverages</v>
      </c>
      <c r="J739" s="15" t="str">
        <f>LOOKUP(MONTH(G739),{1,4,7,10},{"Winter","Spring","Summer","Autumn"})</f>
        <v>Spring</v>
      </c>
      <c r="K739" s="15" t="str">
        <f>_xlfn.XLOOKUP(OrderDetails[[#This Row],[ProductID]],Product!A:A,Product!B:B,"Not Found")</f>
        <v>Chai</v>
      </c>
    </row>
    <row r="740" spans="1:11">
      <c r="A740" s="1">
        <v>10526</v>
      </c>
      <c r="B740" s="1">
        <v>13</v>
      </c>
      <c r="C740" s="1">
        <v>6</v>
      </c>
      <c r="D740" s="1">
        <v>10</v>
      </c>
      <c r="E740" s="3">
        <v>0</v>
      </c>
      <c r="F740" s="1" t="str">
        <f>_xlfn.XLOOKUP(A740,Orders!A:A,Orders!B:B,"not found")</f>
        <v>WARTH</v>
      </c>
      <c r="G740" s="13">
        <f>_xlfn.XLOOKUP(OrderDetails[[#This Row],[OrderID]],Orders!A:A,Orders!C:C,"Not Found")</f>
        <v>35555</v>
      </c>
      <c r="H740" s="16">
        <f>(OrderDetails[[#This Row],[UnitPrice]]*OrderDetails[[#This Row],[Quantity]])*(1-OrderDetails[[#This Row],[Discount]])</f>
        <v>60</v>
      </c>
      <c r="I740" s="15" t="str">
        <f>_xlfn.XLOOKUP(OrderDetails[[#This Row],[ProductID]],Product!A:A,Product!G:G,"Not Found")</f>
        <v>Seafood</v>
      </c>
      <c r="J740" s="15" t="str">
        <f>LOOKUP(MONTH(G740),{1,4,7,10},{"Winter","Spring","Summer","Autumn"})</f>
        <v>Spring</v>
      </c>
      <c r="K740" s="15" t="str">
        <f>_xlfn.XLOOKUP(OrderDetails[[#This Row],[ProductID]],Product!A:A,Product!B:B,"Not Found")</f>
        <v>Konbu</v>
      </c>
    </row>
    <row r="741" spans="1:11">
      <c r="A741" s="2">
        <v>10526</v>
      </c>
      <c r="B741" s="2">
        <v>56</v>
      </c>
      <c r="C741" s="2">
        <v>38</v>
      </c>
      <c r="D741" s="2">
        <v>30</v>
      </c>
      <c r="E741" s="4">
        <v>0.15000000596046448</v>
      </c>
      <c r="F741" s="1" t="str">
        <f>_xlfn.XLOOKUP(A741,Orders!A:A,Orders!B:B,"not found")</f>
        <v>WARTH</v>
      </c>
      <c r="G741" s="13">
        <f>_xlfn.XLOOKUP(OrderDetails[[#This Row],[OrderID]],Orders!A:A,Orders!C:C,"Not Found")</f>
        <v>35555</v>
      </c>
      <c r="H741" s="16">
        <f>(OrderDetails[[#This Row],[UnitPrice]]*OrderDetails[[#This Row],[Quantity]])*(1-OrderDetails[[#This Row],[Discount]])</f>
        <v>968.9999932050705</v>
      </c>
      <c r="I741" s="15" t="str">
        <f>_xlfn.XLOOKUP(OrderDetails[[#This Row],[ProductID]],Product!A:A,Product!G:G,"Not Found")</f>
        <v>Grains/Cereals</v>
      </c>
      <c r="J741" s="15" t="str">
        <f>LOOKUP(MONTH(G741),{1,4,7,10},{"Winter","Spring","Summer","Autumn"})</f>
        <v>Spring</v>
      </c>
      <c r="K741" s="15" t="str">
        <f>_xlfn.XLOOKUP(OrderDetails[[#This Row],[ProductID]],Product!A:A,Product!B:B,"Not Found")</f>
        <v>Gnocchi di nonna Alice</v>
      </c>
    </row>
    <row r="742" spans="1:11">
      <c r="A742" s="1">
        <v>10527</v>
      </c>
      <c r="B742" s="1">
        <v>4</v>
      </c>
      <c r="C742" s="1">
        <v>22</v>
      </c>
      <c r="D742" s="1">
        <v>50</v>
      </c>
      <c r="E742" s="3">
        <v>0.10000000149011612</v>
      </c>
      <c r="F742" s="1" t="str">
        <f>_xlfn.XLOOKUP(A742,Orders!A:A,Orders!B:B,"not found")</f>
        <v>QUICK</v>
      </c>
      <c r="G742" s="13">
        <f>_xlfn.XLOOKUP(OrderDetails[[#This Row],[OrderID]],Orders!A:A,Orders!C:C,"Not Found")</f>
        <v>35555</v>
      </c>
      <c r="H742" s="16">
        <f>(OrderDetails[[#This Row],[UnitPrice]]*OrderDetails[[#This Row],[Quantity]])*(1-OrderDetails[[#This Row],[Discount]])</f>
        <v>989.99999836087227</v>
      </c>
      <c r="I742" s="15" t="str">
        <f>_xlfn.XLOOKUP(OrderDetails[[#This Row],[ProductID]],Product!A:A,Product!G:G,"Not Found")</f>
        <v>Condiments</v>
      </c>
      <c r="J742" s="15" t="str">
        <f>LOOKUP(MONTH(G742),{1,4,7,10},{"Winter","Spring","Summer","Autumn"})</f>
        <v>Spring</v>
      </c>
      <c r="K742" s="15" t="str">
        <f>_xlfn.XLOOKUP(OrderDetails[[#This Row],[ProductID]],Product!A:A,Product!B:B,"Not Found")</f>
        <v>Chef Anton's Cajun Seasoning</v>
      </c>
    </row>
    <row r="743" spans="1:11">
      <c r="A743" s="2">
        <v>10527</v>
      </c>
      <c r="B743" s="2">
        <v>36</v>
      </c>
      <c r="C743" s="2">
        <v>19</v>
      </c>
      <c r="D743" s="2">
        <v>30</v>
      </c>
      <c r="E743" s="4">
        <v>0.10000000149011612</v>
      </c>
      <c r="F743" s="1" t="str">
        <f>_xlfn.XLOOKUP(A743,Orders!A:A,Orders!B:B,"not found")</f>
        <v>QUICK</v>
      </c>
      <c r="G743" s="13">
        <f>_xlfn.XLOOKUP(OrderDetails[[#This Row],[OrderID]],Orders!A:A,Orders!C:C,"Not Found")</f>
        <v>35555</v>
      </c>
      <c r="H743" s="16">
        <f>(OrderDetails[[#This Row],[UnitPrice]]*OrderDetails[[#This Row],[Quantity]])*(1-OrderDetails[[#This Row],[Discount]])</f>
        <v>512.99999915063381</v>
      </c>
      <c r="I743" s="15" t="str">
        <f>_xlfn.XLOOKUP(OrderDetails[[#This Row],[ProductID]],Product!A:A,Product!G:G,"Not Found")</f>
        <v>Seafood</v>
      </c>
      <c r="J743" s="15" t="str">
        <f>LOOKUP(MONTH(G743),{1,4,7,10},{"Winter","Spring","Summer","Autumn"})</f>
        <v>Spring</v>
      </c>
      <c r="K743" s="15" t="str">
        <f>_xlfn.XLOOKUP(OrderDetails[[#This Row],[ProductID]],Product!A:A,Product!B:B,"Not Found")</f>
        <v>Inlagd Sill</v>
      </c>
    </row>
    <row r="744" spans="1:11">
      <c r="A744" s="1">
        <v>10528</v>
      </c>
      <c r="B744" s="1">
        <v>11</v>
      </c>
      <c r="C744" s="1">
        <v>21</v>
      </c>
      <c r="D744" s="1">
        <v>3</v>
      </c>
      <c r="E744" s="3">
        <v>0</v>
      </c>
      <c r="F744" s="1" t="str">
        <f>_xlfn.XLOOKUP(A744,Orders!A:A,Orders!B:B,"not found")</f>
        <v>GREAL</v>
      </c>
      <c r="G744" s="13">
        <f>_xlfn.XLOOKUP(OrderDetails[[#This Row],[OrderID]],Orders!A:A,Orders!C:C,"Not Found")</f>
        <v>35556</v>
      </c>
      <c r="H744" s="16">
        <f>(OrderDetails[[#This Row],[UnitPrice]]*OrderDetails[[#This Row],[Quantity]])*(1-OrderDetails[[#This Row],[Discount]])</f>
        <v>63</v>
      </c>
      <c r="I744" s="15" t="str">
        <f>_xlfn.XLOOKUP(OrderDetails[[#This Row],[ProductID]],Product!A:A,Product!G:G,"Not Found")</f>
        <v>Dairy Products</v>
      </c>
      <c r="J744" s="15" t="str">
        <f>LOOKUP(MONTH(G744),{1,4,7,10},{"Winter","Spring","Summer","Autumn"})</f>
        <v>Spring</v>
      </c>
      <c r="K744" s="15" t="str">
        <f>_xlfn.XLOOKUP(OrderDetails[[#This Row],[ProductID]],Product!A:A,Product!B:B,"Not Found")</f>
        <v>Queso Cabrales</v>
      </c>
    </row>
    <row r="745" spans="1:11">
      <c r="A745" s="2">
        <v>10528</v>
      </c>
      <c r="B745" s="2">
        <v>33</v>
      </c>
      <c r="C745" s="2">
        <v>2.5</v>
      </c>
      <c r="D745" s="2">
        <v>8</v>
      </c>
      <c r="E745" s="4">
        <v>0.20000000298023224</v>
      </c>
      <c r="F745" s="1" t="str">
        <f>_xlfn.XLOOKUP(A745,Orders!A:A,Orders!B:B,"not found")</f>
        <v>GREAL</v>
      </c>
      <c r="G745" s="13">
        <f>_xlfn.XLOOKUP(OrderDetails[[#This Row],[OrderID]],Orders!A:A,Orders!C:C,"Not Found")</f>
        <v>35556</v>
      </c>
      <c r="H745" s="16">
        <f>(OrderDetails[[#This Row],[UnitPrice]]*OrderDetails[[#This Row],[Quantity]])*(1-OrderDetails[[#This Row],[Discount]])</f>
        <v>15.999999940395355</v>
      </c>
      <c r="I745" s="15" t="str">
        <f>_xlfn.XLOOKUP(OrderDetails[[#This Row],[ProductID]],Product!A:A,Product!G:G,"Not Found")</f>
        <v>Dairy Products</v>
      </c>
      <c r="J745" s="15" t="str">
        <f>LOOKUP(MONTH(G745),{1,4,7,10},{"Winter","Spring","Summer","Autumn"})</f>
        <v>Spring</v>
      </c>
      <c r="K745" s="15" t="str">
        <f>_xlfn.XLOOKUP(OrderDetails[[#This Row],[ProductID]],Product!A:A,Product!B:B,"Not Found")</f>
        <v>Geitost</v>
      </c>
    </row>
    <row r="746" spans="1:11">
      <c r="A746" s="1">
        <v>10528</v>
      </c>
      <c r="B746" s="1">
        <v>72</v>
      </c>
      <c r="C746" s="1">
        <v>34.799999999999997</v>
      </c>
      <c r="D746" s="1">
        <v>9</v>
      </c>
      <c r="E746" s="3">
        <v>0</v>
      </c>
      <c r="F746" s="1" t="str">
        <f>_xlfn.XLOOKUP(A746,Orders!A:A,Orders!B:B,"not found")</f>
        <v>GREAL</v>
      </c>
      <c r="G746" s="13">
        <f>_xlfn.XLOOKUP(OrderDetails[[#This Row],[OrderID]],Orders!A:A,Orders!C:C,"Not Found")</f>
        <v>35556</v>
      </c>
      <c r="H746" s="16">
        <f>(OrderDetails[[#This Row],[UnitPrice]]*OrderDetails[[#This Row],[Quantity]])*(1-OrderDetails[[#This Row],[Discount]])</f>
        <v>313.2</v>
      </c>
      <c r="I746" s="15" t="str">
        <f>_xlfn.XLOOKUP(OrderDetails[[#This Row],[ProductID]],Product!A:A,Product!G:G,"Not Found")</f>
        <v>Dairy Products</v>
      </c>
      <c r="J746" s="15" t="str">
        <f>LOOKUP(MONTH(G746),{1,4,7,10},{"Winter","Spring","Summer","Autumn"})</f>
        <v>Spring</v>
      </c>
      <c r="K746" s="15" t="str">
        <f>_xlfn.XLOOKUP(OrderDetails[[#This Row],[ProductID]],Product!A:A,Product!B:B,"Not Found")</f>
        <v>Mozzarella di Giovanni</v>
      </c>
    </row>
    <row r="747" spans="1:11">
      <c r="A747" s="2">
        <v>10529</v>
      </c>
      <c r="B747" s="2">
        <v>55</v>
      </c>
      <c r="C747" s="2">
        <v>24</v>
      </c>
      <c r="D747" s="2">
        <v>14</v>
      </c>
      <c r="E747" s="4">
        <v>0</v>
      </c>
      <c r="F747" s="1" t="str">
        <f>_xlfn.XLOOKUP(A747,Orders!A:A,Orders!B:B,"not found")</f>
        <v>MAISD</v>
      </c>
      <c r="G747" s="13">
        <f>_xlfn.XLOOKUP(OrderDetails[[#This Row],[OrderID]],Orders!A:A,Orders!C:C,"Not Found")</f>
        <v>35557</v>
      </c>
      <c r="H747" s="16">
        <f>(OrderDetails[[#This Row],[UnitPrice]]*OrderDetails[[#This Row],[Quantity]])*(1-OrderDetails[[#This Row],[Discount]])</f>
        <v>336</v>
      </c>
      <c r="I747" s="15" t="str">
        <f>_xlfn.XLOOKUP(OrderDetails[[#This Row],[ProductID]],Product!A:A,Product!G:G,"Not Found")</f>
        <v>Meat/Poultry</v>
      </c>
      <c r="J747" s="15" t="str">
        <f>LOOKUP(MONTH(G747),{1,4,7,10},{"Winter","Spring","Summer","Autumn"})</f>
        <v>Spring</v>
      </c>
      <c r="K747" s="15" t="str">
        <f>_xlfn.XLOOKUP(OrderDetails[[#This Row],[ProductID]],Product!A:A,Product!B:B,"Not Found")</f>
        <v>Pâté chinois</v>
      </c>
    </row>
    <row r="748" spans="1:11">
      <c r="A748" s="1">
        <v>10529</v>
      </c>
      <c r="B748" s="1">
        <v>68</v>
      </c>
      <c r="C748" s="1">
        <v>12.5</v>
      </c>
      <c r="D748" s="1">
        <v>20</v>
      </c>
      <c r="E748" s="3">
        <v>0</v>
      </c>
      <c r="F748" s="1" t="str">
        <f>_xlfn.XLOOKUP(A748,Orders!A:A,Orders!B:B,"not found")</f>
        <v>MAISD</v>
      </c>
      <c r="G748" s="13">
        <f>_xlfn.XLOOKUP(OrderDetails[[#This Row],[OrderID]],Orders!A:A,Orders!C:C,"Not Found")</f>
        <v>35557</v>
      </c>
      <c r="H748" s="16">
        <f>(OrderDetails[[#This Row],[UnitPrice]]*OrderDetails[[#This Row],[Quantity]])*(1-OrderDetails[[#This Row],[Discount]])</f>
        <v>250</v>
      </c>
      <c r="I748" s="15" t="str">
        <f>_xlfn.XLOOKUP(OrderDetails[[#This Row],[ProductID]],Product!A:A,Product!G:G,"Not Found")</f>
        <v>Confections</v>
      </c>
      <c r="J748" s="15" t="str">
        <f>LOOKUP(MONTH(G748),{1,4,7,10},{"Winter","Spring","Summer","Autumn"})</f>
        <v>Spring</v>
      </c>
      <c r="K748" s="15" t="str">
        <f>_xlfn.XLOOKUP(OrderDetails[[#This Row],[ProductID]],Product!A:A,Product!B:B,"Not Found")</f>
        <v>Scottish Longbreads</v>
      </c>
    </row>
    <row r="749" spans="1:11">
      <c r="A749" s="2">
        <v>10529</v>
      </c>
      <c r="B749" s="2">
        <v>69</v>
      </c>
      <c r="C749" s="2">
        <v>36</v>
      </c>
      <c r="D749" s="2">
        <v>10</v>
      </c>
      <c r="E749" s="4">
        <v>0</v>
      </c>
      <c r="F749" s="1" t="str">
        <f>_xlfn.XLOOKUP(A749,Orders!A:A,Orders!B:B,"not found")</f>
        <v>MAISD</v>
      </c>
      <c r="G749" s="13">
        <f>_xlfn.XLOOKUP(OrderDetails[[#This Row],[OrderID]],Orders!A:A,Orders!C:C,"Not Found")</f>
        <v>35557</v>
      </c>
      <c r="H749" s="16">
        <f>(OrderDetails[[#This Row],[UnitPrice]]*OrderDetails[[#This Row],[Quantity]])*(1-OrderDetails[[#This Row],[Discount]])</f>
        <v>360</v>
      </c>
      <c r="I749" s="15" t="str">
        <f>_xlfn.XLOOKUP(OrderDetails[[#This Row],[ProductID]],Product!A:A,Product!G:G,"Not Found")</f>
        <v>Dairy Products</v>
      </c>
      <c r="J749" s="15" t="str">
        <f>LOOKUP(MONTH(G749),{1,4,7,10},{"Winter","Spring","Summer","Autumn"})</f>
        <v>Spring</v>
      </c>
      <c r="K749" s="15" t="str">
        <f>_xlfn.XLOOKUP(OrderDetails[[#This Row],[ProductID]],Product!A:A,Product!B:B,"Not Found")</f>
        <v>Gudbrandsdalsost</v>
      </c>
    </row>
    <row r="750" spans="1:11">
      <c r="A750" s="1">
        <v>10530</v>
      </c>
      <c r="B750" s="1">
        <v>17</v>
      </c>
      <c r="C750" s="1">
        <v>39</v>
      </c>
      <c r="D750" s="1">
        <v>40</v>
      </c>
      <c r="E750" s="3">
        <v>0</v>
      </c>
      <c r="F750" s="1" t="str">
        <f>_xlfn.XLOOKUP(A750,Orders!A:A,Orders!B:B,"not found")</f>
        <v>PICCO</v>
      </c>
      <c r="G750" s="13">
        <f>_xlfn.XLOOKUP(OrderDetails[[#This Row],[OrderID]],Orders!A:A,Orders!C:C,"Not Found")</f>
        <v>35558</v>
      </c>
      <c r="H750" s="16">
        <f>(OrderDetails[[#This Row],[UnitPrice]]*OrderDetails[[#This Row],[Quantity]])*(1-OrderDetails[[#This Row],[Discount]])</f>
        <v>1560</v>
      </c>
      <c r="I750" s="15" t="str">
        <f>_xlfn.XLOOKUP(OrderDetails[[#This Row],[ProductID]],Product!A:A,Product!G:G,"Not Found")</f>
        <v>Meat/Poultry</v>
      </c>
      <c r="J750" s="15" t="str">
        <f>LOOKUP(MONTH(G750),{1,4,7,10},{"Winter","Spring","Summer","Autumn"})</f>
        <v>Spring</v>
      </c>
      <c r="K750" s="15" t="str">
        <f>_xlfn.XLOOKUP(OrderDetails[[#This Row],[ProductID]],Product!A:A,Product!B:B,"Not Found")</f>
        <v>Alice Mutton</v>
      </c>
    </row>
    <row r="751" spans="1:11">
      <c r="A751" s="2">
        <v>10530</v>
      </c>
      <c r="B751" s="2">
        <v>43</v>
      </c>
      <c r="C751" s="2">
        <v>46</v>
      </c>
      <c r="D751" s="2">
        <v>25</v>
      </c>
      <c r="E751" s="4">
        <v>0</v>
      </c>
      <c r="F751" s="1" t="str">
        <f>_xlfn.XLOOKUP(A751,Orders!A:A,Orders!B:B,"not found")</f>
        <v>PICCO</v>
      </c>
      <c r="G751" s="13">
        <f>_xlfn.XLOOKUP(OrderDetails[[#This Row],[OrderID]],Orders!A:A,Orders!C:C,"Not Found")</f>
        <v>35558</v>
      </c>
      <c r="H751" s="16">
        <f>(OrderDetails[[#This Row],[UnitPrice]]*OrderDetails[[#This Row],[Quantity]])*(1-OrderDetails[[#This Row],[Discount]])</f>
        <v>1150</v>
      </c>
      <c r="I751" s="15" t="str">
        <f>_xlfn.XLOOKUP(OrderDetails[[#This Row],[ProductID]],Product!A:A,Product!G:G,"Not Found")</f>
        <v>Beverages</v>
      </c>
      <c r="J751" s="15" t="str">
        <f>LOOKUP(MONTH(G751),{1,4,7,10},{"Winter","Spring","Summer","Autumn"})</f>
        <v>Spring</v>
      </c>
      <c r="K751" s="15" t="str">
        <f>_xlfn.XLOOKUP(OrderDetails[[#This Row],[ProductID]],Product!A:A,Product!B:B,"Not Found")</f>
        <v>Ipoh Coffee</v>
      </c>
    </row>
    <row r="752" spans="1:11">
      <c r="A752" s="1">
        <v>10530</v>
      </c>
      <c r="B752" s="1">
        <v>61</v>
      </c>
      <c r="C752" s="1">
        <v>28.5</v>
      </c>
      <c r="D752" s="1">
        <v>20</v>
      </c>
      <c r="E752" s="3">
        <v>0</v>
      </c>
      <c r="F752" s="1" t="str">
        <f>_xlfn.XLOOKUP(A752,Orders!A:A,Orders!B:B,"not found")</f>
        <v>PICCO</v>
      </c>
      <c r="G752" s="13">
        <f>_xlfn.XLOOKUP(OrderDetails[[#This Row],[OrderID]],Orders!A:A,Orders!C:C,"Not Found")</f>
        <v>35558</v>
      </c>
      <c r="H752" s="16">
        <f>(OrderDetails[[#This Row],[UnitPrice]]*OrderDetails[[#This Row],[Quantity]])*(1-OrderDetails[[#This Row],[Discount]])</f>
        <v>570</v>
      </c>
      <c r="I752" s="15" t="str">
        <f>_xlfn.XLOOKUP(OrderDetails[[#This Row],[ProductID]],Product!A:A,Product!G:G,"Not Found")</f>
        <v>Condiments</v>
      </c>
      <c r="J752" s="15" t="str">
        <f>LOOKUP(MONTH(G752),{1,4,7,10},{"Winter","Spring","Summer","Autumn"})</f>
        <v>Spring</v>
      </c>
      <c r="K752" s="15" t="str">
        <f>_xlfn.XLOOKUP(OrderDetails[[#This Row],[ProductID]],Product!A:A,Product!B:B,"Not Found")</f>
        <v>Sirop d'érable</v>
      </c>
    </row>
    <row r="753" spans="1:11">
      <c r="A753" s="2">
        <v>10530</v>
      </c>
      <c r="B753" s="2">
        <v>76</v>
      </c>
      <c r="C753" s="2">
        <v>18</v>
      </c>
      <c r="D753" s="2">
        <v>50</v>
      </c>
      <c r="E753" s="4">
        <v>0</v>
      </c>
      <c r="F753" s="1" t="str">
        <f>_xlfn.XLOOKUP(A753,Orders!A:A,Orders!B:B,"not found")</f>
        <v>PICCO</v>
      </c>
      <c r="G753" s="13">
        <f>_xlfn.XLOOKUP(OrderDetails[[#This Row],[OrderID]],Orders!A:A,Orders!C:C,"Not Found")</f>
        <v>35558</v>
      </c>
      <c r="H753" s="16">
        <f>(OrderDetails[[#This Row],[UnitPrice]]*OrderDetails[[#This Row],[Quantity]])*(1-OrderDetails[[#This Row],[Discount]])</f>
        <v>900</v>
      </c>
      <c r="I753" s="15" t="str">
        <f>_xlfn.XLOOKUP(OrderDetails[[#This Row],[ProductID]],Product!A:A,Product!G:G,"Not Found")</f>
        <v>Beverages</v>
      </c>
      <c r="J753" s="15" t="str">
        <f>LOOKUP(MONTH(G753),{1,4,7,10},{"Winter","Spring","Summer","Autumn"})</f>
        <v>Spring</v>
      </c>
      <c r="K753" s="15" t="str">
        <f>_xlfn.XLOOKUP(OrderDetails[[#This Row],[ProductID]],Product!A:A,Product!B:B,"Not Found")</f>
        <v>Lakkalikööri</v>
      </c>
    </row>
    <row r="754" spans="1:11">
      <c r="A754" s="1">
        <v>10531</v>
      </c>
      <c r="B754" s="1">
        <v>59</v>
      </c>
      <c r="C754" s="1">
        <v>55</v>
      </c>
      <c r="D754" s="1">
        <v>2</v>
      </c>
      <c r="E754" s="3">
        <v>0</v>
      </c>
      <c r="F754" s="1" t="str">
        <f>_xlfn.XLOOKUP(A754,Orders!A:A,Orders!B:B,"not found")</f>
        <v>OCEAN</v>
      </c>
      <c r="G754" s="13">
        <f>_xlfn.XLOOKUP(OrderDetails[[#This Row],[OrderID]],Orders!A:A,Orders!C:C,"Not Found")</f>
        <v>35558</v>
      </c>
      <c r="H754" s="16">
        <f>(OrderDetails[[#This Row],[UnitPrice]]*OrderDetails[[#This Row],[Quantity]])*(1-OrderDetails[[#This Row],[Discount]])</f>
        <v>110</v>
      </c>
      <c r="I754" s="15" t="str">
        <f>_xlfn.XLOOKUP(OrderDetails[[#This Row],[ProductID]],Product!A:A,Product!G:G,"Not Found")</f>
        <v>Dairy Products</v>
      </c>
      <c r="J754" s="15" t="str">
        <f>LOOKUP(MONTH(G754),{1,4,7,10},{"Winter","Spring","Summer","Autumn"})</f>
        <v>Spring</v>
      </c>
      <c r="K754" s="15" t="str">
        <f>_xlfn.XLOOKUP(OrderDetails[[#This Row],[ProductID]],Product!A:A,Product!B:B,"Not Found")</f>
        <v>Raclette Courdavault</v>
      </c>
    </row>
    <row r="755" spans="1:11">
      <c r="A755" s="2">
        <v>10532</v>
      </c>
      <c r="B755" s="2">
        <v>30</v>
      </c>
      <c r="C755" s="2">
        <v>25.89</v>
      </c>
      <c r="D755" s="2">
        <v>15</v>
      </c>
      <c r="E755" s="4">
        <v>0</v>
      </c>
      <c r="F755" s="1" t="str">
        <f>_xlfn.XLOOKUP(A755,Orders!A:A,Orders!B:B,"not found")</f>
        <v>EASTC</v>
      </c>
      <c r="G755" s="13">
        <f>_xlfn.XLOOKUP(OrderDetails[[#This Row],[OrderID]],Orders!A:A,Orders!C:C,"Not Found")</f>
        <v>35559</v>
      </c>
      <c r="H755" s="16">
        <f>(OrderDetails[[#This Row],[UnitPrice]]*OrderDetails[[#This Row],[Quantity]])*(1-OrderDetails[[#This Row],[Discount]])</f>
        <v>388.35</v>
      </c>
      <c r="I755" s="15" t="str">
        <f>_xlfn.XLOOKUP(OrderDetails[[#This Row],[ProductID]],Product!A:A,Product!G:G,"Not Found")</f>
        <v>Seafood</v>
      </c>
      <c r="J755" s="15" t="str">
        <f>LOOKUP(MONTH(G755),{1,4,7,10},{"Winter","Spring","Summer","Autumn"})</f>
        <v>Spring</v>
      </c>
      <c r="K755" s="15" t="str">
        <f>_xlfn.XLOOKUP(OrderDetails[[#This Row],[ProductID]],Product!A:A,Product!B:B,"Not Found")</f>
        <v>Nord-Ost Matjeshering</v>
      </c>
    </row>
    <row r="756" spans="1:11">
      <c r="A756" s="1">
        <v>10532</v>
      </c>
      <c r="B756" s="1">
        <v>66</v>
      </c>
      <c r="C756" s="1">
        <v>17</v>
      </c>
      <c r="D756" s="1">
        <v>24</v>
      </c>
      <c r="E756" s="3">
        <v>0</v>
      </c>
      <c r="F756" s="1" t="str">
        <f>_xlfn.XLOOKUP(A756,Orders!A:A,Orders!B:B,"not found")</f>
        <v>EASTC</v>
      </c>
      <c r="G756" s="13">
        <f>_xlfn.XLOOKUP(OrderDetails[[#This Row],[OrderID]],Orders!A:A,Orders!C:C,"Not Found")</f>
        <v>35559</v>
      </c>
      <c r="H756" s="16">
        <f>(OrderDetails[[#This Row],[UnitPrice]]*OrderDetails[[#This Row],[Quantity]])*(1-OrderDetails[[#This Row],[Discount]])</f>
        <v>408</v>
      </c>
      <c r="I756" s="15" t="str">
        <f>_xlfn.XLOOKUP(OrderDetails[[#This Row],[ProductID]],Product!A:A,Product!G:G,"Not Found")</f>
        <v>Condiments</v>
      </c>
      <c r="J756" s="15" t="str">
        <f>LOOKUP(MONTH(G756),{1,4,7,10},{"Winter","Spring","Summer","Autumn"})</f>
        <v>Spring</v>
      </c>
      <c r="K756" s="15" t="str">
        <f>_xlfn.XLOOKUP(OrderDetails[[#This Row],[ProductID]],Product!A:A,Product!B:B,"Not Found")</f>
        <v>Louisiana Hot Spiced Okra</v>
      </c>
    </row>
    <row r="757" spans="1:11">
      <c r="A757" s="2">
        <v>10533</v>
      </c>
      <c r="B757" s="2">
        <v>4</v>
      </c>
      <c r="C757" s="2">
        <v>22</v>
      </c>
      <c r="D757" s="2">
        <v>50</v>
      </c>
      <c r="E757" s="4">
        <v>5.000000074505806E-2</v>
      </c>
      <c r="F757" s="1" t="str">
        <f>_xlfn.XLOOKUP(A757,Orders!A:A,Orders!B:B,"not found")</f>
        <v>FOLKO</v>
      </c>
      <c r="G757" s="13">
        <f>_xlfn.XLOOKUP(OrderDetails[[#This Row],[OrderID]],Orders!A:A,Orders!C:C,"Not Found")</f>
        <v>35562</v>
      </c>
      <c r="H757" s="16">
        <f>(OrderDetails[[#This Row],[UnitPrice]]*OrderDetails[[#This Row],[Quantity]])*(1-OrderDetails[[#This Row],[Discount]])</f>
        <v>1044.9999991804361</v>
      </c>
      <c r="I757" s="15" t="str">
        <f>_xlfn.XLOOKUP(OrderDetails[[#This Row],[ProductID]],Product!A:A,Product!G:G,"Not Found")</f>
        <v>Condiments</v>
      </c>
      <c r="J757" s="15" t="str">
        <f>LOOKUP(MONTH(G757),{1,4,7,10},{"Winter","Spring","Summer","Autumn"})</f>
        <v>Spring</v>
      </c>
      <c r="K757" s="15" t="str">
        <f>_xlfn.XLOOKUP(OrderDetails[[#This Row],[ProductID]],Product!A:A,Product!B:B,"Not Found")</f>
        <v>Chef Anton's Cajun Seasoning</v>
      </c>
    </row>
    <row r="758" spans="1:11">
      <c r="A758" s="1">
        <v>10533</v>
      </c>
      <c r="B758" s="1">
        <v>72</v>
      </c>
      <c r="C758" s="1">
        <v>34.799999999999997</v>
      </c>
      <c r="D758" s="1">
        <v>24</v>
      </c>
      <c r="E758" s="3">
        <v>0</v>
      </c>
      <c r="F758" s="1" t="str">
        <f>_xlfn.XLOOKUP(A758,Orders!A:A,Orders!B:B,"not found")</f>
        <v>FOLKO</v>
      </c>
      <c r="G758" s="13">
        <f>_xlfn.XLOOKUP(OrderDetails[[#This Row],[OrderID]],Orders!A:A,Orders!C:C,"Not Found")</f>
        <v>35562</v>
      </c>
      <c r="H758" s="16">
        <f>(OrderDetails[[#This Row],[UnitPrice]]*OrderDetails[[#This Row],[Quantity]])*(1-OrderDetails[[#This Row],[Discount]])</f>
        <v>835.19999999999993</v>
      </c>
      <c r="I758" s="15" t="str">
        <f>_xlfn.XLOOKUP(OrderDetails[[#This Row],[ProductID]],Product!A:A,Product!G:G,"Not Found")</f>
        <v>Dairy Products</v>
      </c>
      <c r="J758" s="15" t="str">
        <f>LOOKUP(MONTH(G758),{1,4,7,10},{"Winter","Spring","Summer","Autumn"})</f>
        <v>Spring</v>
      </c>
      <c r="K758" s="15" t="str">
        <f>_xlfn.XLOOKUP(OrderDetails[[#This Row],[ProductID]],Product!A:A,Product!B:B,"Not Found")</f>
        <v>Mozzarella di Giovanni</v>
      </c>
    </row>
    <row r="759" spans="1:11">
      <c r="A759" s="2">
        <v>10533</v>
      </c>
      <c r="B759" s="2">
        <v>73</v>
      </c>
      <c r="C759" s="2">
        <v>15</v>
      </c>
      <c r="D759" s="2">
        <v>24</v>
      </c>
      <c r="E759" s="4">
        <v>5.000000074505806E-2</v>
      </c>
      <c r="F759" s="1" t="str">
        <f>_xlfn.XLOOKUP(A759,Orders!A:A,Orders!B:B,"not found")</f>
        <v>FOLKO</v>
      </c>
      <c r="G759" s="13">
        <f>_xlfn.XLOOKUP(OrderDetails[[#This Row],[OrderID]],Orders!A:A,Orders!C:C,"Not Found")</f>
        <v>35562</v>
      </c>
      <c r="H759" s="16">
        <f>(OrderDetails[[#This Row],[UnitPrice]]*OrderDetails[[#This Row],[Quantity]])*(1-OrderDetails[[#This Row],[Discount]])</f>
        <v>341.9999997317791</v>
      </c>
      <c r="I759" s="15" t="str">
        <f>_xlfn.XLOOKUP(OrderDetails[[#This Row],[ProductID]],Product!A:A,Product!G:G,"Not Found")</f>
        <v>Seafood</v>
      </c>
      <c r="J759" s="15" t="str">
        <f>LOOKUP(MONTH(G759),{1,4,7,10},{"Winter","Spring","Summer","Autumn"})</f>
        <v>Spring</v>
      </c>
      <c r="K759" s="15" t="str">
        <f>_xlfn.XLOOKUP(OrderDetails[[#This Row],[ProductID]],Product!A:A,Product!B:B,"Not Found")</f>
        <v>Röd Kaviar</v>
      </c>
    </row>
    <row r="760" spans="1:11">
      <c r="A760" s="1">
        <v>10534</v>
      </c>
      <c r="B760" s="1">
        <v>30</v>
      </c>
      <c r="C760" s="1">
        <v>25.89</v>
      </c>
      <c r="D760" s="1">
        <v>10</v>
      </c>
      <c r="E760" s="3">
        <v>0</v>
      </c>
      <c r="F760" s="1" t="str">
        <f>_xlfn.XLOOKUP(A760,Orders!A:A,Orders!B:B,"not found")</f>
        <v>LEHMS</v>
      </c>
      <c r="G760" s="13">
        <f>_xlfn.XLOOKUP(OrderDetails[[#This Row],[OrderID]],Orders!A:A,Orders!C:C,"Not Found")</f>
        <v>35562</v>
      </c>
      <c r="H760" s="16">
        <f>(OrderDetails[[#This Row],[UnitPrice]]*OrderDetails[[#This Row],[Quantity]])*(1-OrderDetails[[#This Row],[Discount]])</f>
        <v>258.89999999999998</v>
      </c>
      <c r="I760" s="15" t="str">
        <f>_xlfn.XLOOKUP(OrderDetails[[#This Row],[ProductID]],Product!A:A,Product!G:G,"Not Found")</f>
        <v>Seafood</v>
      </c>
      <c r="J760" s="15" t="str">
        <f>LOOKUP(MONTH(G760),{1,4,7,10},{"Winter","Spring","Summer","Autumn"})</f>
        <v>Spring</v>
      </c>
      <c r="K760" s="15" t="str">
        <f>_xlfn.XLOOKUP(OrderDetails[[#This Row],[ProductID]],Product!A:A,Product!B:B,"Not Found")</f>
        <v>Nord-Ost Matjeshering</v>
      </c>
    </row>
    <row r="761" spans="1:11">
      <c r="A761" s="2">
        <v>10534</v>
      </c>
      <c r="B761" s="2">
        <v>40</v>
      </c>
      <c r="C761" s="2">
        <v>18.399999999999999</v>
      </c>
      <c r="D761" s="2">
        <v>10</v>
      </c>
      <c r="E761" s="4">
        <v>0.20000000298023224</v>
      </c>
      <c r="F761" s="1" t="str">
        <f>_xlfn.XLOOKUP(A761,Orders!A:A,Orders!B:B,"not found")</f>
        <v>LEHMS</v>
      </c>
      <c r="G761" s="13">
        <f>_xlfn.XLOOKUP(OrderDetails[[#This Row],[OrderID]],Orders!A:A,Orders!C:C,"Not Found")</f>
        <v>35562</v>
      </c>
      <c r="H761" s="16">
        <f>(OrderDetails[[#This Row],[UnitPrice]]*OrderDetails[[#This Row],[Quantity]])*(1-OrderDetails[[#This Row],[Discount]])</f>
        <v>147.19999945163727</v>
      </c>
      <c r="I761" s="15" t="str">
        <f>_xlfn.XLOOKUP(OrderDetails[[#This Row],[ProductID]],Product!A:A,Product!G:G,"Not Found")</f>
        <v>Seafood</v>
      </c>
      <c r="J761" s="15" t="str">
        <f>LOOKUP(MONTH(G761),{1,4,7,10},{"Winter","Spring","Summer","Autumn"})</f>
        <v>Spring</v>
      </c>
      <c r="K761" s="15" t="str">
        <f>_xlfn.XLOOKUP(OrderDetails[[#This Row],[ProductID]],Product!A:A,Product!B:B,"Not Found")</f>
        <v>Boston Crab Meat</v>
      </c>
    </row>
    <row r="762" spans="1:11">
      <c r="A762" s="1">
        <v>10534</v>
      </c>
      <c r="B762" s="1">
        <v>54</v>
      </c>
      <c r="C762" s="1">
        <v>7.45</v>
      </c>
      <c r="D762" s="1">
        <v>10</v>
      </c>
      <c r="E762" s="3">
        <v>0.20000000298023224</v>
      </c>
      <c r="F762" s="1" t="str">
        <f>_xlfn.XLOOKUP(A762,Orders!A:A,Orders!B:B,"not found")</f>
        <v>LEHMS</v>
      </c>
      <c r="G762" s="13">
        <f>_xlfn.XLOOKUP(OrderDetails[[#This Row],[OrderID]],Orders!A:A,Orders!C:C,"Not Found")</f>
        <v>35562</v>
      </c>
      <c r="H762" s="16">
        <f>(OrderDetails[[#This Row],[UnitPrice]]*OrderDetails[[#This Row],[Quantity]])*(1-OrderDetails[[#This Row],[Discount]])</f>
        <v>59.599999777972698</v>
      </c>
      <c r="I762" s="15" t="str">
        <f>_xlfn.XLOOKUP(OrderDetails[[#This Row],[ProductID]],Product!A:A,Product!G:G,"Not Found")</f>
        <v>Meat/Poultry</v>
      </c>
      <c r="J762" s="15" t="str">
        <f>LOOKUP(MONTH(G762),{1,4,7,10},{"Winter","Spring","Summer","Autumn"})</f>
        <v>Spring</v>
      </c>
      <c r="K762" s="15" t="str">
        <f>_xlfn.XLOOKUP(OrderDetails[[#This Row],[ProductID]],Product!A:A,Product!B:B,"Not Found")</f>
        <v>Tourtière</v>
      </c>
    </row>
    <row r="763" spans="1:11">
      <c r="A763" s="2">
        <v>10535</v>
      </c>
      <c r="B763" s="2">
        <v>11</v>
      </c>
      <c r="C763" s="2">
        <v>21</v>
      </c>
      <c r="D763" s="2">
        <v>50</v>
      </c>
      <c r="E763" s="4">
        <v>0.10000000149011612</v>
      </c>
      <c r="F763" s="1" t="str">
        <f>_xlfn.XLOOKUP(A763,Orders!A:A,Orders!B:B,"not found")</f>
        <v>ANTON</v>
      </c>
      <c r="G763" s="13">
        <f>_xlfn.XLOOKUP(OrderDetails[[#This Row],[OrderID]],Orders!A:A,Orders!C:C,"Not Found")</f>
        <v>35563</v>
      </c>
      <c r="H763" s="16">
        <f>(OrderDetails[[#This Row],[UnitPrice]]*OrderDetails[[#This Row],[Quantity]])*(1-OrderDetails[[#This Row],[Discount]])</f>
        <v>944.99999843537807</v>
      </c>
      <c r="I763" s="15" t="str">
        <f>_xlfn.XLOOKUP(OrderDetails[[#This Row],[ProductID]],Product!A:A,Product!G:G,"Not Found")</f>
        <v>Dairy Products</v>
      </c>
      <c r="J763" s="15" t="str">
        <f>LOOKUP(MONTH(G763),{1,4,7,10},{"Winter","Spring","Summer","Autumn"})</f>
        <v>Spring</v>
      </c>
      <c r="K763" s="15" t="str">
        <f>_xlfn.XLOOKUP(OrderDetails[[#This Row],[ProductID]],Product!A:A,Product!B:B,"Not Found")</f>
        <v>Queso Cabrales</v>
      </c>
    </row>
    <row r="764" spans="1:11">
      <c r="A764" s="1">
        <v>10535</v>
      </c>
      <c r="B764" s="1">
        <v>40</v>
      </c>
      <c r="C764" s="1">
        <v>18.399999999999999</v>
      </c>
      <c r="D764" s="1">
        <v>10</v>
      </c>
      <c r="E764" s="3">
        <v>0.10000000149011612</v>
      </c>
      <c r="F764" s="1" t="str">
        <f>_xlfn.XLOOKUP(A764,Orders!A:A,Orders!B:B,"not found")</f>
        <v>ANTON</v>
      </c>
      <c r="G764" s="13">
        <f>_xlfn.XLOOKUP(OrderDetails[[#This Row],[OrderID]],Orders!A:A,Orders!C:C,"Not Found")</f>
        <v>35563</v>
      </c>
      <c r="H764" s="16">
        <f>(OrderDetails[[#This Row],[UnitPrice]]*OrderDetails[[#This Row],[Quantity]])*(1-OrderDetails[[#This Row],[Discount]])</f>
        <v>165.59999972581863</v>
      </c>
      <c r="I764" s="15" t="str">
        <f>_xlfn.XLOOKUP(OrderDetails[[#This Row],[ProductID]],Product!A:A,Product!G:G,"Not Found")</f>
        <v>Seafood</v>
      </c>
      <c r="J764" s="15" t="str">
        <f>LOOKUP(MONTH(G764),{1,4,7,10},{"Winter","Spring","Summer","Autumn"})</f>
        <v>Spring</v>
      </c>
      <c r="K764" s="15" t="str">
        <f>_xlfn.XLOOKUP(OrderDetails[[#This Row],[ProductID]],Product!A:A,Product!B:B,"Not Found")</f>
        <v>Boston Crab Meat</v>
      </c>
    </row>
    <row r="765" spans="1:11">
      <c r="A765" s="2">
        <v>10535</v>
      </c>
      <c r="B765" s="2">
        <v>57</v>
      </c>
      <c r="C765" s="2">
        <v>19.5</v>
      </c>
      <c r="D765" s="2">
        <v>5</v>
      </c>
      <c r="E765" s="4">
        <v>0.10000000149011612</v>
      </c>
      <c r="F765" s="1" t="str">
        <f>_xlfn.XLOOKUP(A765,Orders!A:A,Orders!B:B,"not found")</f>
        <v>ANTON</v>
      </c>
      <c r="G765" s="13">
        <f>_xlfn.XLOOKUP(OrderDetails[[#This Row],[OrderID]],Orders!A:A,Orders!C:C,"Not Found")</f>
        <v>35563</v>
      </c>
      <c r="H765" s="16">
        <f>(OrderDetails[[#This Row],[UnitPrice]]*OrderDetails[[#This Row],[Quantity]])*(1-OrderDetails[[#This Row],[Discount]])</f>
        <v>87.749999854713678</v>
      </c>
      <c r="I765" s="15" t="str">
        <f>_xlfn.XLOOKUP(OrderDetails[[#This Row],[ProductID]],Product!A:A,Product!G:G,"Not Found")</f>
        <v>Grains/Cereals</v>
      </c>
      <c r="J765" s="15" t="str">
        <f>LOOKUP(MONTH(G765),{1,4,7,10},{"Winter","Spring","Summer","Autumn"})</f>
        <v>Spring</v>
      </c>
      <c r="K765" s="15" t="str">
        <f>_xlfn.XLOOKUP(OrderDetails[[#This Row],[ProductID]],Product!A:A,Product!B:B,"Not Found")</f>
        <v>Ravioli Angelo</v>
      </c>
    </row>
    <row r="766" spans="1:11">
      <c r="A766" s="1">
        <v>10535</v>
      </c>
      <c r="B766" s="1">
        <v>59</v>
      </c>
      <c r="C766" s="1">
        <v>55</v>
      </c>
      <c r="D766" s="1">
        <v>15</v>
      </c>
      <c r="E766" s="3">
        <v>0.10000000149011612</v>
      </c>
      <c r="F766" s="1" t="str">
        <f>_xlfn.XLOOKUP(A766,Orders!A:A,Orders!B:B,"not found")</f>
        <v>ANTON</v>
      </c>
      <c r="G766" s="13">
        <f>_xlfn.XLOOKUP(OrderDetails[[#This Row],[OrderID]],Orders!A:A,Orders!C:C,"Not Found")</f>
        <v>35563</v>
      </c>
      <c r="H766" s="16">
        <f>(OrderDetails[[#This Row],[UnitPrice]]*OrderDetails[[#This Row],[Quantity]])*(1-OrderDetails[[#This Row],[Discount]])</f>
        <v>742.4999987706542</v>
      </c>
      <c r="I766" s="15" t="str">
        <f>_xlfn.XLOOKUP(OrderDetails[[#This Row],[ProductID]],Product!A:A,Product!G:G,"Not Found")</f>
        <v>Dairy Products</v>
      </c>
      <c r="J766" s="15" t="str">
        <f>LOOKUP(MONTH(G766),{1,4,7,10},{"Winter","Spring","Summer","Autumn"})</f>
        <v>Spring</v>
      </c>
      <c r="K766" s="15" t="str">
        <f>_xlfn.XLOOKUP(OrderDetails[[#This Row],[ProductID]],Product!A:A,Product!B:B,"Not Found")</f>
        <v>Raclette Courdavault</v>
      </c>
    </row>
    <row r="767" spans="1:11">
      <c r="A767" s="2">
        <v>10536</v>
      </c>
      <c r="B767" s="2">
        <v>12</v>
      </c>
      <c r="C767" s="2">
        <v>38</v>
      </c>
      <c r="D767" s="2">
        <v>15</v>
      </c>
      <c r="E767" s="4">
        <v>0.25</v>
      </c>
      <c r="F767" s="1" t="str">
        <f>_xlfn.XLOOKUP(A767,Orders!A:A,Orders!B:B,"not found")</f>
        <v>LEHMS</v>
      </c>
      <c r="G767" s="13">
        <f>_xlfn.XLOOKUP(OrderDetails[[#This Row],[OrderID]],Orders!A:A,Orders!C:C,"Not Found")</f>
        <v>35564</v>
      </c>
      <c r="H767" s="16">
        <f>(OrderDetails[[#This Row],[UnitPrice]]*OrderDetails[[#This Row],[Quantity]])*(1-OrderDetails[[#This Row],[Discount]])</f>
        <v>427.5</v>
      </c>
      <c r="I767" s="15" t="str">
        <f>_xlfn.XLOOKUP(OrderDetails[[#This Row],[ProductID]],Product!A:A,Product!G:G,"Not Found")</f>
        <v>Dairy Products</v>
      </c>
      <c r="J767" s="15" t="str">
        <f>LOOKUP(MONTH(G767),{1,4,7,10},{"Winter","Spring","Summer","Autumn"})</f>
        <v>Spring</v>
      </c>
      <c r="K767" s="15" t="str">
        <f>_xlfn.XLOOKUP(OrderDetails[[#This Row],[ProductID]],Product!A:A,Product!B:B,"Not Found")</f>
        <v>Queso Manchego La Pastora</v>
      </c>
    </row>
    <row r="768" spans="1:11">
      <c r="A768" s="1">
        <v>10536</v>
      </c>
      <c r="B768" s="1">
        <v>31</v>
      </c>
      <c r="C768" s="1">
        <v>12.5</v>
      </c>
      <c r="D768" s="1">
        <v>20</v>
      </c>
      <c r="E768" s="3">
        <v>0</v>
      </c>
      <c r="F768" s="1" t="str">
        <f>_xlfn.XLOOKUP(A768,Orders!A:A,Orders!B:B,"not found")</f>
        <v>LEHMS</v>
      </c>
      <c r="G768" s="13">
        <f>_xlfn.XLOOKUP(OrderDetails[[#This Row],[OrderID]],Orders!A:A,Orders!C:C,"Not Found")</f>
        <v>35564</v>
      </c>
      <c r="H768" s="16">
        <f>(OrderDetails[[#This Row],[UnitPrice]]*OrderDetails[[#This Row],[Quantity]])*(1-OrderDetails[[#This Row],[Discount]])</f>
        <v>250</v>
      </c>
      <c r="I768" s="15" t="str">
        <f>_xlfn.XLOOKUP(OrderDetails[[#This Row],[ProductID]],Product!A:A,Product!G:G,"Not Found")</f>
        <v>Dairy Products</v>
      </c>
      <c r="J768" s="15" t="str">
        <f>LOOKUP(MONTH(G768),{1,4,7,10},{"Winter","Spring","Summer","Autumn"})</f>
        <v>Spring</v>
      </c>
      <c r="K768" s="15" t="str">
        <f>_xlfn.XLOOKUP(OrderDetails[[#This Row],[ProductID]],Product!A:A,Product!B:B,"Not Found")</f>
        <v>Gorgonzola Telino</v>
      </c>
    </row>
    <row r="769" spans="1:11">
      <c r="A769" s="2">
        <v>10536</v>
      </c>
      <c r="B769" s="2">
        <v>33</v>
      </c>
      <c r="C769" s="2">
        <v>2.5</v>
      </c>
      <c r="D769" s="2">
        <v>30</v>
      </c>
      <c r="E769" s="4">
        <v>0</v>
      </c>
      <c r="F769" s="1" t="str">
        <f>_xlfn.XLOOKUP(A769,Orders!A:A,Orders!B:B,"not found")</f>
        <v>LEHMS</v>
      </c>
      <c r="G769" s="13">
        <f>_xlfn.XLOOKUP(OrderDetails[[#This Row],[OrderID]],Orders!A:A,Orders!C:C,"Not Found")</f>
        <v>35564</v>
      </c>
      <c r="H769" s="16">
        <f>(OrderDetails[[#This Row],[UnitPrice]]*OrderDetails[[#This Row],[Quantity]])*(1-OrderDetails[[#This Row],[Discount]])</f>
        <v>75</v>
      </c>
      <c r="I769" s="15" t="str">
        <f>_xlfn.XLOOKUP(OrderDetails[[#This Row],[ProductID]],Product!A:A,Product!G:G,"Not Found")</f>
        <v>Dairy Products</v>
      </c>
      <c r="J769" s="15" t="str">
        <f>LOOKUP(MONTH(G769),{1,4,7,10},{"Winter","Spring","Summer","Autumn"})</f>
        <v>Spring</v>
      </c>
      <c r="K769" s="15" t="str">
        <f>_xlfn.XLOOKUP(OrderDetails[[#This Row],[ProductID]],Product!A:A,Product!B:B,"Not Found")</f>
        <v>Geitost</v>
      </c>
    </row>
    <row r="770" spans="1:11">
      <c r="A770" s="1">
        <v>10536</v>
      </c>
      <c r="B770" s="1">
        <v>60</v>
      </c>
      <c r="C770" s="1">
        <v>34</v>
      </c>
      <c r="D770" s="1">
        <v>35</v>
      </c>
      <c r="E770" s="3">
        <v>0.25</v>
      </c>
      <c r="F770" s="1" t="str">
        <f>_xlfn.XLOOKUP(A770,Orders!A:A,Orders!B:B,"not found")</f>
        <v>LEHMS</v>
      </c>
      <c r="G770" s="13">
        <f>_xlfn.XLOOKUP(OrderDetails[[#This Row],[OrderID]],Orders!A:A,Orders!C:C,"Not Found")</f>
        <v>35564</v>
      </c>
      <c r="H770" s="16">
        <f>(OrderDetails[[#This Row],[UnitPrice]]*OrderDetails[[#This Row],[Quantity]])*(1-OrderDetails[[#This Row],[Discount]])</f>
        <v>892.5</v>
      </c>
      <c r="I770" s="15" t="str">
        <f>_xlfn.XLOOKUP(OrderDetails[[#This Row],[ProductID]],Product!A:A,Product!G:G,"Not Found")</f>
        <v>Dairy Products</v>
      </c>
      <c r="J770" s="15" t="str">
        <f>LOOKUP(MONTH(G770),{1,4,7,10},{"Winter","Spring","Summer","Autumn"})</f>
        <v>Spring</v>
      </c>
      <c r="K770" s="15" t="str">
        <f>_xlfn.XLOOKUP(OrderDetails[[#This Row],[ProductID]],Product!A:A,Product!B:B,"Not Found")</f>
        <v>Camembert Pierrot</v>
      </c>
    </row>
    <row r="771" spans="1:11">
      <c r="A771" s="2">
        <v>10537</v>
      </c>
      <c r="B771" s="2">
        <v>31</v>
      </c>
      <c r="C771" s="2">
        <v>12.5</v>
      </c>
      <c r="D771" s="2">
        <v>30</v>
      </c>
      <c r="E771" s="4">
        <v>0</v>
      </c>
      <c r="F771" s="1" t="str">
        <f>_xlfn.XLOOKUP(A771,Orders!A:A,Orders!B:B,"not found")</f>
        <v>RICSU</v>
      </c>
      <c r="G771" s="13">
        <f>_xlfn.XLOOKUP(OrderDetails[[#This Row],[OrderID]],Orders!A:A,Orders!C:C,"Not Found")</f>
        <v>35564</v>
      </c>
      <c r="H771" s="16">
        <f>(OrderDetails[[#This Row],[UnitPrice]]*OrderDetails[[#This Row],[Quantity]])*(1-OrderDetails[[#This Row],[Discount]])</f>
        <v>375</v>
      </c>
      <c r="I771" s="15" t="str">
        <f>_xlfn.XLOOKUP(OrderDetails[[#This Row],[ProductID]],Product!A:A,Product!G:G,"Not Found")</f>
        <v>Dairy Products</v>
      </c>
      <c r="J771" s="15" t="str">
        <f>LOOKUP(MONTH(G771),{1,4,7,10},{"Winter","Spring","Summer","Autumn"})</f>
        <v>Spring</v>
      </c>
      <c r="K771" s="15" t="str">
        <f>_xlfn.XLOOKUP(OrderDetails[[#This Row],[ProductID]],Product!A:A,Product!B:B,"Not Found")</f>
        <v>Gorgonzola Telino</v>
      </c>
    </row>
    <row r="772" spans="1:11">
      <c r="A772" s="1">
        <v>10537</v>
      </c>
      <c r="B772" s="1">
        <v>51</v>
      </c>
      <c r="C772" s="1">
        <v>53</v>
      </c>
      <c r="D772" s="1">
        <v>6</v>
      </c>
      <c r="E772" s="3">
        <v>0</v>
      </c>
      <c r="F772" s="1" t="str">
        <f>_xlfn.XLOOKUP(A772,Orders!A:A,Orders!B:B,"not found")</f>
        <v>RICSU</v>
      </c>
      <c r="G772" s="13">
        <f>_xlfn.XLOOKUP(OrderDetails[[#This Row],[OrderID]],Orders!A:A,Orders!C:C,"Not Found")</f>
        <v>35564</v>
      </c>
      <c r="H772" s="16">
        <f>(OrderDetails[[#This Row],[UnitPrice]]*OrderDetails[[#This Row],[Quantity]])*(1-OrderDetails[[#This Row],[Discount]])</f>
        <v>318</v>
      </c>
      <c r="I772" s="15" t="str">
        <f>_xlfn.XLOOKUP(OrderDetails[[#This Row],[ProductID]],Product!A:A,Product!G:G,"Not Found")</f>
        <v>Produce</v>
      </c>
      <c r="J772" s="15" t="str">
        <f>LOOKUP(MONTH(G772),{1,4,7,10},{"Winter","Spring","Summer","Autumn"})</f>
        <v>Spring</v>
      </c>
      <c r="K772" s="15" t="str">
        <f>_xlfn.XLOOKUP(OrderDetails[[#This Row],[ProductID]],Product!A:A,Product!B:B,"Not Found")</f>
        <v>Manjimup Dried Apples</v>
      </c>
    </row>
    <row r="773" spans="1:11">
      <c r="A773" s="2">
        <v>10537</v>
      </c>
      <c r="B773" s="2">
        <v>58</v>
      </c>
      <c r="C773" s="2">
        <v>13.25</v>
      </c>
      <c r="D773" s="2">
        <v>20</v>
      </c>
      <c r="E773" s="4">
        <v>0</v>
      </c>
      <c r="F773" s="1" t="str">
        <f>_xlfn.XLOOKUP(A773,Orders!A:A,Orders!B:B,"not found")</f>
        <v>RICSU</v>
      </c>
      <c r="G773" s="13">
        <f>_xlfn.XLOOKUP(OrderDetails[[#This Row],[OrderID]],Orders!A:A,Orders!C:C,"Not Found")</f>
        <v>35564</v>
      </c>
      <c r="H773" s="16">
        <f>(OrderDetails[[#This Row],[UnitPrice]]*OrderDetails[[#This Row],[Quantity]])*(1-OrderDetails[[#This Row],[Discount]])</f>
        <v>265</v>
      </c>
      <c r="I773" s="15" t="str">
        <f>_xlfn.XLOOKUP(OrderDetails[[#This Row],[ProductID]],Product!A:A,Product!G:G,"Not Found")</f>
        <v>Seafood</v>
      </c>
      <c r="J773" s="15" t="str">
        <f>LOOKUP(MONTH(G773),{1,4,7,10},{"Winter","Spring","Summer","Autumn"})</f>
        <v>Spring</v>
      </c>
      <c r="K773" s="15" t="str">
        <f>_xlfn.XLOOKUP(OrderDetails[[#This Row],[ProductID]],Product!A:A,Product!B:B,"Not Found")</f>
        <v>Escargots de Bourgogne</v>
      </c>
    </row>
    <row r="774" spans="1:11">
      <c r="A774" s="1">
        <v>10537</v>
      </c>
      <c r="B774" s="1">
        <v>72</v>
      </c>
      <c r="C774" s="1">
        <v>34.799999999999997</v>
      </c>
      <c r="D774" s="1">
        <v>21</v>
      </c>
      <c r="E774" s="3">
        <v>0</v>
      </c>
      <c r="F774" s="1" t="str">
        <f>_xlfn.XLOOKUP(A774,Orders!A:A,Orders!B:B,"not found")</f>
        <v>RICSU</v>
      </c>
      <c r="G774" s="13">
        <f>_xlfn.XLOOKUP(OrderDetails[[#This Row],[OrderID]],Orders!A:A,Orders!C:C,"Not Found")</f>
        <v>35564</v>
      </c>
      <c r="H774" s="16">
        <f>(OrderDetails[[#This Row],[UnitPrice]]*OrderDetails[[#This Row],[Quantity]])*(1-OrderDetails[[#This Row],[Discount]])</f>
        <v>730.8</v>
      </c>
      <c r="I774" s="15" t="str">
        <f>_xlfn.XLOOKUP(OrderDetails[[#This Row],[ProductID]],Product!A:A,Product!G:G,"Not Found")</f>
        <v>Dairy Products</v>
      </c>
      <c r="J774" s="15" t="str">
        <f>LOOKUP(MONTH(G774),{1,4,7,10},{"Winter","Spring","Summer","Autumn"})</f>
        <v>Spring</v>
      </c>
      <c r="K774" s="15" t="str">
        <f>_xlfn.XLOOKUP(OrderDetails[[#This Row],[ProductID]],Product!A:A,Product!B:B,"Not Found")</f>
        <v>Mozzarella di Giovanni</v>
      </c>
    </row>
    <row r="775" spans="1:11">
      <c r="A775" s="2">
        <v>10537</v>
      </c>
      <c r="B775" s="2">
        <v>73</v>
      </c>
      <c r="C775" s="2">
        <v>15</v>
      </c>
      <c r="D775" s="2">
        <v>9</v>
      </c>
      <c r="E775" s="4">
        <v>0</v>
      </c>
      <c r="F775" s="1" t="str">
        <f>_xlfn.XLOOKUP(A775,Orders!A:A,Orders!B:B,"not found")</f>
        <v>RICSU</v>
      </c>
      <c r="G775" s="13">
        <f>_xlfn.XLOOKUP(OrderDetails[[#This Row],[OrderID]],Orders!A:A,Orders!C:C,"Not Found")</f>
        <v>35564</v>
      </c>
      <c r="H775" s="16">
        <f>(OrderDetails[[#This Row],[UnitPrice]]*OrderDetails[[#This Row],[Quantity]])*(1-OrderDetails[[#This Row],[Discount]])</f>
        <v>135</v>
      </c>
      <c r="I775" s="15" t="str">
        <f>_xlfn.XLOOKUP(OrderDetails[[#This Row],[ProductID]],Product!A:A,Product!G:G,"Not Found")</f>
        <v>Seafood</v>
      </c>
      <c r="J775" s="15" t="str">
        <f>LOOKUP(MONTH(G775),{1,4,7,10},{"Winter","Spring","Summer","Autumn"})</f>
        <v>Spring</v>
      </c>
      <c r="K775" s="15" t="str">
        <f>_xlfn.XLOOKUP(OrderDetails[[#This Row],[ProductID]],Product!A:A,Product!B:B,"Not Found")</f>
        <v>Röd Kaviar</v>
      </c>
    </row>
    <row r="776" spans="1:11">
      <c r="A776" s="1">
        <v>10538</v>
      </c>
      <c r="B776" s="1">
        <v>70</v>
      </c>
      <c r="C776" s="1">
        <v>15</v>
      </c>
      <c r="D776" s="1">
        <v>7</v>
      </c>
      <c r="E776" s="3">
        <v>0</v>
      </c>
      <c r="F776" s="1" t="str">
        <f>_xlfn.XLOOKUP(A776,Orders!A:A,Orders!B:B,"not found")</f>
        <v>BSBEV</v>
      </c>
      <c r="G776" s="13">
        <f>_xlfn.XLOOKUP(OrderDetails[[#This Row],[OrderID]],Orders!A:A,Orders!C:C,"Not Found")</f>
        <v>35565</v>
      </c>
      <c r="H776" s="16">
        <f>(OrderDetails[[#This Row],[UnitPrice]]*OrderDetails[[#This Row],[Quantity]])*(1-OrderDetails[[#This Row],[Discount]])</f>
        <v>105</v>
      </c>
      <c r="I776" s="15" t="str">
        <f>_xlfn.XLOOKUP(OrderDetails[[#This Row],[ProductID]],Product!A:A,Product!G:G,"Not Found")</f>
        <v>Beverages</v>
      </c>
      <c r="J776" s="15" t="str">
        <f>LOOKUP(MONTH(G776),{1,4,7,10},{"Winter","Spring","Summer","Autumn"})</f>
        <v>Spring</v>
      </c>
      <c r="K776" s="15" t="str">
        <f>_xlfn.XLOOKUP(OrderDetails[[#This Row],[ProductID]],Product!A:A,Product!B:B,"Not Found")</f>
        <v>Outback Lager</v>
      </c>
    </row>
    <row r="777" spans="1:11">
      <c r="A777" s="2">
        <v>10538</v>
      </c>
      <c r="B777" s="2">
        <v>72</v>
      </c>
      <c r="C777" s="2">
        <v>34.799999999999997</v>
      </c>
      <c r="D777" s="2">
        <v>1</v>
      </c>
      <c r="E777" s="4">
        <v>0</v>
      </c>
      <c r="F777" s="1" t="str">
        <f>_xlfn.XLOOKUP(A777,Orders!A:A,Orders!B:B,"not found")</f>
        <v>BSBEV</v>
      </c>
      <c r="G777" s="13">
        <f>_xlfn.XLOOKUP(OrderDetails[[#This Row],[OrderID]],Orders!A:A,Orders!C:C,"Not Found")</f>
        <v>35565</v>
      </c>
      <c r="H777" s="16">
        <f>(OrderDetails[[#This Row],[UnitPrice]]*OrderDetails[[#This Row],[Quantity]])*(1-OrderDetails[[#This Row],[Discount]])</f>
        <v>34.799999999999997</v>
      </c>
      <c r="I777" s="15" t="str">
        <f>_xlfn.XLOOKUP(OrderDetails[[#This Row],[ProductID]],Product!A:A,Product!G:G,"Not Found")</f>
        <v>Dairy Products</v>
      </c>
      <c r="J777" s="15" t="str">
        <f>LOOKUP(MONTH(G777),{1,4,7,10},{"Winter","Spring","Summer","Autumn"})</f>
        <v>Spring</v>
      </c>
      <c r="K777" s="15" t="str">
        <f>_xlfn.XLOOKUP(OrderDetails[[#This Row],[ProductID]],Product!A:A,Product!B:B,"Not Found")</f>
        <v>Mozzarella di Giovanni</v>
      </c>
    </row>
    <row r="778" spans="1:11">
      <c r="A778" s="1">
        <v>10539</v>
      </c>
      <c r="B778" s="1">
        <v>13</v>
      </c>
      <c r="C778" s="1">
        <v>6</v>
      </c>
      <c r="D778" s="1">
        <v>8</v>
      </c>
      <c r="E778" s="3">
        <v>0</v>
      </c>
      <c r="F778" s="1" t="str">
        <f>_xlfn.XLOOKUP(A778,Orders!A:A,Orders!B:B,"not found")</f>
        <v>BSBEV</v>
      </c>
      <c r="G778" s="13">
        <f>_xlfn.XLOOKUP(OrderDetails[[#This Row],[OrderID]],Orders!A:A,Orders!C:C,"Not Found")</f>
        <v>35566</v>
      </c>
      <c r="H778" s="16">
        <f>(OrderDetails[[#This Row],[UnitPrice]]*OrderDetails[[#This Row],[Quantity]])*(1-OrderDetails[[#This Row],[Discount]])</f>
        <v>48</v>
      </c>
      <c r="I778" s="15" t="str">
        <f>_xlfn.XLOOKUP(OrderDetails[[#This Row],[ProductID]],Product!A:A,Product!G:G,"Not Found")</f>
        <v>Seafood</v>
      </c>
      <c r="J778" s="15" t="str">
        <f>LOOKUP(MONTH(G778),{1,4,7,10},{"Winter","Spring","Summer","Autumn"})</f>
        <v>Spring</v>
      </c>
      <c r="K778" s="15" t="str">
        <f>_xlfn.XLOOKUP(OrderDetails[[#This Row],[ProductID]],Product!A:A,Product!B:B,"Not Found")</f>
        <v>Konbu</v>
      </c>
    </row>
    <row r="779" spans="1:11">
      <c r="A779" s="2">
        <v>10539</v>
      </c>
      <c r="B779" s="2">
        <v>21</v>
      </c>
      <c r="C779" s="2">
        <v>10</v>
      </c>
      <c r="D779" s="2">
        <v>15</v>
      </c>
      <c r="E779" s="4">
        <v>0</v>
      </c>
      <c r="F779" s="1" t="str">
        <f>_xlfn.XLOOKUP(A779,Orders!A:A,Orders!B:B,"not found")</f>
        <v>BSBEV</v>
      </c>
      <c r="G779" s="13">
        <f>_xlfn.XLOOKUP(OrderDetails[[#This Row],[OrderID]],Orders!A:A,Orders!C:C,"Not Found")</f>
        <v>35566</v>
      </c>
      <c r="H779" s="16">
        <f>(OrderDetails[[#This Row],[UnitPrice]]*OrderDetails[[#This Row],[Quantity]])*(1-OrderDetails[[#This Row],[Discount]])</f>
        <v>150</v>
      </c>
      <c r="I779" s="15" t="str">
        <f>_xlfn.XLOOKUP(OrderDetails[[#This Row],[ProductID]],Product!A:A,Product!G:G,"Not Found")</f>
        <v>Confections</v>
      </c>
      <c r="J779" s="15" t="str">
        <f>LOOKUP(MONTH(G779),{1,4,7,10},{"Winter","Spring","Summer","Autumn"})</f>
        <v>Spring</v>
      </c>
      <c r="K779" s="15" t="str">
        <f>_xlfn.XLOOKUP(OrderDetails[[#This Row],[ProductID]],Product!A:A,Product!B:B,"Not Found")</f>
        <v>Sir Rodney's Scones</v>
      </c>
    </row>
    <row r="780" spans="1:11">
      <c r="A780" s="1">
        <v>10539</v>
      </c>
      <c r="B780" s="1">
        <v>33</v>
      </c>
      <c r="C780" s="1">
        <v>2.5</v>
      </c>
      <c r="D780" s="1">
        <v>15</v>
      </c>
      <c r="E780" s="3">
        <v>0</v>
      </c>
      <c r="F780" s="1" t="str">
        <f>_xlfn.XLOOKUP(A780,Orders!A:A,Orders!B:B,"not found")</f>
        <v>BSBEV</v>
      </c>
      <c r="G780" s="13">
        <f>_xlfn.XLOOKUP(OrderDetails[[#This Row],[OrderID]],Orders!A:A,Orders!C:C,"Not Found")</f>
        <v>35566</v>
      </c>
      <c r="H780" s="16">
        <f>(OrderDetails[[#This Row],[UnitPrice]]*OrderDetails[[#This Row],[Quantity]])*(1-OrderDetails[[#This Row],[Discount]])</f>
        <v>37.5</v>
      </c>
      <c r="I780" s="15" t="str">
        <f>_xlfn.XLOOKUP(OrderDetails[[#This Row],[ProductID]],Product!A:A,Product!G:G,"Not Found")</f>
        <v>Dairy Products</v>
      </c>
      <c r="J780" s="15" t="str">
        <f>LOOKUP(MONTH(G780),{1,4,7,10},{"Winter","Spring","Summer","Autumn"})</f>
        <v>Spring</v>
      </c>
      <c r="K780" s="15" t="str">
        <f>_xlfn.XLOOKUP(OrderDetails[[#This Row],[ProductID]],Product!A:A,Product!B:B,"Not Found")</f>
        <v>Geitost</v>
      </c>
    </row>
    <row r="781" spans="1:11">
      <c r="A781" s="2">
        <v>10539</v>
      </c>
      <c r="B781" s="2">
        <v>49</v>
      </c>
      <c r="C781" s="2">
        <v>20</v>
      </c>
      <c r="D781" s="2">
        <v>6</v>
      </c>
      <c r="E781" s="4">
        <v>0</v>
      </c>
      <c r="F781" s="1" t="str">
        <f>_xlfn.XLOOKUP(A781,Orders!A:A,Orders!B:B,"not found")</f>
        <v>BSBEV</v>
      </c>
      <c r="G781" s="13">
        <f>_xlfn.XLOOKUP(OrderDetails[[#This Row],[OrderID]],Orders!A:A,Orders!C:C,"Not Found")</f>
        <v>35566</v>
      </c>
      <c r="H781" s="16">
        <f>(OrderDetails[[#This Row],[UnitPrice]]*OrderDetails[[#This Row],[Quantity]])*(1-OrderDetails[[#This Row],[Discount]])</f>
        <v>120</v>
      </c>
      <c r="I781" s="15" t="str">
        <f>_xlfn.XLOOKUP(OrderDetails[[#This Row],[ProductID]],Product!A:A,Product!G:G,"Not Found")</f>
        <v>Confections</v>
      </c>
      <c r="J781" s="15" t="str">
        <f>LOOKUP(MONTH(G781),{1,4,7,10},{"Winter","Spring","Summer","Autumn"})</f>
        <v>Spring</v>
      </c>
      <c r="K781" s="15" t="str">
        <f>_xlfn.XLOOKUP(OrderDetails[[#This Row],[ProductID]],Product!A:A,Product!B:B,"Not Found")</f>
        <v>Maxilaku</v>
      </c>
    </row>
    <row r="782" spans="1:11">
      <c r="A782" s="1">
        <v>10540</v>
      </c>
      <c r="B782" s="1">
        <v>3</v>
      </c>
      <c r="C782" s="1">
        <v>10</v>
      </c>
      <c r="D782" s="1">
        <v>60</v>
      </c>
      <c r="E782" s="3">
        <v>0</v>
      </c>
      <c r="F782" s="1" t="str">
        <f>_xlfn.XLOOKUP(A782,Orders!A:A,Orders!B:B,"not found")</f>
        <v>QUICK</v>
      </c>
      <c r="G782" s="13">
        <f>_xlfn.XLOOKUP(OrderDetails[[#This Row],[OrderID]],Orders!A:A,Orders!C:C,"Not Found")</f>
        <v>35569</v>
      </c>
      <c r="H782" s="16">
        <f>(OrderDetails[[#This Row],[UnitPrice]]*OrderDetails[[#This Row],[Quantity]])*(1-OrderDetails[[#This Row],[Discount]])</f>
        <v>600</v>
      </c>
      <c r="I782" s="15" t="str">
        <f>_xlfn.XLOOKUP(OrderDetails[[#This Row],[ProductID]],Product!A:A,Product!G:G,"Not Found")</f>
        <v>Condiments</v>
      </c>
      <c r="J782" s="15" t="str">
        <f>LOOKUP(MONTH(G782),{1,4,7,10},{"Winter","Spring","Summer","Autumn"})</f>
        <v>Spring</v>
      </c>
      <c r="K782" s="15" t="str">
        <f>_xlfn.XLOOKUP(OrderDetails[[#This Row],[ProductID]],Product!A:A,Product!B:B,"Not Found")</f>
        <v>Aniseed Syrup</v>
      </c>
    </row>
    <row r="783" spans="1:11">
      <c r="A783" s="2">
        <v>10540</v>
      </c>
      <c r="B783" s="2">
        <v>26</v>
      </c>
      <c r="C783" s="2">
        <v>31.23</v>
      </c>
      <c r="D783" s="2">
        <v>40</v>
      </c>
      <c r="E783" s="4">
        <v>0</v>
      </c>
      <c r="F783" s="1" t="str">
        <f>_xlfn.XLOOKUP(A783,Orders!A:A,Orders!B:B,"not found")</f>
        <v>QUICK</v>
      </c>
      <c r="G783" s="13">
        <f>_xlfn.XLOOKUP(OrderDetails[[#This Row],[OrderID]],Orders!A:A,Orders!C:C,"Not Found")</f>
        <v>35569</v>
      </c>
      <c r="H783" s="16">
        <f>(OrderDetails[[#This Row],[UnitPrice]]*OrderDetails[[#This Row],[Quantity]])*(1-OrderDetails[[#This Row],[Discount]])</f>
        <v>1249.2</v>
      </c>
      <c r="I783" s="15" t="str">
        <f>_xlfn.XLOOKUP(OrderDetails[[#This Row],[ProductID]],Product!A:A,Product!G:G,"Not Found")</f>
        <v>Confections</v>
      </c>
      <c r="J783" s="15" t="str">
        <f>LOOKUP(MONTH(G783),{1,4,7,10},{"Winter","Spring","Summer","Autumn"})</f>
        <v>Spring</v>
      </c>
      <c r="K783" s="15" t="str">
        <f>_xlfn.XLOOKUP(OrderDetails[[#This Row],[ProductID]],Product!A:A,Product!B:B,"Not Found")</f>
        <v>Gumbär Gummibärchen</v>
      </c>
    </row>
    <row r="784" spans="1:11">
      <c r="A784" s="1">
        <v>10540</v>
      </c>
      <c r="B784" s="1">
        <v>38</v>
      </c>
      <c r="C784" s="1">
        <v>263.5</v>
      </c>
      <c r="D784" s="1">
        <v>30</v>
      </c>
      <c r="E784" s="3">
        <v>0</v>
      </c>
      <c r="F784" s="1" t="str">
        <f>_xlfn.XLOOKUP(A784,Orders!A:A,Orders!B:B,"not found")</f>
        <v>QUICK</v>
      </c>
      <c r="G784" s="13">
        <f>_xlfn.XLOOKUP(OrderDetails[[#This Row],[OrderID]],Orders!A:A,Orders!C:C,"Not Found")</f>
        <v>35569</v>
      </c>
      <c r="H784" s="16">
        <f>(OrderDetails[[#This Row],[UnitPrice]]*OrderDetails[[#This Row],[Quantity]])*(1-OrderDetails[[#This Row],[Discount]])</f>
        <v>7905</v>
      </c>
      <c r="I784" s="15" t="str">
        <f>_xlfn.XLOOKUP(OrderDetails[[#This Row],[ProductID]],Product!A:A,Product!G:G,"Not Found")</f>
        <v>Beverages</v>
      </c>
      <c r="J784" s="15" t="str">
        <f>LOOKUP(MONTH(G784),{1,4,7,10},{"Winter","Spring","Summer","Autumn"})</f>
        <v>Spring</v>
      </c>
      <c r="K784" s="15" t="str">
        <f>_xlfn.XLOOKUP(OrderDetails[[#This Row],[ProductID]],Product!A:A,Product!B:B,"Not Found")</f>
        <v>Côte de Blaye</v>
      </c>
    </row>
    <row r="785" spans="1:11">
      <c r="A785" s="2">
        <v>10540</v>
      </c>
      <c r="B785" s="2">
        <v>68</v>
      </c>
      <c r="C785" s="2">
        <v>12.5</v>
      </c>
      <c r="D785" s="2">
        <v>35</v>
      </c>
      <c r="E785" s="4">
        <v>0</v>
      </c>
      <c r="F785" s="1" t="str">
        <f>_xlfn.XLOOKUP(A785,Orders!A:A,Orders!B:B,"not found")</f>
        <v>QUICK</v>
      </c>
      <c r="G785" s="13">
        <f>_xlfn.XLOOKUP(OrderDetails[[#This Row],[OrderID]],Orders!A:A,Orders!C:C,"Not Found")</f>
        <v>35569</v>
      </c>
      <c r="H785" s="16">
        <f>(OrderDetails[[#This Row],[UnitPrice]]*OrderDetails[[#This Row],[Quantity]])*(1-OrderDetails[[#This Row],[Discount]])</f>
        <v>437.5</v>
      </c>
      <c r="I785" s="15" t="str">
        <f>_xlfn.XLOOKUP(OrderDetails[[#This Row],[ProductID]],Product!A:A,Product!G:G,"Not Found")</f>
        <v>Confections</v>
      </c>
      <c r="J785" s="15" t="str">
        <f>LOOKUP(MONTH(G785),{1,4,7,10},{"Winter","Spring","Summer","Autumn"})</f>
        <v>Spring</v>
      </c>
      <c r="K785" s="15" t="str">
        <f>_xlfn.XLOOKUP(OrderDetails[[#This Row],[ProductID]],Product!A:A,Product!B:B,"Not Found")</f>
        <v>Scottish Longbreads</v>
      </c>
    </row>
    <row r="786" spans="1:11">
      <c r="A786" s="1">
        <v>10541</v>
      </c>
      <c r="B786" s="1">
        <v>24</v>
      </c>
      <c r="C786" s="1">
        <v>4.5</v>
      </c>
      <c r="D786" s="1">
        <v>35</v>
      </c>
      <c r="E786" s="3">
        <v>0.10000000149011612</v>
      </c>
      <c r="F786" s="1" t="str">
        <f>_xlfn.XLOOKUP(A786,Orders!A:A,Orders!B:B,"not found")</f>
        <v>HANAR</v>
      </c>
      <c r="G786" s="13">
        <f>_xlfn.XLOOKUP(OrderDetails[[#This Row],[OrderID]],Orders!A:A,Orders!C:C,"Not Found")</f>
        <v>35569</v>
      </c>
      <c r="H786" s="16">
        <f>(OrderDetails[[#This Row],[UnitPrice]]*OrderDetails[[#This Row],[Quantity]])*(1-OrderDetails[[#This Row],[Discount]])</f>
        <v>141.74999976530671</v>
      </c>
      <c r="I786" s="15" t="str">
        <f>_xlfn.XLOOKUP(OrderDetails[[#This Row],[ProductID]],Product!A:A,Product!G:G,"Not Found")</f>
        <v>Beverages</v>
      </c>
      <c r="J786" s="15" t="str">
        <f>LOOKUP(MONTH(G786),{1,4,7,10},{"Winter","Spring","Summer","Autumn"})</f>
        <v>Spring</v>
      </c>
      <c r="K786" s="15" t="str">
        <f>_xlfn.XLOOKUP(OrderDetails[[#This Row],[ProductID]],Product!A:A,Product!B:B,"Not Found")</f>
        <v>Guaraná Fantástica</v>
      </c>
    </row>
    <row r="787" spans="1:11">
      <c r="A787" s="2">
        <v>10541</v>
      </c>
      <c r="B787" s="2">
        <v>38</v>
      </c>
      <c r="C787" s="2">
        <v>263.5</v>
      </c>
      <c r="D787" s="2">
        <v>4</v>
      </c>
      <c r="E787" s="4">
        <v>0.10000000149011612</v>
      </c>
      <c r="F787" s="1" t="str">
        <f>_xlfn.XLOOKUP(A787,Orders!A:A,Orders!B:B,"not found")</f>
        <v>HANAR</v>
      </c>
      <c r="G787" s="13">
        <f>_xlfn.XLOOKUP(OrderDetails[[#This Row],[OrderID]],Orders!A:A,Orders!C:C,"Not Found")</f>
        <v>35569</v>
      </c>
      <c r="H787" s="16">
        <f>(OrderDetails[[#This Row],[UnitPrice]]*OrderDetails[[#This Row],[Quantity]])*(1-OrderDetails[[#This Row],[Discount]])</f>
        <v>948.59999842941761</v>
      </c>
      <c r="I787" s="15" t="str">
        <f>_xlfn.XLOOKUP(OrderDetails[[#This Row],[ProductID]],Product!A:A,Product!G:G,"Not Found")</f>
        <v>Beverages</v>
      </c>
      <c r="J787" s="15" t="str">
        <f>LOOKUP(MONTH(G787),{1,4,7,10},{"Winter","Spring","Summer","Autumn"})</f>
        <v>Spring</v>
      </c>
      <c r="K787" s="15" t="str">
        <f>_xlfn.XLOOKUP(OrderDetails[[#This Row],[ProductID]],Product!A:A,Product!B:B,"Not Found")</f>
        <v>Côte de Blaye</v>
      </c>
    </row>
    <row r="788" spans="1:11">
      <c r="A788" s="1">
        <v>10541</v>
      </c>
      <c r="B788" s="1">
        <v>65</v>
      </c>
      <c r="C788" s="1">
        <v>21.05</v>
      </c>
      <c r="D788" s="1">
        <v>36</v>
      </c>
      <c r="E788" s="3">
        <v>0.10000000149011612</v>
      </c>
      <c r="F788" s="1" t="str">
        <f>_xlfn.XLOOKUP(A788,Orders!A:A,Orders!B:B,"not found")</f>
        <v>HANAR</v>
      </c>
      <c r="G788" s="13">
        <f>_xlfn.XLOOKUP(OrderDetails[[#This Row],[OrderID]],Orders!A:A,Orders!C:C,"Not Found")</f>
        <v>35569</v>
      </c>
      <c r="H788" s="16">
        <f>(OrderDetails[[#This Row],[UnitPrice]]*OrderDetails[[#This Row],[Quantity]])*(1-OrderDetails[[#This Row],[Discount]])</f>
        <v>682.01999887079012</v>
      </c>
      <c r="I788" s="15" t="str">
        <f>_xlfn.XLOOKUP(OrderDetails[[#This Row],[ProductID]],Product!A:A,Product!G:G,"Not Found")</f>
        <v>Condiments</v>
      </c>
      <c r="J788" s="15" t="str">
        <f>LOOKUP(MONTH(G788),{1,4,7,10},{"Winter","Spring","Summer","Autumn"})</f>
        <v>Spring</v>
      </c>
      <c r="K788" s="15" t="str">
        <f>_xlfn.XLOOKUP(OrderDetails[[#This Row],[ProductID]],Product!A:A,Product!B:B,"Not Found")</f>
        <v>Louisiana Fiery Hot Pepper Sauce</v>
      </c>
    </row>
    <row r="789" spans="1:11">
      <c r="A789" s="2">
        <v>10541</v>
      </c>
      <c r="B789" s="2">
        <v>71</v>
      </c>
      <c r="C789" s="2">
        <v>21.5</v>
      </c>
      <c r="D789" s="2">
        <v>9</v>
      </c>
      <c r="E789" s="4">
        <v>0.10000000149011612</v>
      </c>
      <c r="F789" s="1" t="str">
        <f>_xlfn.XLOOKUP(A789,Orders!A:A,Orders!B:B,"not found")</f>
        <v>HANAR</v>
      </c>
      <c r="G789" s="13">
        <f>_xlfn.XLOOKUP(OrderDetails[[#This Row],[OrderID]],Orders!A:A,Orders!C:C,"Not Found")</f>
        <v>35569</v>
      </c>
      <c r="H789" s="16">
        <f>(OrderDetails[[#This Row],[UnitPrice]]*OrderDetails[[#This Row],[Quantity]])*(1-OrderDetails[[#This Row],[Discount]])</f>
        <v>174.14999971166253</v>
      </c>
      <c r="I789" s="15" t="str">
        <f>_xlfn.XLOOKUP(OrderDetails[[#This Row],[ProductID]],Product!A:A,Product!G:G,"Not Found")</f>
        <v>Dairy Products</v>
      </c>
      <c r="J789" s="15" t="str">
        <f>LOOKUP(MONTH(G789),{1,4,7,10},{"Winter","Spring","Summer","Autumn"})</f>
        <v>Spring</v>
      </c>
      <c r="K789" s="15" t="str">
        <f>_xlfn.XLOOKUP(OrderDetails[[#This Row],[ProductID]],Product!A:A,Product!B:B,"Not Found")</f>
        <v>Flotemysost</v>
      </c>
    </row>
    <row r="790" spans="1:11">
      <c r="A790" s="1">
        <v>10542</v>
      </c>
      <c r="B790" s="1">
        <v>11</v>
      </c>
      <c r="C790" s="1">
        <v>21</v>
      </c>
      <c r="D790" s="1">
        <v>15</v>
      </c>
      <c r="E790" s="3">
        <v>5.000000074505806E-2</v>
      </c>
      <c r="F790" s="1" t="str">
        <f>_xlfn.XLOOKUP(A790,Orders!A:A,Orders!B:B,"not found")</f>
        <v>KOENE</v>
      </c>
      <c r="G790" s="13">
        <f>_xlfn.XLOOKUP(OrderDetails[[#This Row],[OrderID]],Orders!A:A,Orders!C:C,"Not Found")</f>
        <v>35570</v>
      </c>
      <c r="H790" s="16">
        <f>(OrderDetails[[#This Row],[UnitPrice]]*OrderDetails[[#This Row],[Quantity]])*(1-OrderDetails[[#This Row],[Discount]])</f>
        <v>299.24999976530671</v>
      </c>
      <c r="I790" s="15" t="str">
        <f>_xlfn.XLOOKUP(OrderDetails[[#This Row],[ProductID]],Product!A:A,Product!G:G,"Not Found")</f>
        <v>Dairy Products</v>
      </c>
      <c r="J790" s="15" t="str">
        <f>LOOKUP(MONTH(G790),{1,4,7,10},{"Winter","Spring","Summer","Autumn"})</f>
        <v>Spring</v>
      </c>
      <c r="K790" s="15" t="str">
        <f>_xlfn.XLOOKUP(OrderDetails[[#This Row],[ProductID]],Product!A:A,Product!B:B,"Not Found")</f>
        <v>Queso Cabrales</v>
      </c>
    </row>
    <row r="791" spans="1:11">
      <c r="A791" s="2">
        <v>10542</v>
      </c>
      <c r="B791" s="2">
        <v>54</v>
      </c>
      <c r="C791" s="2">
        <v>7.45</v>
      </c>
      <c r="D791" s="2">
        <v>24</v>
      </c>
      <c r="E791" s="4">
        <v>5.000000074505806E-2</v>
      </c>
      <c r="F791" s="1" t="str">
        <f>_xlfn.XLOOKUP(A791,Orders!A:A,Orders!B:B,"not found")</f>
        <v>KOENE</v>
      </c>
      <c r="G791" s="13">
        <f>_xlfn.XLOOKUP(OrderDetails[[#This Row],[OrderID]],Orders!A:A,Orders!C:C,"Not Found")</f>
        <v>35570</v>
      </c>
      <c r="H791" s="16">
        <f>(OrderDetails[[#This Row],[UnitPrice]]*OrderDetails[[#This Row],[Quantity]])*(1-OrderDetails[[#This Row],[Discount]])</f>
        <v>169.85999986678362</v>
      </c>
      <c r="I791" s="15" t="str">
        <f>_xlfn.XLOOKUP(OrderDetails[[#This Row],[ProductID]],Product!A:A,Product!G:G,"Not Found")</f>
        <v>Meat/Poultry</v>
      </c>
      <c r="J791" s="15" t="str">
        <f>LOOKUP(MONTH(G791),{1,4,7,10},{"Winter","Spring","Summer","Autumn"})</f>
        <v>Spring</v>
      </c>
      <c r="K791" s="15" t="str">
        <f>_xlfn.XLOOKUP(OrderDetails[[#This Row],[ProductID]],Product!A:A,Product!B:B,"Not Found")</f>
        <v>Tourtière</v>
      </c>
    </row>
    <row r="792" spans="1:11">
      <c r="A792" s="1">
        <v>10543</v>
      </c>
      <c r="B792" s="1">
        <v>12</v>
      </c>
      <c r="C792" s="1">
        <v>38</v>
      </c>
      <c r="D792" s="1">
        <v>30</v>
      </c>
      <c r="E792" s="3">
        <v>0.15000000596046448</v>
      </c>
      <c r="F792" s="1" t="str">
        <f>_xlfn.XLOOKUP(A792,Orders!A:A,Orders!B:B,"not found")</f>
        <v>LILAS</v>
      </c>
      <c r="G792" s="13">
        <f>_xlfn.XLOOKUP(OrderDetails[[#This Row],[OrderID]],Orders!A:A,Orders!C:C,"Not Found")</f>
        <v>35571</v>
      </c>
      <c r="H792" s="16">
        <f>(OrderDetails[[#This Row],[UnitPrice]]*OrderDetails[[#This Row],[Quantity]])*(1-OrderDetails[[#This Row],[Discount]])</f>
        <v>968.9999932050705</v>
      </c>
      <c r="I792" s="15" t="str">
        <f>_xlfn.XLOOKUP(OrderDetails[[#This Row],[ProductID]],Product!A:A,Product!G:G,"Not Found")</f>
        <v>Dairy Products</v>
      </c>
      <c r="J792" s="15" t="str">
        <f>LOOKUP(MONTH(G792),{1,4,7,10},{"Winter","Spring","Summer","Autumn"})</f>
        <v>Spring</v>
      </c>
      <c r="K792" s="15" t="str">
        <f>_xlfn.XLOOKUP(OrderDetails[[#This Row],[ProductID]],Product!A:A,Product!B:B,"Not Found")</f>
        <v>Queso Manchego La Pastora</v>
      </c>
    </row>
    <row r="793" spans="1:11">
      <c r="A793" s="2">
        <v>10543</v>
      </c>
      <c r="B793" s="2">
        <v>23</v>
      </c>
      <c r="C793" s="2">
        <v>9</v>
      </c>
      <c r="D793" s="2">
        <v>70</v>
      </c>
      <c r="E793" s="4">
        <v>0.15000000596046448</v>
      </c>
      <c r="F793" s="1" t="str">
        <f>_xlfn.XLOOKUP(A793,Orders!A:A,Orders!B:B,"not found")</f>
        <v>LILAS</v>
      </c>
      <c r="G793" s="13">
        <f>_xlfn.XLOOKUP(OrderDetails[[#This Row],[OrderID]],Orders!A:A,Orders!C:C,"Not Found")</f>
        <v>35571</v>
      </c>
      <c r="H793" s="16">
        <f>(OrderDetails[[#This Row],[UnitPrice]]*OrderDetails[[#This Row],[Quantity]])*(1-OrderDetails[[#This Row],[Discount]])</f>
        <v>535.49999624490738</v>
      </c>
      <c r="I793" s="15" t="str">
        <f>_xlfn.XLOOKUP(OrderDetails[[#This Row],[ProductID]],Product!A:A,Product!G:G,"Not Found")</f>
        <v>Grains/Cereals</v>
      </c>
      <c r="J793" s="15" t="str">
        <f>LOOKUP(MONTH(G793),{1,4,7,10},{"Winter","Spring","Summer","Autumn"})</f>
        <v>Spring</v>
      </c>
      <c r="K793" s="15" t="str">
        <f>_xlfn.XLOOKUP(OrderDetails[[#This Row],[ProductID]],Product!A:A,Product!B:B,"Not Found")</f>
        <v>Tunnbröd</v>
      </c>
    </row>
    <row r="794" spans="1:11">
      <c r="A794" s="1">
        <v>10544</v>
      </c>
      <c r="B794" s="1">
        <v>28</v>
      </c>
      <c r="C794" s="1">
        <v>45.6</v>
      </c>
      <c r="D794" s="1">
        <v>7</v>
      </c>
      <c r="E794" s="3">
        <v>0</v>
      </c>
      <c r="F794" s="1" t="str">
        <f>_xlfn.XLOOKUP(A794,Orders!A:A,Orders!B:B,"not found")</f>
        <v>LONEP</v>
      </c>
      <c r="G794" s="13">
        <f>_xlfn.XLOOKUP(OrderDetails[[#This Row],[OrderID]],Orders!A:A,Orders!C:C,"Not Found")</f>
        <v>35571</v>
      </c>
      <c r="H794" s="16">
        <f>(OrderDetails[[#This Row],[UnitPrice]]*OrderDetails[[#This Row],[Quantity]])*(1-OrderDetails[[#This Row],[Discount]])</f>
        <v>319.2</v>
      </c>
      <c r="I794" s="15" t="str">
        <f>_xlfn.XLOOKUP(OrderDetails[[#This Row],[ProductID]],Product!A:A,Product!G:G,"Not Found")</f>
        <v>Produce</v>
      </c>
      <c r="J794" s="15" t="str">
        <f>LOOKUP(MONTH(G794),{1,4,7,10},{"Winter","Spring","Summer","Autumn"})</f>
        <v>Spring</v>
      </c>
      <c r="K794" s="15" t="str">
        <f>_xlfn.XLOOKUP(OrderDetails[[#This Row],[ProductID]],Product!A:A,Product!B:B,"Not Found")</f>
        <v>Rössle Sauerkraut</v>
      </c>
    </row>
    <row r="795" spans="1:11">
      <c r="A795" s="2">
        <v>10544</v>
      </c>
      <c r="B795" s="2">
        <v>67</v>
      </c>
      <c r="C795" s="2">
        <v>14</v>
      </c>
      <c r="D795" s="2">
        <v>7</v>
      </c>
      <c r="E795" s="4">
        <v>0</v>
      </c>
      <c r="F795" s="1" t="str">
        <f>_xlfn.XLOOKUP(A795,Orders!A:A,Orders!B:B,"not found")</f>
        <v>LONEP</v>
      </c>
      <c r="G795" s="13">
        <f>_xlfn.XLOOKUP(OrderDetails[[#This Row],[OrderID]],Orders!A:A,Orders!C:C,"Not Found")</f>
        <v>35571</v>
      </c>
      <c r="H795" s="16">
        <f>(OrderDetails[[#This Row],[UnitPrice]]*OrderDetails[[#This Row],[Quantity]])*(1-OrderDetails[[#This Row],[Discount]])</f>
        <v>98</v>
      </c>
      <c r="I795" s="15" t="str">
        <f>_xlfn.XLOOKUP(OrderDetails[[#This Row],[ProductID]],Product!A:A,Product!G:G,"Not Found")</f>
        <v>Beverages</v>
      </c>
      <c r="J795" s="15" t="str">
        <f>LOOKUP(MONTH(G795),{1,4,7,10},{"Winter","Spring","Summer","Autumn"})</f>
        <v>Spring</v>
      </c>
      <c r="K795" s="15" t="str">
        <f>_xlfn.XLOOKUP(OrderDetails[[#This Row],[ProductID]],Product!A:A,Product!B:B,"Not Found")</f>
        <v>Laughing Lumberjack Lager</v>
      </c>
    </row>
    <row r="796" spans="1:11">
      <c r="A796" s="1">
        <v>10545</v>
      </c>
      <c r="B796" s="1">
        <v>11</v>
      </c>
      <c r="C796" s="1">
        <v>21</v>
      </c>
      <c r="D796" s="1">
        <v>10</v>
      </c>
      <c r="E796" s="3">
        <v>0</v>
      </c>
      <c r="F796" s="1" t="str">
        <f>_xlfn.XLOOKUP(A796,Orders!A:A,Orders!B:B,"not found")</f>
        <v>LAZYK</v>
      </c>
      <c r="G796" s="13">
        <f>_xlfn.XLOOKUP(OrderDetails[[#This Row],[OrderID]],Orders!A:A,Orders!C:C,"Not Found")</f>
        <v>35572</v>
      </c>
      <c r="H796" s="16">
        <f>(OrderDetails[[#This Row],[UnitPrice]]*OrderDetails[[#This Row],[Quantity]])*(1-OrderDetails[[#This Row],[Discount]])</f>
        <v>210</v>
      </c>
      <c r="I796" s="15" t="str">
        <f>_xlfn.XLOOKUP(OrderDetails[[#This Row],[ProductID]],Product!A:A,Product!G:G,"Not Found")</f>
        <v>Dairy Products</v>
      </c>
      <c r="J796" s="15" t="str">
        <f>LOOKUP(MONTH(G796),{1,4,7,10},{"Winter","Spring","Summer","Autumn"})</f>
        <v>Spring</v>
      </c>
      <c r="K796" s="15" t="str">
        <f>_xlfn.XLOOKUP(OrderDetails[[#This Row],[ProductID]],Product!A:A,Product!B:B,"Not Found")</f>
        <v>Queso Cabrales</v>
      </c>
    </row>
    <row r="797" spans="1:11">
      <c r="A797" s="2">
        <v>10546</v>
      </c>
      <c r="B797" s="2">
        <v>7</v>
      </c>
      <c r="C797" s="2">
        <v>30</v>
      </c>
      <c r="D797" s="2">
        <v>10</v>
      </c>
      <c r="E797" s="4">
        <v>0</v>
      </c>
      <c r="F797" s="1" t="str">
        <f>_xlfn.XLOOKUP(A797,Orders!A:A,Orders!B:B,"not found")</f>
        <v>VICTE</v>
      </c>
      <c r="G797" s="13">
        <f>_xlfn.XLOOKUP(OrderDetails[[#This Row],[OrderID]],Orders!A:A,Orders!C:C,"Not Found")</f>
        <v>35573</v>
      </c>
      <c r="H797" s="16">
        <f>(OrderDetails[[#This Row],[UnitPrice]]*OrderDetails[[#This Row],[Quantity]])*(1-OrderDetails[[#This Row],[Discount]])</f>
        <v>300</v>
      </c>
      <c r="I797" s="15" t="str">
        <f>_xlfn.XLOOKUP(OrderDetails[[#This Row],[ProductID]],Product!A:A,Product!G:G,"Not Found")</f>
        <v>Produce</v>
      </c>
      <c r="J797" s="15" t="str">
        <f>LOOKUP(MONTH(G797),{1,4,7,10},{"Winter","Spring","Summer","Autumn"})</f>
        <v>Spring</v>
      </c>
      <c r="K797" s="15" t="str">
        <f>_xlfn.XLOOKUP(OrderDetails[[#This Row],[ProductID]],Product!A:A,Product!B:B,"Not Found")</f>
        <v>Uncle Bob's Organic Dried Pears</v>
      </c>
    </row>
    <row r="798" spans="1:11">
      <c r="A798" s="1">
        <v>10546</v>
      </c>
      <c r="B798" s="1">
        <v>35</v>
      </c>
      <c r="C798" s="1">
        <v>18</v>
      </c>
      <c r="D798" s="1">
        <v>30</v>
      </c>
      <c r="E798" s="3">
        <v>0</v>
      </c>
      <c r="F798" s="1" t="str">
        <f>_xlfn.XLOOKUP(A798,Orders!A:A,Orders!B:B,"not found")</f>
        <v>VICTE</v>
      </c>
      <c r="G798" s="13">
        <f>_xlfn.XLOOKUP(OrderDetails[[#This Row],[OrderID]],Orders!A:A,Orders!C:C,"Not Found")</f>
        <v>35573</v>
      </c>
      <c r="H798" s="16">
        <f>(OrderDetails[[#This Row],[UnitPrice]]*OrderDetails[[#This Row],[Quantity]])*(1-OrderDetails[[#This Row],[Discount]])</f>
        <v>540</v>
      </c>
      <c r="I798" s="15" t="str">
        <f>_xlfn.XLOOKUP(OrderDetails[[#This Row],[ProductID]],Product!A:A,Product!G:G,"Not Found")</f>
        <v>Beverages</v>
      </c>
      <c r="J798" s="15" t="str">
        <f>LOOKUP(MONTH(G798),{1,4,7,10},{"Winter","Spring","Summer","Autumn"})</f>
        <v>Spring</v>
      </c>
      <c r="K798" s="15" t="str">
        <f>_xlfn.XLOOKUP(OrderDetails[[#This Row],[ProductID]],Product!A:A,Product!B:B,"Not Found")</f>
        <v>Steeleye Stout</v>
      </c>
    </row>
    <row r="799" spans="1:11">
      <c r="A799" s="2">
        <v>10546</v>
      </c>
      <c r="B799" s="2">
        <v>62</v>
      </c>
      <c r="C799" s="2">
        <v>49.3</v>
      </c>
      <c r="D799" s="2">
        <v>40</v>
      </c>
      <c r="E799" s="4">
        <v>0</v>
      </c>
      <c r="F799" s="1" t="str">
        <f>_xlfn.XLOOKUP(A799,Orders!A:A,Orders!B:B,"not found")</f>
        <v>VICTE</v>
      </c>
      <c r="G799" s="13">
        <f>_xlfn.XLOOKUP(OrderDetails[[#This Row],[OrderID]],Orders!A:A,Orders!C:C,"Not Found")</f>
        <v>35573</v>
      </c>
      <c r="H799" s="16">
        <f>(OrderDetails[[#This Row],[UnitPrice]]*OrderDetails[[#This Row],[Quantity]])*(1-OrderDetails[[#This Row],[Discount]])</f>
        <v>1972</v>
      </c>
      <c r="I799" s="15" t="str">
        <f>_xlfn.XLOOKUP(OrderDetails[[#This Row],[ProductID]],Product!A:A,Product!G:G,"Not Found")</f>
        <v>Confections</v>
      </c>
      <c r="J799" s="15" t="str">
        <f>LOOKUP(MONTH(G799),{1,4,7,10},{"Winter","Spring","Summer","Autumn"})</f>
        <v>Spring</v>
      </c>
      <c r="K799" s="15" t="str">
        <f>_xlfn.XLOOKUP(OrderDetails[[#This Row],[ProductID]],Product!A:A,Product!B:B,"Not Found")</f>
        <v>Tarte au sucre</v>
      </c>
    </row>
    <row r="800" spans="1:11">
      <c r="A800" s="1">
        <v>10547</v>
      </c>
      <c r="B800" s="1">
        <v>32</v>
      </c>
      <c r="C800" s="1">
        <v>32</v>
      </c>
      <c r="D800" s="1">
        <v>24</v>
      </c>
      <c r="E800" s="3">
        <v>0.15000000596046448</v>
      </c>
      <c r="F800" s="1" t="str">
        <f>_xlfn.XLOOKUP(A800,Orders!A:A,Orders!B:B,"not found")</f>
        <v>SEVES</v>
      </c>
      <c r="G800" s="13">
        <f>_xlfn.XLOOKUP(OrderDetails[[#This Row],[OrderID]],Orders!A:A,Orders!C:C,"Not Found")</f>
        <v>35573</v>
      </c>
      <c r="H800" s="16">
        <f>(OrderDetails[[#This Row],[UnitPrice]]*OrderDetails[[#This Row],[Quantity]])*(1-OrderDetails[[#This Row],[Discount]])</f>
        <v>652.79999542236328</v>
      </c>
      <c r="I800" s="15" t="str">
        <f>_xlfn.XLOOKUP(OrderDetails[[#This Row],[ProductID]],Product!A:A,Product!G:G,"Not Found")</f>
        <v>Dairy Products</v>
      </c>
      <c r="J800" s="15" t="str">
        <f>LOOKUP(MONTH(G800),{1,4,7,10},{"Winter","Spring","Summer","Autumn"})</f>
        <v>Spring</v>
      </c>
      <c r="K800" s="15" t="str">
        <f>_xlfn.XLOOKUP(OrderDetails[[#This Row],[ProductID]],Product!A:A,Product!B:B,"Not Found")</f>
        <v>Mascarpone Fabioli</v>
      </c>
    </row>
    <row r="801" spans="1:11">
      <c r="A801" s="2">
        <v>10547</v>
      </c>
      <c r="B801" s="2">
        <v>36</v>
      </c>
      <c r="C801" s="2">
        <v>19</v>
      </c>
      <c r="D801" s="2">
        <v>60</v>
      </c>
      <c r="E801" s="4">
        <v>0</v>
      </c>
      <c r="F801" s="1" t="str">
        <f>_xlfn.XLOOKUP(A801,Orders!A:A,Orders!B:B,"not found")</f>
        <v>SEVES</v>
      </c>
      <c r="G801" s="13">
        <f>_xlfn.XLOOKUP(OrderDetails[[#This Row],[OrderID]],Orders!A:A,Orders!C:C,"Not Found")</f>
        <v>35573</v>
      </c>
      <c r="H801" s="16">
        <f>(OrderDetails[[#This Row],[UnitPrice]]*OrderDetails[[#This Row],[Quantity]])*(1-OrderDetails[[#This Row],[Discount]])</f>
        <v>1140</v>
      </c>
      <c r="I801" s="15" t="str">
        <f>_xlfn.XLOOKUP(OrderDetails[[#This Row],[ProductID]],Product!A:A,Product!G:G,"Not Found")</f>
        <v>Seafood</v>
      </c>
      <c r="J801" s="15" t="str">
        <f>LOOKUP(MONTH(G801),{1,4,7,10},{"Winter","Spring","Summer","Autumn"})</f>
        <v>Spring</v>
      </c>
      <c r="K801" s="15" t="str">
        <f>_xlfn.XLOOKUP(OrderDetails[[#This Row],[ProductID]],Product!A:A,Product!B:B,"Not Found")</f>
        <v>Inlagd Sill</v>
      </c>
    </row>
    <row r="802" spans="1:11">
      <c r="A802" s="1">
        <v>10548</v>
      </c>
      <c r="B802" s="1">
        <v>34</v>
      </c>
      <c r="C802" s="1">
        <v>14</v>
      </c>
      <c r="D802" s="1">
        <v>10</v>
      </c>
      <c r="E802" s="3">
        <v>0.25</v>
      </c>
      <c r="F802" s="1" t="str">
        <f>_xlfn.XLOOKUP(A802,Orders!A:A,Orders!B:B,"not found")</f>
        <v>TOMSP</v>
      </c>
      <c r="G802" s="13">
        <f>_xlfn.XLOOKUP(OrderDetails[[#This Row],[OrderID]],Orders!A:A,Orders!C:C,"Not Found")</f>
        <v>35576</v>
      </c>
      <c r="H802" s="16">
        <f>(OrderDetails[[#This Row],[UnitPrice]]*OrderDetails[[#This Row],[Quantity]])*(1-OrderDetails[[#This Row],[Discount]])</f>
        <v>105</v>
      </c>
      <c r="I802" s="15" t="str">
        <f>_xlfn.XLOOKUP(OrderDetails[[#This Row],[ProductID]],Product!A:A,Product!G:G,"Not Found")</f>
        <v>Beverages</v>
      </c>
      <c r="J802" s="15" t="str">
        <f>LOOKUP(MONTH(G802),{1,4,7,10},{"Winter","Spring","Summer","Autumn"})</f>
        <v>Spring</v>
      </c>
      <c r="K802" s="15" t="str">
        <f>_xlfn.XLOOKUP(OrderDetails[[#This Row],[ProductID]],Product!A:A,Product!B:B,"Not Found")</f>
        <v>Sasquatch Ale</v>
      </c>
    </row>
    <row r="803" spans="1:11">
      <c r="A803" s="2">
        <v>10548</v>
      </c>
      <c r="B803" s="2">
        <v>41</v>
      </c>
      <c r="C803" s="2">
        <v>9.65</v>
      </c>
      <c r="D803" s="2">
        <v>14</v>
      </c>
      <c r="E803" s="4">
        <v>0</v>
      </c>
      <c r="F803" s="1" t="str">
        <f>_xlfn.XLOOKUP(A803,Orders!A:A,Orders!B:B,"not found")</f>
        <v>TOMSP</v>
      </c>
      <c r="G803" s="13">
        <f>_xlfn.XLOOKUP(OrderDetails[[#This Row],[OrderID]],Orders!A:A,Orders!C:C,"Not Found")</f>
        <v>35576</v>
      </c>
      <c r="H803" s="16">
        <f>(OrderDetails[[#This Row],[UnitPrice]]*OrderDetails[[#This Row],[Quantity]])*(1-OrderDetails[[#This Row],[Discount]])</f>
        <v>135.1</v>
      </c>
      <c r="I803" s="15" t="str">
        <f>_xlfn.XLOOKUP(OrderDetails[[#This Row],[ProductID]],Product!A:A,Product!G:G,"Not Found")</f>
        <v>Seafood</v>
      </c>
      <c r="J803" s="15" t="str">
        <f>LOOKUP(MONTH(G803),{1,4,7,10},{"Winter","Spring","Summer","Autumn"})</f>
        <v>Spring</v>
      </c>
      <c r="K803" s="15" t="str">
        <f>_xlfn.XLOOKUP(OrderDetails[[#This Row],[ProductID]],Product!A:A,Product!B:B,"Not Found")</f>
        <v>Jack's New England Clam Chowder</v>
      </c>
    </row>
    <row r="804" spans="1:11">
      <c r="A804" s="1">
        <v>10549</v>
      </c>
      <c r="B804" s="1">
        <v>31</v>
      </c>
      <c r="C804" s="1">
        <v>12.5</v>
      </c>
      <c r="D804" s="1">
        <v>55</v>
      </c>
      <c r="E804" s="3">
        <v>0.15000000596046448</v>
      </c>
      <c r="F804" s="1" t="str">
        <f>_xlfn.XLOOKUP(A804,Orders!A:A,Orders!B:B,"not found")</f>
        <v>QUICK</v>
      </c>
      <c r="G804" s="13">
        <f>_xlfn.XLOOKUP(OrderDetails[[#This Row],[OrderID]],Orders!A:A,Orders!C:C,"Not Found")</f>
        <v>35577</v>
      </c>
      <c r="H804" s="16">
        <f>(OrderDetails[[#This Row],[UnitPrice]]*OrderDetails[[#This Row],[Quantity]])*(1-OrderDetails[[#This Row],[Discount]])</f>
        <v>584.37499590218067</v>
      </c>
      <c r="I804" s="15" t="str">
        <f>_xlfn.XLOOKUP(OrderDetails[[#This Row],[ProductID]],Product!A:A,Product!G:G,"Not Found")</f>
        <v>Dairy Products</v>
      </c>
      <c r="J804" s="15" t="str">
        <f>LOOKUP(MONTH(G804),{1,4,7,10},{"Winter","Spring","Summer","Autumn"})</f>
        <v>Spring</v>
      </c>
      <c r="K804" s="15" t="str">
        <f>_xlfn.XLOOKUP(OrderDetails[[#This Row],[ProductID]],Product!A:A,Product!B:B,"Not Found")</f>
        <v>Gorgonzola Telino</v>
      </c>
    </row>
    <row r="805" spans="1:11">
      <c r="A805" s="2">
        <v>10549</v>
      </c>
      <c r="B805" s="2">
        <v>45</v>
      </c>
      <c r="C805" s="2">
        <v>9.5</v>
      </c>
      <c r="D805" s="2">
        <v>100</v>
      </c>
      <c r="E805" s="4">
        <v>0.15000000596046448</v>
      </c>
      <c r="F805" s="1" t="str">
        <f>_xlfn.XLOOKUP(A805,Orders!A:A,Orders!B:B,"not found")</f>
        <v>QUICK</v>
      </c>
      <c r="G805" s="13">
        <f>_xlfn.XLOOKUP(OrderDetails[[#This Row],[OrderID]],Orders!A:A,Orders!C:C,"Not Found")</f>
        <v>35577</v>
      </c>
      <c r="H805" s="16">
        <f>(OrderDetails[[#This Row],[UnitPrice]]*OrderDetails[[#This Row],[Quantity]])*(1-OrderDetails[[#This Row],[Discount]])</f>
        <v>807.49999433755875</v>
      </c>
      <c r="I805" s="15" t="str">
        <f>_xlfn.XLOOKUP(OrderDetails[[#This Row],[ProductID]],Product!A:A,Product!G:G,"Not Found")</f>
        <v>Seafood</v>
      </c>
      <c r="J805" s="15" t="str">
        <f>LOOKUP(MONTH(G805),{1,4,7,10},{"Winter","Spring","Summer","Autumn"})</f>
        <v>Spring</v>
      </c>
      <c r="K805" s="15" t="str">
        <f>_xlfn.XLOOKUP(OrderDetails[[#This Row],[ProductID]],Product!A:A,Product!B:B,"Not Found")</f>
        <v>Rogede sild</v>
      </c>
    </row>
    <row r="806" spans="1:11">
      <c r="A806" s="1">
        <v>10549</v>
      </c>
      <c r="B806" s="1">
        <v>51</v>
      </c>
      <c r="C806" s="1">
        <v>53</v>
      </c>
      <c r="D806" s="1">
        <v>48</v>
      </c>
      <c r="E806" s="3">
        <v>0.15000000596046448</v>
      </c>
      <c r="F806" s="1" t="str">
        <f>_xlfn.XLOOKUP(A806,Orders!A:A,Orders!B:B,"not found")</f>
        <v>QUICK</v>
      </c>
      <c r="G806" s="13">
        <f>_xlfn.XLOOKUP(OrderDetails[[#This Row],[OrderID]],Orders!A:A,Orders!C:C,"Not Found")</f>
        <v>35577</v>
      </c>
      <c r="H806" s="16">
        <f>(OrderDetails[[#This Row],[UnitPrice]]*OrderDetails[[#This Row],[Quantity]])*(1-OrderDetails[[#This Row],[Discount]])</f>
        <v>2162.3999848365784</v>
      </c>
      <c r="I806" s="15" t="str">
        <f>_xlfn.XLOOKUP(OrderDetails[[#This Row],[ProductID]],Product!A:A,Product!G:G,"Not Found")</f>
        <v>Produce</v>
      </c>
      <c r="J806" s="15" t="str">
        <f>LOOKUP(MONTH(G806),{1,4,7,10},{"Winter","Spring","Summer","Autumn"})</f>
        <v>Spring</v>
      </c>
      <c r="K806" s="15" t="str">
        <f>_xlfn.XLOOKUP(OrderDetails[[#This Row],[ProductID]],Product!A:A,Product!B:B,"Not Found")</f>
        <v>Manjimup Dried Apples</v>
      </c>
    </row>
    <row r="807" spans="1:11">
      <c r="A807" s="2">
        <v>10550</v>
      </c>
      <c r="B807" s="2">
        <v>17</v>
      </c>
      <c r="C807" s="2">
        <v>39</v>
      </c>
      <c r="D807" s="2">
        <v>8</v>
      </c>
      <c r="E807" s="4">
        <v>0.10000000149011612</v>
      </c>
      <c r="F807" s="1" t="str">
        <f>_xlfn.XLOOKUP(A807,Orders!A:A,Orders!B:B,"not found")</f>
        <v>GODOS</v>
      </c>
      <c r="G807" s="13">
        <f>_xlfn.XLOOKUP(OrderDetails[[#This Row],[OrderID]],Orders!A:A,Orders!C:C,"Not Found")</f>
        <v>35578</v>
      </c>
      <c r="H807" s="16">
        <f>(OrderDetails[[#This Row],[UnitPrice]]*OrderDetails[[#This Row],[Quantity]])*(1-OrderDetails[[#This Row],[Discount]])</f>
        <v>280.79999953508377</v>
      </c>
      <c r="I807" s="15" t="str">
        <f>_xlfn.XLOOKUP(OrderDetails[[#This Row],[ProductID]],Product!A:A,Product!G:G,"Not Found")</f>
        <v>Meat/Poultry</v>
      </c>
      <c r="J807" s="15" t="str">
        <f>LOOKUP(MONTH(G807),{1,4,7,10},{"Winter","Spring","Summer","Autumn"})</f>
        <v>Spring</v>
      </c>
      <c r="K807" s="15" t="str">
        <f>_xlfn.XLOOKUP(OrderDetails[[#This Row],[ProductID]],Product!A:A,Product!B:B,"Not Found")</f>
        <v>Alice Mutton</v>
      </c>
    </row>
    <row r="808" spans="1:11">
      <c r="A808" s="1">
        <v>10550</v>
      </c>
      <c r="B808" s="1">
        <v>19</v>
      </c>
      <c r="C808" s="1">
        <v>9.1999999999999993</v>
      </c>
      <c r="D808" s="1">
        <v>10</v>
      </c>
      <c r="E808" s="3">
        <v>0</v>
      </c>
      <c r="F808" s="1" t="str">
        <f>_xlfn.XLOOKUP(A808,Orders!A:A,Orders!B:B,"not found")</f>
        <v>GODOS</v>
      </c>
      <c r="G808" s="13">
        <f>_xlfn.XLOOKUP(OrderDetails[[#This Row],[OrderID]],Orders!A:A,Orders!C:C,"Not Found")</f>
        <v>35578</v>
      </c>
      <c r="H808" s="16">
        <f>(OrderDetails[[#This Row],[UnitPrice]]*OrderDetails[[#This Row],[Quantity]])*(1-OrderDetails[[#This Row],[Discount]])</f>
        <v>92</v>
      </c>
      <c r="I808" s="15" t="str">
        <f>_xlfn.XLOOKUP(OrderDetails[[#This Row],[ProductID]],Product!A:A,Product!G:G,"Not Found")</f>
        <v>Confections</v>
      </c>
      <c r="J808" s="15" t="str">
        <f>LOOKUP(MONTH(G808),{1,4,7,10},{"Winter","Spring","Summer","Autumn"})</f>
        <v>Spring</v>
      </c>
      <c r="K808" s="15" t="str">
        <f>_xlfn.XLOOKUP(OrderDetails[[#This Row],[ProductID]],Product!A:A,Product!B:B,"Not Found")</f>
        <v>Teatime Chocolate Biscuits</v>
      </c>
    </row>
    <row r="809" spans="1:11">
      <c r="A809" s="2">
        <v>10550</v>
      </c>
      <c r="B809" s="2">
        <v>21</v>
      </c>
      <c r="C809" s="2">
        <v>10</v>
      </c>
      <c r="D809" s="2">
        <v>6</v>
      </c>
      <c r="E809" s="4">
        <v>0.10000000149011612</v>
      </c>
      <c r="F809" s="1" t="str">
        <f>_xlfn.XLOOKUP(A809,Orders!A:A,Orders!B:B,"not found")</f>
        <v>GODOS</v>
      </c>
      <c r="G809" s="13">
        <f>_xlfn.XLOOKUP(OrderDetails[[#This Row],[OrderID]],Orders!A:A,Orders!C:C,"Not Found")</f>
        <v>35578</v>
      </c>
      <c r="H809" s="16">
        <f>(OrderDetails[[#This Row],[UnitPrice]]*OrderDetails[[#This Row],[Quantity]])*(1-OrderDetails[[#This Row],[Discount]])</f>
        <v>53.999999910593033</v>
      </c>
      <c r="I809" s="15" t="str">
        <f>_xlfn.XLOOKUP(OrderDetails[[#This Row],[ProductID]],Product!A:A,Product!G:G,"Not Found")</f>
        <v>Confections</v>
      </c>
      <c r="J809" s="15" t="str">
        <f>LOOKUP(MONTH(G809),{1,4,7,10},{"Winter","Spring","Summer","Autumn"})</f>
        <v>Spring</v>
      </c>
      <c r="K809" s="15" t="str">
        <f>_xlfn.XLOOKUP(OrderDetails[[#This Row],[ProductID]],Product!A:A,Product!B:B,"Not Found")</f>
        <v>Sir Rodney's Scones</v>
      </c>
    </row>
    <row r="810" spans="1:11">
      <c r="A810" s="1">
        <v>10550</v>
      </c>
      <c r="B810" s="1">
        <v>61</v>
      </c>
      <c r="C810" s="1">
        <v>28.5</v>
      </c>
      <c r="D810" s="1">
        <v>10</v>
      </c>
      <c r="E810" s="3">
        <v>0.10000000149011612</v>
      </c>
      <c r="F810" s="1" t="str">
        <f>_xlfn.XLOOKUP(A810,Orders!A:A,Orders!B:B,"not found")</f>
        <v>GODOS</v>
      </c>
      <c r="G810" s="13">
        <f>_xlfn.XLOOKUP(OrderDetails[[#This Row],[OrderID]],Orders!A:A,Orders!C:C,"Not Found")</f>
        <v>35578</v>
      </c>
      <c r="H810" s="16">
        <f>(OrderDetails[[#This Row],[UnitPrice]]*OrderDetails[[#This Row],[Quantity]])*(1-OrderDetails[[#This Row],[Discount]])</f>
        <v>256.49999957531691</v>
      </c>
      <c r="I810" s="15" t="str">
        <f>_xlfn.XLOOKUP(OrderDetails[[#This Row],[ProductID]],Product!A:A,Product!G:G,"Not Found")</f>
        <v>Condiments</v>
      </c>
      <c r="J810" s="15" t="str">
        <f>LOOKUP(MONTH(G810),{1,4,7,10},{"Winter","Spring","Summer","Autumn"})</f>
        <v>Spring</v>
      </c>
      <c r="K810" s="15" t="str">
        <f>_xlfn.XLOOKUP(OrderDetails[[#This Row],[ProductID]],Product!A:A,Product!B:B,"Not Found")</f>
        <v>Sirop d'érable</v>
      </c>
    </row>
    <row r="811" spans="1:11">
      <c r="A811" s="2">
        <v>10551</v>
      </c>
      <c r="B811" s="2">
        <v>16</v>
      </c>
      <c r="C811" s="2">
        <v>17.45</v>
      </c>
      <c r="D811" s="2">
        <v>40</v>
      </c>
      <c r="E811" s="4">
        <v>0.15000000596046448</v>
      </c>
      <c r="F811" s="1" t="str">
        <f>_xlfn.XLOOKUP(A811,Orders!A:A,Orders!B:B,"not found")</f>
        <v>FURIB</v>
      </c>
      <c r="G811" s="13">
        <f>_xlfn.XLOOKUP(OrderDetails[[#This Row],[OrderID]],Orders!A:A,Orders!C:C,"Not Found")</f>
        <v>35578</v>
      </c>
      <c r="H811" s="16">
        <f>(OrderDetails[[#This Row],[UnitPrice]]*OrderDetails[[#This Row],[Quantity]])*(1-OrderDetails[[#This Row],[Discount]])</f>
        <v>593.29999583959579</v>
      </c>
      <c r="I811" s="15" t="str">
        <f>_xlfn.XLOOKUP(OrderDetails[[#This Row],[ProductID]],Product!A:A,Product!G:G,"Not Found")</f>
        <v>Confections</v>
      </c>
      <c r="J811" s="15" t="str">
        <f>LOOKUP(MONTH(G811),{1,4,7,10},{"Winter","Spring","Summer","Autumn"})</f>
        <v>Spring</v>
      </c>
      <c r="K811" s="15" t="str">
        <f>_xlfn.XLOOKUP(OrderDetails[[#This Row],[ProductID]],Product!A:A,Product!B:B,"Not Found")</f>
        <v>Pavlova</v>
      </c>
    </row>
    <row r="812" spans="1:11">
      <c r="A812" s="1">
        <v>10551</v>
      </c>
      <c r="B812" s="1">
        <v>35</v>
      </c>
      <c r="C812" s="1">
        <v>18</v>
      </c>
      <c r="D812" s="1">
        <v>20</v>
      </c>
      <c r="E812" s="3">
        <v>0.15000000596046448</v>
      </c>
      <c r="F812" s="1" t="str">
        <f>_xlfn.XLOOKUP(A812,Orders!A:A,Orders!B:B,"not found")</f>
        <v>FURIB</v>
      </c>
      <c r="G812" s="13">
        <f>_xlfn.XLOOKUP(OrderDetails[[#This Row],[OrderID]],Orders!A:A,Orders!C:C,"Not Found")</f>
        <v>35578</v>
      </c>
      <c r="H812" s="16">
        <f>(OrderDetails[[#This Row],[UnitPrice]]*OrderDetails[[#This Row],[Quantity]])*(1-OrderDetails[[#This Row],[Discount]])</f>
        <v>305.99999785423279</v>
      </c>
      <c r="I812" s="15" t="str">
        <f>_xlfn.XLOOKUP(OrderDetails[[#This Row],[ProductID]],Product!A:A,Product!G:G,"Not Found")</f>
        <v>Beverages</v>
      </c>
      <c r="J812" s="15" t="str">
        <f>LOOKUP(MONTH(G812),{1,4,7,10},{"Winter","Spring","Summer","Autumn"})</f>
        <v>Spring</v>
      </c>
      <c r="K812" s="15" t="str">
        <f>_xlfn.XLOOKUP(OrderDetails[[#This Row],[ProductID]],Product!A:A,Product!B:B,"Not Found")</f>
        <v>Steeleye Stout</v>
      </c>
    </row>
    <row r="813" spans="1:11">
      <c r="A813" s="2">
        <v>10551</v>
      </c>
      <c r="B813" s="2">
        <v>44</v>
      </c>
      <c r="C813" s="2">
        <v>19.45</v>
      </c>
      <c r="D813" s="2">
        <v>40</v>
      </c>
      <c r="E813" s="4">
        <v>0</v>
      </c>
      <c r="F813" s="1" t="str">
        <f>_xlfn.XLOOKUP(A813,Orders!A:A,Orders!B:B,"not found")</f>
        <v>FURIB</v>
      </c>
      <c r="G813" s="13">
        <f>_xlfn.XLOOKUP(OrderDetails[[#This Row],[OrderID]],Orders!A:A,Orders!C:C,"Not Found")</f>
        <v>35578</v>
      </c>
      <c r="H813" s="16">
        <f>(OrderDetails[[#This Row],[UnitPrice]]*OrderDetails[[#This Row],[Quantity]])*(1-OrderDetails[[#This Row],[Discount]])</f>
        <v>778</v>
      </c>
      <c r="I813" s="15" t="str">
        <f>_xlfn.XLOOKUP(OrderDetails[[#This Row],[ProductID]],Product!A:A,Product!G:G,"Not Found")</f>
        <v>Condiments</v>
      </c>
      <c r="J813" s="15" t="str">
        <f>LOOKUP(MONTH(G813),{1,4,7,10},{"Winter","Spring","Summer","Autumn"})</f>
        <v>Spring</v>
      </c>
      <c r="K813" s="15" t="str">
        <f>_xlfn.XLOOKUP(OrderDetails[[#This Row],[ProductID]],Product!A:A,Product!B:B,"Not Found")</f>
        <v>Gula Malacca</v>
      </c>
    </row>
    <row r="814" spans="1:11">
      <c r="A814" s="1">
        <v>10552</v>
      </c>
      <c r="B814" s="1">
        <v>69</v>
      </c>
      <c r="C814" s="1">
        <v>36</v>
      </c>
      <c r="D814" s="1">
        <v>18</v>
      </c>
      <c r="E814" s="3">
        <v>0</v>
      </c>
      <c r="F814" s="1" t="str">
        <f>_xlfn.XLOOKUP(A814,Orders!A:A,Orders!B:B,"not found")</f>
        <v>HILAA</v>
      </c>
      <c r="G814" s="13">
        <f>_xlfn.XLOOKUP(OrderDetails[[#This Row],[OrderID]],Orders!A:A,Orders!C:C,"Not Found")</f>
        <v>35579</v>
      </c>
      <c r="H814" s="16">
        <f>(OrderDetails[[#This Row],[UnitPrice]]*OrderDetails[[#This Row],[Quantity]])*(1-OrderDetails[[#This Row],[Discount]])</f>
        <v>648</v>
      </c>
      <c r="I814" s="15" t="str">
        <f>_xlfn.XLOOKUP(OrderDetails[[#This Row],[ProductID]],Product!A:A,Product!G:G,"Not Found")</f>
        <v>Dairy Products</v>
      </c>
      <c r="J814" s="15" t="str">
        <f>LOOKUP(MONTH(G814),{1,4,7,10},{"Winter","Spring","Summer","Autumn"})</f>
        <v>Spring</v>
      </c>
      <c r="K814" s="15" t="str">
        <f>_xlfn.XLOOKUP(OrderDetails[[#This Row],[ProductID]],Product!A:A,Product!B:B,"Not Found")</f>
        <v>Gudbrandsdalsost</v>
      </c>
    </row>
    <row r="815" spans="1:11">
      <c r="A815" s="2">
        <v>10552</v>
      </c>
      <c r="B815" s="2">
        <v>75</v>
      </c>
      <c r="C815" s="2">
        <v>7.75</v>
      </c>
      <c r="D815" s="2">
        <v>30</v>
      </c>
      <c r="E815" s="4">
        <v>0</v>
      </c>
      <c r="F815" s="1" t="str">
        <f>_xlfn.XLOOKUP(A815,Orders!A:A,Orders!B:B,"not found")</f>
        <v>HILAA</v>
      </c>
      <c r="G815" s="13">
        <f>_xlfn.XLOOKUP(OrderDetails[[#This Row],[OrderID]],Orders!A:A,Orders!C:C,"Not Found")</f>
        <v>35579</v>
      </c>
      <c r="H815" s="16">
        <f>(OrderDetails[[#This Row],[UnitPrice]]*OrderDetails[[#This Row],[Quantity]])*(1-OrderDetails[[#This Row],[Discount]])</f>
        <v>232.5</v>
      </c>
      <c r="I815" s="15" t="str">
        <f>_xlfn.XLOOKUP(OrderDetails[[#This Row],[ProductID]],Product!A:A,Product!G:G,"Not Found")</f>
        <v>Beverages</v>
      </c>
      <c r="J815" s="15" t="str">
        <f>LOOKUP(MONTH(G815),{1,4,7,10},{"Winter","Spring","Summer","Autumn"})</f>
        <v>Spring</v>
      </c>
      <c r="K815" s="15" t="str">
        <f>_xlfn.XLOOKUP(OrderDetails[[#This Row],[ProductID]],Product!A:A,Product!B:B,"Not Found")</f>
        <v>Rhönbräu Klosterbier</v>
      </c>
    </row>
    <row r="816" spans="1:11">
      <c r="A816" s="1">
        <v>10553</v>
      </c>
      <c r="B816" s="1">
        <v>11</v>
      </c>
      <c r="C816" s="1">
        <v>21</v>
      </c>
      <c r="D816" s="1">
        <v>15</v>
      </c>
      <c r="E816" s="3">
        <v>0</v>
      </c>
      <c r="F816" s="1" t="str">
        <f>_xlfn.XLOOKUP(A816,Orders!A:A,Orders!B:B,"not found")</f>
        <v>WARTH</v>
      </c>
      <c r="G816" s="13">
        <f>_xlfn.XLOOKUP(OrderDetails[[#This Row],[OrderID]],Orders!A:A,Orders!C:C,"Not Found")</f>
        <v>35580</v>
      </c>
      <c r="H816" s="16">
        <f>(OrderDetails[[#This Row],[UnitPrice]]*OrderDetails[[#This Row],[Quantity]])*(1-OrderDetails[[#This Row],[Discount]])</f>
        <v>315</v>
      </c>
      <c r="I816" s="15" t="str">
        <f>_xlfn.XLOOKUP(OrderDetails[[#This Row],[ProductID]],Product!A:A,Product!G:G,"Not Found")</f>
        <v>Dairy Products</v>
      </c>
      <c r="J816" s="15" t="str">
        <f>LOOKUP(MONTH(G816),{1,4,7,10},{"Winter","Spring","Summer","Autumn"})</f>
        <v>Spring</v>
      </c>
      <c r="K816" s="15" t="str">
        <f>_xlfn.XLOOKUP(OrderDetails[[#This Row],[ProductID]],Product!A:A,Product!B:B,"Not Found")</f>
        <v>Queso Cabrales</v>
      </c>
    </row>
    <row r="817" spans="1:11">
      <c r="A817" s="2">
        <v>10553</v>
      </c>
      <c r="B817" s="2">
        <v>16</v>
      </c>
      <c r="C817" s="2">
        <v>17.45</v>
      </c>
      <c r="D817" s="2">
        <v>14</v>
      </c>
      <c r="E817" s="4">
        <v>0</v>
      </c>
      <c r="F817" s="1" t="str">
        <f>_xlfn.XLOOKUP(A817,Orders!A:A,Orders!B:B,"not found")</f>
        <v>WARTH</v>
      </c>
      <c r="G817" s="13">
        <f>_xlfn.XLOOKUP(OrderDetails[[#This Row],[OrderID]],Orders!A:A,Orders!C:C,"Not Found")</f>
        <v>35580</v>
      </c>
      <c r="H817" s="16">
        <f>(OrderDetails[[#This Row],[UnitPrice]]*OrderDetails[[#This Row],[Quantity]])*(1-OrderDetails[[#This Row],[Discount]])</f>
        <v>244.29999999999998</v>
      </c>
      <c r="I817" s="15" t="str">
        <f>_xlfn.XLOOKUP(OrderDetails[[#This Row],[ProductID]],Product!A:A,Product!G:G,"Not Found")</f>
        <v>Confections</v>
      </c>
      <c r="J817" s="15" t="str">
        <f>LOOKUP(MONTH(G817),{1,4,7,10},{"Winter","Spring","Summer","Autumn"})</f>
        <v>Spring</v>
      </c>
      <c r="K817" s="15" t="str">
        <f>_xlfn.XLOOKUP(OrderDetails[[#This Row],[ProductID]],Product!A:A,Product!B:B,"Not Found")</f>
        <v>Pavlova</v>
      </c>
    </row>
    <row r="818" spans="1:11">
      <c r="A818" s="1">
        <v>10553</v>
      </c>
      <c r="B818" s="1">
        <v>22</v>
      </c>
      <c r="C818" s="1">
        <v>21</v>
      </c>
      <c r="D818" s="1">
        <v>24</v>
      </c>
      <c r="E818" s="3">
        <v>0</v>
      </c>
      <c r="F818" s="1" t="str">
        <f>_xlfn.XLOOKUP(A818,Orders!A:A,Orders!B:B,"not found")</f>
        <v>WARTH</v>
      </c>
      <c r="G818" s="13">
        <f>_xlfn.XLOOKUP(OrderDetails[[#This Row],[OrderID]],Orders!A:A,Orders!C:C,"Not Found")</f>
        <v>35580</v>
      </c>
      <c r="H818" s="16">
        <f>(OrderDetails[[#This Row],[UnitPrice]]*OrderDetails[[#This Row],[Quantity]])*(1-OrderDetails[[#This Row],[Discount]])</f>
        <v>504</v>
      </c>
      <c r="I818" s="15" t="str">
        <f>_xlfn.XLOOKUP(OrderDetails[[#This Row],[ProductID]],Product!A:A,Product!G:G,"Not Found")</f>
        <v>Grains/Cereals</v>
      </c>
      <c r="J818" s="15" t="str">
        <f>LOOKUP(MONTH(G818),{1,4,7,10},{"Winter","Spring","Summer","Autumn"})</f>
        <v>Spring</v>
      </c>
      <c r="K818" s="15" t="str">
        <f>_xlfn.XLOOKUP(OrderDetails[[#This Row],[ProductID]],Product!A:A,Product!B:B,"Not Found")</f>
        <v>Gustaf's Knäckebröd</v>
      </c>
    </row>
    <row r="819" spans="1:11">
      <c r="A819" s="2">
        <v>10553</v>
      </c>
      <c r="B819" s="2">
        <v>31</v>
      </c>
      <c r="C819" s="2">
        <v>12.5</v>
      </c>
      <c r="D819" s="2">
        <v>30</v>
      </c>
      <c r="E819" s="4">
        <v>0</v>
      </c>
      <c r="F819" s="1" t="str">
        <f>_xlfn.XLOOKUP(A819,Orders!A:A,Orders!B:B,"not found")</f>
        <v>WARTH</v>
      </c>
      <c r="G819" s="13">
        <f>_xlfn.XLOOKUP(OrderDetails[[#This Row],[OrderID]],Orders!A:A,Orders!C:C,"Not Found")</f>
        <v>35580</v>
      </c>
      <c r="H819" s="16">
        <f>(OrderDetails[[#This Row],[UnitPrice]]*OrderDetails[[#This Row],[Quantity]])*(1-OrderDetails[[#This Row],[Discount]])</f>
        <v>375</v>
      </c>
      <c r="I819" s="15" t="str">
        <f>_xlfn.XLOOKUP(OrderDetails[[#This Row],[ProductID]],Product!A:A,Product!G:G,"Not Found")</f>
        <v>Dairy Products</v>
      </c>
      <c r="J819" s="15" t="str">
        <f>LOOKUP(MONTH(G819),{1,4,7,10},{"Winter","Spring","Summer","Autumn"})</f>
        <v>Spring</v>
      </c>
      <c r="K819" s="15" t="str">
        <f>_xlfn.XLOOKUP(OrderDetails[[#This Row],[ProductID]],Product!A:A,Product!B:B,"Not Found")</f>
        <v>Gorgonzola Telino</v>
      </c>
    </row>
    <row r="820" spans="1:11">
      <c r="A820" s="1">
        <v>10553</v>
      </c>
      <c r="B820" s="1">
        <v>35</v>
      </c>
      <c r="C820" s="1">
        <v>18</v>
      </c>
      <c r="D820" s="1">
        <v>6</v>
      </c>
      <c r="E820" s="3">
        <v>0</v>
      </c>
      <c r="F820" s="1" t="str">
        <f>_xlfn.XLOOKUP(A820,Orders!A:A,Orders!B:B,"not found")</f>
        <v>WARTH</v>
      </c>
      <c r="G820" s="13">
        <f>_xlfn.XLOOKUP(OrderDetails[[#This Row],[OrderID]],Orders!A:A,Orders!C:C,"Not Found")</f>
        <v>35580</v>
      </c>
      <c r="H820" s="16">
        <f>(OrderDetails[[#This Row],[UnitPrice]]*OrderDetails[[#This Row],[Quantity]])*(1-OrderDetails[[#This Row],[Discount]])</f>
        <v>108</v>
      </c>
      <c r="I820" s="15" t="str">
        <f>_xlfn.XLOOKUP(OrderDetails[[#This Row],[ProductID]],Product!A:A,Product!G:G,"Not Found")</f>
        <v>Beverages</v>
      </c>
      <c r="J820" s="15" t="str">
        <f>LOOKUP(MONTH(G820),{1,4,7,10},{"Winter","Spring","Summer","Autumn"})</f>
        <v>Spring</v>
      </c>
      <c r="K820" s="15" t="str">
        <f>_xlfn.XLOOKUP(OrderDetails[[#This Row],[ProductID]],Product!A:A,Product!B:B,"Not Found")</f>
        <v>Steeleye Stout</v>
      </c>
    </row>
    <row r="821" spans="1:11">
      <c r="A821" s="2">
        <v>10554</v>
      </c>
      <c r="B821" s="2">
        <v>16</v>
      </c>
      <c r="C821" s="2">
        <v>17.45</v>
      </c>
      <c r="D821" s="2">
        <v>30</v>
      </c>
      <c r="E821" s="4">
        <v>5.000000074505806E-2</v>
      </c>
      <c r="F821" s="1" t="str">
        <f>_xlfn.XLOOKUP(A821,Orders!A:A,Orders!B:B,"not found")</f>
        <v>OTTIK</v>
      </c>
      <c r="G821" s="13">
        <f>_xlfn.XLOOKUP(OrderDetails[[#This Row],[OrderID]],Orders!A:A,Orders!C:C,"Not Found")</f>
        <v>35580</v>
      </c>
      <c r="H821" s="16">
        <f>(OrderDetails[[#This Row],[UnitPrice]]*OrderDetails[[#This Row],[Quantity]])*(1-OrderDetails[[#This Row],[Discount]])</f>
        <v>497.32499960996211</v>
      </c>
      <c r="I821" s="15" t="str">
        <f>_xlfn.XLOOKUP(OrderDetails[[#This Row],[ProductID]],Product!A:A,Product!G:G,"Not Found")</f>
        <v>Confections</v>
      </c>
      <c r="J821" s="15" t="str">
        <f>LOOKUP(MONTH(G821),{1,4,7,10},{"Winter","Spring","Summer","Autumn"})</f>
        <v>Spring</v>
      </c>
      <c r="K821" s="15" t="str">
        <f>_xlfn.XLOOKUP(OrderDetails[[#This Row],[ProductID]],Product!A:A,Product!B:B,"Not Found")</f>
        <v>Pavlova</v>
      </c>
    </row>
    <row r="822" spans="1:11">
      <c r="A822" s="1">
        <v>10554</v>
      </c>
      <c r="B822" s="1">
        <v>23</v>
      </c>
      <c r="C822" s="1">
        <v>9</v>
      </c>
      <c r="D822" s="1">
        <v>20</v>
      </c>
      <c r="E822" s="3">
        <v>5.000000074505806E-2</v>
      </c>
      <c r="F822" s="1" t="str">
        <f>_xlfn.XLOOKUP(A822,Orders!A:A,Orders!B:B,"not found")</f>
        <v>OTTIK</v>
      </c>
      <c r="G822" s="13">
        <f>_xlfn.XLOOKUP(OrderDetails[[#This Row],[OrderID]],Orders!A:A,Orders!C:C,"Not Found")</f>
        <v>35580</v>
      </c>
      <c r="H822" s="16">
        <f>(OrderDetails[[#This Row],[UnitPrice]]*OrderDetails[[#This Row],[Quantity]])*(1-OrderDetails[[#This Row],[Discount]])</f>
        <v>170.99999986588955</v>
      </c>
      <c r="I822" s="15" t="str">
        <f>_xlfn.XLOOKUP(OrderDetails[[#This Row],[ProductID]],Product!A:A,Product!G:G,"Not Found")</f>
        <v>Grains/Cereals</v>
      </c>
      <c r="J822" s="15" t="str">
        <f>LOOKUP(MONTH(G822),{1,4,7,10},{"Winter","Spring","Summer","Autumn"})</f>
        <v>Spring</v>
      </c>
      <c r="K822" s="15" t="str">
        <f>_xlfn.XLOOKUP(OrderDetails[[#This Row],[ProductID]],Product!A:A,Product!B:B,"Not Found")</f>
        <v>Tunnbröd</v>
      </c>
    </row>
    <row r="823" spans="1:11">
      <c r="A823" s="2">
        <v>10554</v>
      </c>
      <c r="B823" s="2">
        <v>62</v>
      </c>
      <c r="C823" s="2">
        <v>49.3</v>
      </c>
      <c r="D823" s="2">
        <v>20</v>
      </c>
      <c r="E823" s="4">
        <v>5.000000074505806E-2</v>
      </c>
      <c r="F823" s="1" t="str">
        <f>_xlfn.XLOOKUP(A823,Orders!A:A,Orders!B:B,"not found")</f>
        <v>OTTIK</v>
      </c>
      <c r="G823" s="13">
        <f>_xlfn.XLOOKUP(OrderDetails[[#This Row],[OrderID]],Orders!A:A,Orders!C:C,"Not Found")</f>
        <v>35580</v>
      </c>
      <c r="H823" s="16">
        <f>(OrderDetails[[#This Row],[UnitPrice]]*OrderDetails[[#This Row],[Quantity]])*(1-OrderDetails[[#This Row],[Discount]])</f>
        <v>936.69999926537275</v>
      </c>
      <c r="I823" s="15" t="str">
        <f>_xlfn.XLOOKUP(OrderDetails[[#This Row],[ProductID]],Product!A:A,Product!G:G,"Not Found")</f>
        <v>Confections</v>
      </c>
      <c r="J823" s="15" t="str">
        <f>LOOKUP(MONTH(G823),{1,4,7,10},{"Winter","Spring","Summer","Autumn"})</f>
        <v>Spring</v>
      </c>
      <c r="K823" s="15" t="str">
        <f>_xlfn.XLOOKUP(OrderDetails[[#This Row],[ProductID]],Product!A:A,Product!B:B,"Not Found")</f>
        <v>Tarte au sucre</v>
      </c>
    </row>
    <row r="824" spans="1:11">
      <c r="A824" s="1">
        <v>10554</v>
      </c>
      <c r="B824" s="1">
        <v>77</v>
      </c>
      <c r="C824" s="1">
        <v>13</v>
      </c>
      <c r="D824" s="1">
        <v>10</v>
      </c>
      <c r="E824" s="3">
        <v>5.000000074505806E-2</v>
      </c>
      <c r="F824" s="1" t="str">
        <f>_xlfn.XLOOKUP(A824,Orders!A:A,Orders!B:B,"not found")</f>
        <v>OTTIK</v>
      </c>
      <c r="G824" s="13">
        <f>_xlfn.XLOOKUP(OrderDetails[[#This Row],[OrderID]],Orders!A:A,Orders!C:C,"Not Found")</f>
        <v>35580</v>
      </c>
      <c r="H824" s="16">
        <f>(OrderDetails[[#This Row],[UnitPrice]]*OrderDetails[[#This Row],[Quantity]])*(1-OrderDetails[[#This Row],[Discount]])</f>
        <v>123.49999990314245</v>
      </c>
      <c r="I824" s="15" t="str">
        <f>_xlfn.XLOOKUP(OrderDetails[[#This Row],[ProductID]],Product!A:A,Product!G:G,"Not Found")</f>
        <v>Condiments</v>
      </c>
      <c r="J824" s="15" t="str">
        <f>LOOKUP(MONTH(G824),{1,4,7,10},{"Winter","Spring","Summer","Autumn"})</f>
        <v>Spring</v>
      </c>
      <c r="K824" s="15" t="str">
        <f>_xlfn.XLOOKUP(OrderDetails[[#This Row],[ProductID]],Product!A:A,Product!B:B,"Not Found")</f>
        <v>Original Frankfurter grüne Soße</v>
      </c>
    </row>
    <row r="825" spans="1:11">
      <c r="A825" s="2">
        <v>10555</v>
      </c>
      <c r="B825" s="2">
        <v>14</v>
      </c>
      <c r="C825" s="2">
        <v>23.25</v>
      </c>
      <c r="D825" s="2">
        <v>30</v>
      </c>
      <c r="E825" s="4">
        <v>0.20000000298023224</v>
      </c>
      <c r="F825" s="1" t="str">
        <f>_xlfn.XLOOKUP(A825,Orders!A:A,Orders!B:B,"not found")</f>
        <v>SAVEA</v>
      </c>
      <c r="G825" s="13">
        <f>_xlfn.XLOOKUP(OrderDetails[[#This Row],[OrderID]],Orders!A:A,Orders!C:C,"Not Found")</f>
        <v>35583</v>
      </c>
      <c r="H825" s="16">
        <f>(OrderDetails[[#This Row],[UnitPrice]]*OrderDetails[[#This Row],[Quantity]])*(1-OrderDetails[[#This Row],[Discount]])</f>
        <v>557.99999792128801</v>
      </c>
      <c r="I825" s="15" t="str">
        <f>_xlfn.XLOOKUP(OrderDetails[[#This Row],[ProductID]],Product!A:A,Product!G:G,"Not Found")</f>
        <v>Produce</v>
      </c>
      <c r="J825" s="15" t="str">
        <f>LOOKUP(MONTH(G825),{1,4,7,10},{"Winter","Spring","Summer","Autumn"})</f>
        <v>Spring</v>
      </c>
      <c r="K825" s="15" t="str">
        <f>_xlfn.XLOOKUP(OrderDetails[[#This Row],[ProductID]],Product!A:A,Product!B:B,"Not Found")</f>
        <v>Tofu</v>
      </c>
    </row>
    <row r="826" spans="1:11">
      <c r="A826" s="1">
        <v>10555</v>
      </c>
      <c r="B826" s="1">
        <v>19</v>
      </c>
      <c r="C826" s="1">
        <v>9.1999999999999993</v>
      </c>
      <c r="D826" s="1">
        <v>35</v>
      </c>
      <c r="E826" s="3">
        <v>0.20000000298023224</v>
      </c>
      <c r="F826" s="1" t="str">
        <f>_xlfn.XLOOKUP(A826,Orders!A:A,Orders!B:B,"not found")</f>
        <v>SAVEA</v>
      </c>
      <c r="G826" s="13">
        <f>_xlfn.XLOOKUP(OrderDetails[[#This Row],[OrderID]],Orders!A:A,Orders!C:C,"Not Found")</f>
        <v>35583</v>
      </c>
      <c r="H826" s="16">
        <f>(OrderDetails[[#This Row],[UnitPrice]]*OrderDetails[[#This Row],[Quantity]])*(1-OrderDetails[[#This Row],[Discount]])</f>
        <v>257.59999904036522</v>
      </c>
      <c r="I826" s="15" t="str">
        <f>_xlfn.XLOOKUP(OrderDetails[[#This Row],[ProductID]],Product!A:A,Product!G:G,"Not Found")</f>
        <v>Confections</v>
      </c>
      <c r="J826" s="15" t="str">
        <f>LOOKUP(MONTH(G826),{1,4,7,10},{"Winter","Spring","Summer","Autumn"})</f>
        <v>Spring</v>
      </c>
      <c r="K826" s="15" t="str">
        <f>_xlfn.XLOOKUP(OrderDetails[[#This Row],[ProductID]],Product!A:A,Product!B:B,"Not Found")</f>
        <v>Teatime Chocolate Biscuits</v>
      </c>
    </row>
    <row r="827" spans="1:11">
      <c r="A827" s="2">
        <v>10555</v>
      </c>
      <c r="B827" s="2">
        <v>24</v>
      </c>
      <c r="C827" s="2">
        <v>4.5</v>
      </c>
      <c r="D827" s="2">
        <v>18</v>
      </c>
      <c r="E827" s="4">
        <v>0.20000000298023224</v>
      </c>
      <c r="F827" s="1" t="str">
        <f>_xlfn.XLOOKUP(A827,Orders!A:A,Orders!B:B,"not found")</f>
        <v>SAVEA</v>
      </c>
      <c r="G827" s="13">
        <f>_xlfn.XLOOKUP(OrderDetails[[#This Row],[OrderID]],Orders!A:A,Orders!C:C,"Not Found")</f>
        <v>35583</v>
      </c>
      <c r="H827" s="16">
        <f>(OrderDetails[[#This Row],[UnitPrice]]*OrderDetails[[#This Row],[Quantity]])*(1-OrderDetails[[#This Row],[Discount]])</f>
        <v>64.799999758601189</v>
      </c>
      <c r="I827" s="15" t="str">
        <f>_xlfn.XLOOKUP(OrderDetails[[#This Row],[ProductID]],Product!A:A,Product!G:G,"Not Found")</f>
        <v>Beverages</v>
      </c>
      <c r="J827" s="15" t="str">
        <f>LOOKUP(MONTH(G827),{1,4,7,10},{"Winter","Spring","Summer","Autumn"})</f>
        <v>Spring</v>
      </c>
      <c r="K827" s="15" t="str">
        <f>_xlfn.XLOOKUP(OrderDetails[[#This Row],[ProductID]],Product!A:A,Product!B:B,"Not Found")</f>
        <v>Guaraná Fantástica</v>
      </c>
    </row>
    <row r="828" spans="1:11">
      <c r="A828" s="1">
        <v>10555</v>
      </c>
      <c r="B828" s="1">
        <v>51</v>
      </c>
      <c r="C828" s="1">
        <v>53</v>
      </c>
      <c r="D828" s="1">
        <v>20</v>
      </c>
      <c r="E828" s="3">
        <v>0.20000000298023224</v>
      </c>
      <c r="F828" s="1" t="str">
        <f>_xlfn.XLOOKUP(A828,Orders!A:A,Orders!B:B,"not found")</f>
        <v>SAVEA</v>
      </c>
      <c r="G828" s="13">
        <f>_xlfn.XLOOKUP(OrderDetails[[#This Row],[OrderID]],Orders!A:A,Orders!C:C,"Not Found")</f>
        <v>35583</v>
      </c>
      <c r="H828" s="16">
        <f>(OrderDetails[[#This Row],[UnitPrice]]*OrderDetails[[#This Row],[Quantity]])*(1-OrderDetails[[#This Row],[Discount]])</f>
        <v>847.99999684095383</v>
      </c>
      <c r="I828" s="15" t="str">
        <f>_xlfn.XLOOKUP(OrderDetails[[#This Row],[ProductID]],Product!A:A,Product!G:G,"Not Found")</f>
        <v>Produce</v>
      </c>
      <c r="J828" s="15" t="str">
        <f>LOOKUP(MONTH(G828),{1,4,7,10},{"Winter","Spring","Summer","Autumn"})</f>
        <v>Spring</v>
      </c>
      <c r="K828" s="15" t="str">
        <f>_xlfn.XLOOKUP(OrderDetails[[#This Row],[ProductID]],Product!A:A,Product!B:B,"Not Found")</f>
        <v>Manjimup Dried Apples</v>
      </c>
    </row>
    <row r="829" spans="1:11">
      <c r="A829" s="2">
        <v>10555</v>
      </c>
      <c r="B829" s="2">
        <v>56</v>
      </c>
      <c r="C829" s="2">
        <v>38</v>
      </c>
      <c r="D829" s="2">
        <v>40</v>
      </c>
      <c r="E829" s="4">
        <v>0.20000000298023224</v>
      </c>
      <c r="F829" s="1" t="str">
        <f>_xlfn.XLOOKUP(A829,Orders!A:A,Orders!B:B,"not found")</f>
        <v>SAVEA</v>
      </c>
      <c r="G829" s="13">
        <f>_xlfn.XLOOKUP(OrderDetails[[#This Row],[OrderID]],Orders!A:A,Orders!C:C,"Not Found")</f>
        <v>35583</v>
      </c>
      <c r="H829" s="16">
        <f>(OrderDetails[[#This Row],[UnitPrice]]*OrderDetails[[#This Row],[Quantity]])*(1-OrderDetails[[#This Row],[Discount]])</f>
        <v>1215.999995470047</v>
      </c>
      <c r="I829" s="15" t="str">
        <f>_xlfn.XLOOKUP(OrderDetails[[#This Row],[ProductID]],Product!A:A,Product!G:G,"Not Found")</f>
        <v>Grains/Cereals</v>
      </c>
      <c r="J829" s="15" t="str">
        <f>LOOKUP(MONTH(G829),{1,4,7,10},{"Winter","Spring","Summer","Autumn"})</f>
        <v>Spring</v>
      </c>
      <c r="K829" s="15" t="str">
        <f>_xlfn.XLOOKUP(OrderDetails[[#This Row],[ProductID]],Product!A:A,Product!B:B,"Not Found")</f>
        <v>Gnocchi di nonna Alice</v>
      </c>
    </row>
    <row r="830" spans="1:11">
      <c r="A830" s="1">
        <v>10556</v>
      </c>
      <c r="B830" s="1">
        <v>72</v>
      </c>
      <c r="C830" s="1">
        <v>34.799999999999997</v>
      </c>
      <c r="D830" s="1">
        <v>24</v>
      </c>
      <c r="E830" s="3">
        <v>0</v>
      </c>
      <c r="F830" s="1" t="str">
        <f>_xlfn.XLOOKUP(A830,Orders!A:A,Orders!B:B,"not found")</f>
        <v>SIMOB</v>
      </c>
      <c r="G830" s="13">
        <f>_xlfn.XLOOKUP(OrderDetails[[#This Row],[OrderID]],Orders!A:A,Orders!C:C,"Not Found")</f>
        <v>35584</v>
      </c>
      <c r="H830" s="16">
        <f>(OrderDetails[[#This Row],[UnitPrice]]*OrderDetails[[#This Row],[Quantity]])*(1-OrderDetails[[#This Row],[Discount]])</f>
        <v>835.19999999999993</v>
      </c>
      <c r="I830" s="15" t="str">
        <f>_xlfn.XLOOKUP(OrderDetails[[#This Row],[ProductID]],Product!A:A,Product!G:G,"Not Found")</f>
        <v>Dairy Products</v>
      </c>
      <c r="J830" s="15" t="str">
        <f>LOOKUP(MONTH(G830),{1,4,7,10},{"Winter","Spring","Summer","Autumn"})</f>
        <v>Spring</v>
      </c>
      <c r="K830" s="15" t="str">
        <f>_xlfn.XLOOKUP(OrderDetails[[#This Row],[ProductID]],Product!A:A,Product!B:B,"Not Found")</f>
        <v>Mozzarella di Giovanni</v>
      </c>
    </row>
    <row r="831" spans="1:11">
      <c r="A831" s="2">
        <v>10557</v>
      </c>
      <c r="B831" s="2">
        <v>64</v>
      </c>
      <c r="C831" s="2">
        <v>33.25</v>
      </c>
      <c r="D831" s="2">
        <v>30</v>
      </c>
      <c r="E831" s="4">
        <v>0</v>
      </c>
      <c r="F831" s="1" t="str">
        <f>_xlfn.XLOOKUP(A831,Orders!A:A,Orders!B:B,"not found")</f>
        <v>LEHMS</v>
      </c>
      <c r="G831" s="13">
        <f>_xlfn.XLOOKUP(OrderDetails[[#This Row],[OrderID]],Orders!A:A,Orders!C:C,"Not Found")</f>
        <v>35584</v>
      </c>
      <c r="H831" s="16">
        <f>(OrderDetails[[#This Row],[UnitPrice]]*OrderDetails[[#This Row],[Quantity]])*(1-OrderDetails[[#This Row],[Discount]])</f>
        <v>997.5</v>
      </c>
      <c r="I831" s="15" t="str">
        <f>_xlfn.XLOOKUP(OrderDetails[[#This Row],[ProductID]],Product!A:A,Product!G:G,"Not Found")</f>
        <v>Grains/Cereals</v>
      </c>
      <c r="J831" s="15" t="str">
        <f>LOOKUP(MONTH(G831),{1,4,7,10},{"Winter","Spring","Summer","Autumn"})</f>
        <v>Spring</v>
      </c>
      <c r="K831" s="15" t="str">
        <f>_xlfn.XLOOKUP(OrderDetails[[#This Row],[ProductID]],Product!A:A,Product!B:B,"Not Found")</f>
        <v>Wimmers gute Semmelknödel</v>
      </c>
    </row>
    <row r="832" spans="1:11">
      <c r="A832" s="1">
        <v>10557</v>
      </c>
      <c r="B832" s="1">
        <v>75</v>
      </c>
      <c r="C832" s="1">
        <v>7.75</v>
      </c>
      <c r="D832" s="1">
        <v>20</v>
      </c>
      <c r="E832" s="3">
        <v>0</v>
      </c>
      <c r="F832" s="1" t="str">
        <f>_xlfn.XLOOKUP(A832,Orders!A:A,Orders!B:B,"not found")</f>
        <v>LEHMS</v>
      </c>
      <c r="G832" s="13">
        <f>_xlfn.XLOOKUP(OrderDetails[[#This Row],[OrderID]],Orders!A:A,Orders!C:C,"Not Found")</f>
        <v>35584</v>
      </c>
      <c r="H832" s="16">
        <f>(OrderDetails[[#This Row],[UnitPrice]]*OrderDetails[[#This Row],[Quantity]])*(1-OrderDetails[[#This Row],[Discount]])</f>
        <v>155</v>
      </c>
      <c r="I832" s="15" t="str">
        <f>_xlfn.XLOOKUP(OrderDetails[[#This Row],[ProductID]],Product!A:A,Product!G:G,"Not Found")</f>
        <v>Beverages</v>
      </c>
      <c r="J832" s="15" t="str">
        <f>LOOKUP(MONTH(G832),{1,4,7,10},{"Winter","Spring","Summer","Autumn"})</f>
        <v>Spring</v>
      </c>
      <c r="K832" s="15" t="str">
        <f>_xlfn.XLOOKUP(OrderDetails[[#This Row],[ProductID]],Product!A:A,Product!B:B,"Not Found")</f>
        <v>Rhönbräu Klosterbier</v>
      </c>
    </row>
    <row r="833" spans="1:11">
      <c r="A833" s="2">
        <v>10558</v>
      </c>
      <c r="B833" s="2">
        <v>47</v>
      </c>
      <c r="C833" s="2">
        <v>9.5</v>
      </c>
      <c r="D833" s="2">
        <v>25</v>
      </c>
      <c r="E833" s="4">
        <v>0</v>
      </c>
      <c r="F833" s="1" t="str">
        <f>_xlfn.XLOOKUP(A833,Orders!A:A,Orders!B:B,"not found")</f>
        <v>AROUT</v>
      </c>
      <c r="G833" s="13">
        <f>_xlfn.XLOOKUP(OrderDetails[[#This Row],[OrderID]],Orders!A:A,Orders!C:C,"Not Found")</f>
        <v>35585</v>
      </c>
      <c r="H833" s="16">
        <f>(OrderDetails[[#This Row],[UnitPrice]]*OrderDetails[[#This Row],[Quantity]])*(1-OrderDetails[[#This Row],[Discount]])</f>
        <v>237.5</v>
      </c>
      <c r="I833" s="15" t="str">
        <f>_xlfn.XLOOKUP(OrderDetails[[#This Row],[ProductID]],Product!A:A,Product!G:G,"Not Found")</f>
        <v>Confections</v>
      </c>
      <c r="J833" s="15" t="str">
        <f>LOOKUP(MONTH(G833),{1,4,7,10},{"Winter","Spring","Summer","Autumn"})</f>
        <v>Spring</v>
      </c>
      <c r="K833" s="15" t="str">
        <f>_xlfn.XLOOKUP(OrderDetails[[#This Row],[ProductID]],Product!A:A,Product!B:B,"Not Found")</f>
        <v>Zaanse koeken</v>
      </c>
    </row>
    <row r="834" spans="1:11">
      <c r="A834" s="1">
        <v>10558</v>
      </c>
      <c r="B834" s="1">
        <v>51</v>
      </c>
      <c r="C834" s="1">
        <v>53</v>
      </c>
      <c r="D834" s="1">
        <v>20</v>
      </c>
      <c r="E834" s="3">
        <v>0</v>
      </c>
      <c r="F834" s="1" t="str">
        <f>_xlfn.XLOOKUP(A834,Orders!A:A,Orders!B:B,"not found")</f>
        <v>AROUT</v>
      </c>
      <c r="G834" s="13">
        <f>_xlfn.XLOOKUP(OrderDetails[[#This Row],[OrderID]],Orders!A:A,Orders!C:C,"Not Found")</f>
        <v>35585</v>
      </c>
      <c r="H834" s="16">
        <f>(OrderDetails[[#This Row],[UnitPrice]]*OrderDetails[[#This Row],[Quantity]])*(1-OrderDetails[[#This Row],[Discount]])</f>
        <v>1060</v>
      </c>
      <c r="I834" s="15" t="str">
        <f>_xlfn.XLOOKUP(OrderDetails[[#This Row],[ProductID]],Product!A:A,Product!G:G,"Not Found")</f>
        <v>Produce</v>
      </c>
      <c r="J834" s="15" t="str">
        <f>LOOKUP(MONTH(G834),{1,4,7,10},{"Winter","Spring","Summer","Autumn"})</f>
        <v>Spring</v>
      </c>
      <c r="K834" s="15" t="str">
        <f>_xlfn.XLOOKUP(OrderDetails[[#This Row],[ProductID]],Product!A:A,Product!B:B,"Not Found")</f>
        <v>Manjimup Dried Apples</v>
      </c>
    </row>
    <row r="835" spans="1:11">
      <c r="A835" s="2">
        <v>10558</v>
      </c>
      <c r="B835" s="2">
        <v>52</v>
      </c>
      <c r="C835" s="2">
        <v>7</v>
      </c>
      <c r="D835" s="2">
        <v>30</v>
      </c>
      <c r="E835" s="4">
        <v>0</v>
      </c>
      <c r="F835" s="1" t="str">
        <f>_xlfn.XLOOKUP(A835,Orders!A:A,Orders!B:B,"not found")</f>
        <v>AROUT</v>
      </c>
      <c r="G835" s="13">
        <f>_xlfn.XLOOKUP(OrderDetails[[#This Row],[OrderID]],Orders!A:A,Orders!C:C,"Not Found")</f>
        <v>35585</v>
      </c>
      <c r="H835" s="16">
        <f>(OrderDetails[[#This Row],[UnitPrice]]*OrderDetails[[#This Row],[Quantity]])*(1-OrderDetails[[#This Row],[Discount]])</f>
        <v>210</v>
      </c>
      <c r="I835" s="15" t="str">
        <f>_xlfn.XLOOKUP(OrderDetails[[#This Row],[ProductID]],Product!A:A,Product!G:G,"Not Found")</f>
        <v>Grains/Cereals</v>
      </c>
      <c r="J835" s="15" t="str">
        <f>LOOKUP(MONTH(G835),{1,4,7,10},{"Winter","Spring","Summer","Autumn"})</f>
        <v>Spring</v>
      </c>
      <c r="K835" s="15" t="str">
        <f>_xlfn.XLOOKUP(OrderDetails[[#This Row],[ProductID]],Product!A:A,Product!B:B,"Not Found")</f>
        <v>Filo Mix</v>
      </c>
    </row>
    <row r="836" spans="1:11">
      <c r="A836" s="1">
        <v>10558</v>
      </c>
      <c r="B836" s="1">
        <v>53</v>
      </c>
      <c r="C836" s="1">
        <v>32.799999999999997</v>
      </c>
      <c r="D836" s="1">
        <v>18</v>
      </c>
      <c r="E836" s="3">
        <v>0</v>
      </c>
      <c r="F836" s="1" t="str">
        <f>_xlfn.XLOOKUP(A836,Orders!A:A,Orders!B:B,"not found")</f>
        <v>AROUT</v>
      </c>
      <c r="G836" s="13">
        <f>_xlfn.XLOOKUP(OrderDetails[[#This Row],[OrderID]],Orders!A:A,Orders!C:C,"Not Found")</f>
        <v>35585</v>
      </c>
      <c r="H836" s="16">
        <f>(OrderDetails[[#This Row],[UnitPrice]]*OrderDetails[[#This Row],[Quantity]])*(1-OrderDetails[[#This Row],[Discount]])</f>
        <v>590.4</v>
      </c>
      <c r="I836" s="15" t="str">
        <f>_xlfn.XLOOKUP(OrderDetails[[#This Row],[ProductID]],Product!A:A,Product!G:G,"Not Found")</f>
        <v>Meat/Poultry</v>
      </c>
      <c r="J836" s="15" t="str">
        <f>LOOKUP(MONTH(G836),{1,4,7,10},{"Winter","Spring","Summer","Autumn"})</f>
        <v>Spring</v>
      </c>
      <c r="K836" s="15" t="str">
        <f>_xlfn.XLOOKUP(OrderDetails[[#This Row],[ProductID]],Product!A:A,Product!B:B,"Not Found")</f>
        <v>Perth Pasties</v>
      </c>
    </row>
    <row r="837" spans="1:11">
      <c r="A837" s="2">
        <v>10558</v>
      </c>
      <c r="B837" s="2">
        <v>73</v>
      </c>
      <c r="C837" s="2">
        <v>15</v>
      </c>
      <c r="D837" s="2">
        <v>3</v>
      </c>
      <c r="E837" s="4">
        <v>0</v>
      </c>
      <c r="F837" s="1" t="str">
        <f>_xlfn.XLOOKUP(A837,Orders!A:A,Orders!B:B,"not found")</f>
        <v>AROUT</v>
      </c>
      <c r="G837" s="13">
        <f>_xlfn.XLOOKUP(OrderDetails[[#This Row],[OrderID]],Orders!A:A,Orders!C:C,"Not Found")</f>
        <v>35585</v>
      </c>
      <c r="H837" s="16">
        <f>(OrderDetails[[#This Row],[UnitPrice]]*OrderDetails[[#This Row],[Quantity]])*(1-OrderDetails[[#This Row],[Discount]])</f>
        <v>45</v>
      </c>
      <c r="I837" s="15" t="str">
        <f>_xlfn.XLOOKUP(OrderDetails[[#This Row],[ProductID]],Product!A:A,Product!G:G,"Not Found")</f>
        <v>Seafood</v>
      </c>
      <c r="J837" s="15" t="str">
        <f>LOOKUP(MONTH(G837),{1,4,7,10},{"Winter","Spring","Summer","Autumn"})</f>
        <v>Spring</v>
      </c>
      <c r="K837" s="15" t="str">
        <f>_xlfn.XLOOKUP(OrderDetails[[#This Row],[ProductID]],Product!A:A,Product!B:B,"Not Found")</f>
        <v>Röd Kaviar</v>
      </c>
    </row>
    <row r="838" spans="1:11">
      <c r="A838" s="1">
        <v>10559</v>
      </c>
      <c r="B838" s="1">
        <v>41</v>
      </c>
      <c r="C838" s="1">
        <v>9.65</v>
      </c>
      <c r="D838" s="1">
        <v>12</v>
      </c>
      <c r="E838" s="3">
        <v>5.000000074505806E-2</v>
      </c>
      <c r="F838" s="1" t="str">
        <f>_xlfn.XLOOKUP(A838,Orders!A:A,Orders!B:B,"not found")</f>
        <v>BLONP</v>
      </c>
      <c r="G838" s="13">
        <f>_xlfn.XLOOKUP(OrderDetails[[#This Row],[OrderID]],Orders!A:A,Orders!C:C,"Not Found")</f>
        <v>35586</v>
      </c>
      <c r="H838" s="16">
        <f>(OrderDetails[[#This Row],[UnitPrice]]*OrderDetails[[#This Row],[Quantity]])*(1-OrderDetails[[#This Row],[Discount]])</f>
        <v>110.00999991372228</v>
      </c>
      <c r="I838" s="15" t="str">
        <f>_xlfn.XLOOKUP(OrderDetails[[#This Row],[ProductID]],Product!A:A,Product!G:G,"Not Found")</f>
        <v>Seafood</v>
      </c>
      <c r="J838" s="15" t="str">
        <f>LOOKUP(MONTH(G838),{1,4,7,10},{"Winter","Spring","Summer","Autumn"})</f>
        <v>Spring</v>
      </c>
      <c r="K838" s="15" t="str">
        <f>_xlfn.XLOOKUP(OrderDetails[[#This Row],[ProductID]],Product!A:A,Product!B:B,"Not Found")</f>
        <v>Jack's New England Clam Chowder</v>
      </c>
    </row>
    <row r="839" spans="1:11">
      <c r="A839" s="2">
        <v>10559</v>
      </c>
      <c r="B839" s="2">
        <v>55</v>
      </c>
      <c r="C839" s="2">
        <v>24</v>
      </c>
      <c r="D839" s="2">
        <v>18</v>
      </c>
      <c r="E839" s="4">
        <v>5.000000074505806E-2</v>
      </c>
      <c r="F839" s="1" t="str">
        <f>_xlfn.XLOOKUP(A839,Orders!A:A,Orders!B:B,"not found")</f>
        <v>BLONP</v>
      </c>
      <c r="G839" s="13">
        <f>_xlfn.XLOOKUP(OrderDetails[[#This Row],[OrderID]],Orders!A:A,Orders!C:C,"Not Found")</f>
        <v>35586</v>
      </c>
      <c r="H839" s="16">
        <f>(OrderDetails[[#This Row],[UnitPrice]]*OrderDetails[[#This Row],[Quantity]])*(1-OrderDetails[[#This Row],[Discount]])</f>
        <v>410.39999967813492</v>
      </c>
      <c r="I839" s="15" t="str">
        <f>_xlfn.XLOOKUP(OrderDetails[[#This Row],[ProductID]],Product!A:A,Product!G:G,"Not Found")</f>
        <v>Meat/Poultry</v>
      </c>
      <c r="J839" s="15" t="str">
        <f>LOOKUP(MONTH(G839),{1,4,7,10},{"Winter","Spring","Summer","Autumn"})</f>
        <v>Spring</v>
      </c>
      <c r="K839" s="15" t="str">
        <f>_xlfn.XLOOKUP(OrderDetails[[#This Row],[ProductID]],Product!A:A,Product!B:B,"Not Found")</f>
        <v>Pâté chinois</v>
      </c>
    </row>
    <row r="840" spans="1:11">
      <c r="A840" s="1">
        <v>10560</v>
      </c>
      <c r="B840" s="1">
        <v>30</v>
      </c>
      <c r="C840" s="1">
        <v>25.89</v>
      </c>
      <c r="D840" s="1">
        <v>20</v>
      </c>
      <c r="E840" s="3">
        <v>0</v>
      </c>
      <c r="F840" s="1" t="str">
        <f>_xlfn.XLOOKUP(A840,Orders!A:A,Orders!B:B,"not found")</f>
        <v>FRANK</v>
      </c>
      <c r="G840" s="13">
        <f>_xlfn.XLOOKUP(OrderDetails[[#This Row],[OrderID]],Orders!A:A,Orders!C:C,"Not Found")</f>
        <v>35587</v>
      </c>
      <c r="H840" s="16">
        <f>(OrderDetails[[#This Row],[UnitPrice]]*OrderDetails[[#This Row],[Quantity]])*(1-OrderDetails[[#This Row],[Discount]])</f>
        <v>517.79999999999995</v>
      </c>
      <c r="I840" s="15" t="str">
        <f>_xlfn.XLOOKUP(OrderDetails[[#This Row],[ProductID]],Product!A:A,Product!G:G,"Not Found")</f>
        <v>Seafood</v>
      </c>
      <c r="J840" s="15" t="str">
        <f>LOOKUP(MONTH(G840),{1,4,7,10},{"Winter","Spring","Summer","Autumn"})</f>
        <v>Spring</v>
      </c>
      <c r="K840" s="15" t="str">
        <f>_xlfn.XLOOKUP(OrderDetails[[#This Row],[ProductID]],Product!A:A,Product!B:B,"Not Found")</f>
        <v>Nord-Ost Matjeshering</v>
      </c>
    </row>
    <row r="841" spans="1:11">
      <c r="A841" s="2">
        <v>10560</v>
      </c>
      <c r="B841" s="2">
        <v>62</v>
      </c>
      <c r="C841" s="2">
        <v>49.3</v>
      </c>
      <c r="D841" s="2">
        <v>15</v>
      </c>
      <c r="E841" s="4">
        <v>0.25</v>
      </c>
      <c r="F841" s="1" t="str">
        <f>_xlfn.XLOOKUP(A841,Orders!A:A,Orders!B:B,"not found")</f>
        <v>FRANK</v>
      </c>
      <c r="G841" s="13">
        <f>_xlfn.XLOOKUP(OrderDetails[[#This Row],[OrderID]],Orders!A:A,Orders!C:C,"Not Found")</f>
        <v>35587</v>
      </c>
      <c r="H841" s="16">
        <f>(OrderDetails[[#This Row],[UnitPrice]]*OrderDetails[[#This Row],[Quantity]])*(1-OrderDetails[[#This Row],[Discount]])</f>
        <v>554.625</v>
      </c>
      <c r="I841" s="15" t="str">
        <f>_xlfn.XLOOKUP(OrderDetails[[#This Row],[ProductID]],Product!A:A,Product!G:G,"Not Found")</f>
        <v>Confections</v>
      </c>
      <c r="J841" s="15" t="str">
        <f>LOOKUP(MONTH(G841),{1,4,7,10},{"Winter","Spring","Summer","Autumn"})</f>
        <v>Spring</v>
      </c>
      <c r="K841" s="15" t="str">
        <f>_xlfn.XLOOKUP(OrderDetails[[#This Row],[ProductID]],Product!A:A,Product!B:B,"Not Found")</f>
        <v>Tarte au sucre</v>
      </c>
    </row>
    <row r="842" spans="1:11">
      <c r="A842" s="1">
        <v>10561</v>
      </c>
      <c r="B842" s="1">
        <v>44</v>
      </c>
      <c r="C842" s="1">
        <v>19.45</v>
      </c>
      <c r="D842" s="1">
        <v>10</v>
      </c>
      <c r="E842" s="3">
        <v>0</v>
      </c>
      <c r="F842" s="1" t="str">
        <f>_xlfn.XLOOKUP(A842,Orders!A:A,Orders!B:B,"not found")</f>
        <v>FOLKO</v>
      </c>
      <c r="G842" s="13">
        <f>_xlfn.XLOOKUP(OrderDetails[[#This Row],[OrderID]],Orders!A:A,Orders!C:C,"Not Found")</f>
        <v>35587</v>
      </c>
      <c r="H842" s="16">
        <f>(OrderDetails[[#This Row],[UnitPrice]]*OrderDetails[[#This Row],[Quantity]])*(1-OrderDetails[[#This Row],[Discount]])</f>
        <v>194.5</v>
      </c>
      <c r="I842" s="15" t="str">
        <f>_xlfn.XLOOKUP(OrderDetails[[#This Row],[ProductID]],Product!A:A,Product!G:G,"Not Found")</f>
        <v>Condiments</v>
      </c>
      <c r="J842" s="15" t="str">
        <f>LOOKUP(MONTH(G842),{1,4,7,10},{"Winter","Spring","Summer","Autumn"})</f>
        <v>Spring</v>
      </c>
      <c r="K842" s="15" t="str">
        <f>_xlfn.XLOOKUP(OrderDetails[[#This Row],[ProductID]],Product!A:A,Product!B:B,"Not Found")</f>
        <v>Gula Malacca</v>
      </c>
    </row>
    <row r="843" spans="1:11">
      <c r="A843" s="2">
        <v>10561</v>
      </c>
      <c r="B843" s="2">
        <v>51</v>
      </c>
      <c r="C843" s="2">
        <v>53</v>
      </c>
      <c r="D843" s="2">
        <v>50</v>
      </c>
      <c r="E843" s="4">
        <v>0</v>
      </c>
      <c r="F843" s="1" t="str">
        <f>_xlfn.XLOOKUP(A843,Orders!A:A,Orders!B:B,"not found")</f>
        <v>FOLKO</v>
      </c>
      <c r="G843" s="13">
        <f>_xlfn.XLOOKUP(OrderDetails[[#This Row],[OrderID]],Orders!A:A,Orders!C:C,"Not Found")</f>
        <v>35587</v>
      </c>
      <c r="H843" s="16">
        <f>(OrderDetails[[#This Row],[UnitPrice]]*OrderDetails[[#This Row],[Quantity]])*(1-OrderDetails[[#This Row],[Discount]])</f>
        <v>2650</v>
      </c>
      <c r="I843" s="15" t="str">
        <f>_xlfn.XLOOKUP(OrderDetails[[#This Row],[ProductID]],Product!A:A,Product!G:G,"Not Found")</f>
        <v>Produce</v>
      </c>
      <c r="J843" s="15" t="str">
        <f>LOOKUP(MONTH(G843),{1,4,7,10},{"Winter","Spring","Summer","Autumn"})</f>
        <v>Spring</v>
      </c>
      <c r="K843" s="15" t="str">
        <f>_xlfn.XLOOKUP(OrderDetails[[#This Row],[ProductID]],Product!A:A,Product!B:B,"Not Found")</f>
        <v>Manjimup Dried Apples</v>
      </c>
    </row>
    <row r="844" spans="1:11">
      <c r="A844" s="1">
        <v>10562</v>
      </c>
      <c r="B844" s="1">
        <v>33</v>
      </c>
      <c r="C844" s="1">
        <v>2.5</v>
      </c>
      <c r="D844" s="1">
        <v>20</v>
      </c>
      <c r="E844" s="3">
        <v>0.10000000149011612</v>
      </c>
      <c r="F844" s="1" t="str">
        <f>_xlfn.XLOOKUP(A844,Orders!A:A,Orders!B:B,"not found")</f>
        <v>REGGC</v>
      </c>
      <c r="G844" s="13">
        <f>_xlfn.XLOOKUP(OrderDetails[[#This Row],[OrderID]],Orders!A:A,Orders!C:C,"Not Found")</f>
        <v>35590</v>
      </c>
      <c r="H844" s="16">
        <f>(OrderDetails[[#This Row],[UnitPrice]]*OrderDetails[[#This Row],[Quantity]])*(1-OrderDetails[[#This Row],[Discount]])</f>
        <v>44.999999925494194</v>
      </c>
      <c r="I844" s="15" t="str">
        <f>_xlfn.XLOOKUP(OrderDetails[[#This Row],[ProductID]],Product!A:A,Product!G:G,"Not Found")</f>
        <v>Dairy Products</v>
      </c>
      <c r="J844" s="15" t="str">
        <f>LOOKUP(MONTH(G844),{1,4,7,10},{"Winter","Spring","Summer","Autumn"})</f>
        <v>Spring</v>
      </c>
      <c r="K844" s="15" t="str">
        <f>_xlfn.XLOOKUP(OrderDetails[[#This Row],[ProductID]],Product!A:A,Product!B:B,"Not Found")</f>
        <v>Geitost</v>
      </c>
    </row>
    <row r="845" spans="1:11">
      <c r="A845" s="2">
        <v>10562</v>
      </c>
      <c r="B845" s="2">
        <v>62</v>
      </c>
      <c r="C845" s="2">
        <v>49.3</v>
      </c>
      <c r="D845" s="2">
        <v>10</v>
      </c>
      <c r="E845" s="4">
        <v>0.10000000149011612</v>
      </c>
      <c r="F845" s="1" t="str">
        <f>_xlfn.XLOOKUP(A845,Orders!A:A,Orders!B:B,"not found")</f>
        <v>REGGC</v>
      </c>
      <c r="G845" s="13">
        <f>_xlfn.XLOOKUP(OrderDetails[[#This Row],[OrderID]],Orders!A:A,Orders!C:C,"Not Found")</f>
        <v>35590</v>
      </c>
      <c r="H845" s="16">
        <f>(OrderDetails[[#This Row],[UnitPrice]]*OrderDetails[[#This Row],[Quantity]])*(1-OrderDetails[[#This Row],[Discount]])</f>
        <v>443.69999926537275</v>
      </c>
      <c r="I845" s="15" t="str">
        <f>_xlfn.XLOOKUP(OrderDetails[[#This Row],[ProductID]],Product!A:A,Product!G:G,"Not Found")</f>
        <v>Confections</v>
      </c>
      <c r="J845" s="15" t="str">
        <f>LOOKUP(MONTH(G845),{1,4,7,10},{"Winter","Spring","Summer","Autumn"})</f>
        <v>Spring</v>
      </c>
      <c r="K845" s="15" t="str">
        <f>_xlfn.XLOOKUP(OrderDetails[[#This Row],[ProductID]],Product!A:A,Product!B:B,"Not Found")</f>
        <v>Tarte au sucre</v>
      </c>
    </row>
    <row r="846" spans="1:11">
      <c r="A846" s="1">
        <v>10563</v>
      </c>
      <c r="B846" s="1">
        <v>36</v>
      </c>
      <c r="C846" s="1">
        <v>19</v>
      </c>
      <c r="D846" s="1">
        <v>25</v>
      </c>
      <c r="E846" s="3">
        <v>0</v>
      </c>
      <c r="F846" s="1" t="str">
        <f>_xlfn.XLOOKUP(A846,Orders!A:A,Orders!B:B,"not found")</f>
        <v>RICAR</v>
      </c>
      <c r="G846" s="13">
        <f>_xlfn.XLOOKUP(OrderDetails[[#This Row],[OrderID]],Orders!A:A,Orders!C:C,"Not Found")</f>
        <v>35591</v>
      </c>
      <c r="H846" s="16">
        <f>(OrderDetails[[#This Row],[UnitPrice]]*OrderDetails[[#This Row],[Quantity]])*(1-OrderDetails[[#This Row],[Discount]])</f>
        <v>475</v>
      </c>
      <c r="I846" s="15" t="str">
        <f>_xlfn.XLOOKUP(OrderDetails[[#This Row],[ProductID]],Product!A:A,Product!G:G,"Not Found")</f>
        <v>Seafood</v>
      </c>
      <c r="J846" s="15" t="str">
        <f>LOOKUP(MONTH(G846),{1,4,7,10},{"Winter","Spring","Summer","Autumn"})</f>
        <v>Spring</v>
      </c>
      <c r="K846" s="15" t="str">
        <f>_xlfn.XLOOKUP(OrderDetails[[#This Row],[ProductID]],Product!A:A,Product!B:B,"Not Found")</f>
        <v>Inlagd Sill</v>
      </c>
    </row>
    <row r="847" spans="1:11">
      <c r="A847" s="2">
        <v>10563</v>
      </c>
      <c r="B847" s="2">
        <v>52</v>
      </c>
      <c r="C847" s="2">
        <v>7</v>
      </c>
      <c r="D847" s="2">
        <v>70</v>
      </c>
      <c r="E847" s="4">
        <v>0</v>
      </c>
      <c r="F847" s="1" t="str">
        <f>_xlfn.XLOOKUP(A847,Orders!A:A,Orders!B:B,"not found")</f>
        <v>RICAR</v>
      </c>
      <c r="G847" s="13">
        <f>_xlfn.XLOOKUP(OrderDetails[[#This Row],[OrderID]],Orders!A:A,Orders!C:C,"Not Found")</f>
        <v>35591</v>
      </c>
      <c r="H847" s="16">
        <f>(OrderDetails[[#This Row],[UnitPrice]]*OrderDetails[[#This Row],[Quantity]])*(1-OrderDetails[[#This Row],[Discount]])</f>
        <v>490</v>
      </c>
      <c r="I847" s="15" t="str">
        <f>_xlfn.XLOOKUP(OrderDetails[[#This Row],[ProductID]],Product!A:A,Product!G:G,"Not Found")</f>
        <v>Grains/Cereals</v>
      </c>
      <c r="J847" s="15" t="str">
        <f>LOOKUP(MONTH(G847),{1,4,7,10},{"Winter","Spring","Summer","Autumn"})</f>
        <v>Spring</v>
      </c>
      <c r="K847" s="15" t="str">
        <f>_xlfn.XLOOKUP(OrderDetails[[#This Row],[ProductID]],Product!A:A,Product!B:B,"Not Found")</f>
        <v>Filo Mix</v>
      </c>
    </row>
    <row r="848" spans="1:11">
      <c r="A848" s="1">
        <v>10564</v>
      </c>
      <c r="B848" s="1">
        <v>17</v>
      </c>
      <c r="C848" s="1">
        <v>39</v>
      </c>
      <c r="D848" s="1">
        <v>16</v>
      </c>
      <c r="E848" s="3">
        <v>5.000000074505806E-2</v>
      </c>
      <c r="F848" s="1" t="str">
        <f>_xlfn.XLOOKUP(A848,Orders!A:A,Orders!B:B,"not found")</f>
        <v>RATTC</v>
      </c>
      <c r="G848" s="13">
        <f>_xlfn.XLOOKUP(OrderDetails[[#This Row],[OrderID]],Orders!A:A,Orders!C:C,"Not Found")</f>
        <v>35591</v>
      </c>
      <c r="H848" s="16">
        <f>(OrderDetails[[#This Row],[UnitPrice]]*OrderDetails[[#This Row],[Quantity]])*(1-OrderDetails[[#This Row],[Discount]])</f>
        <v>592.79999953508377</v>
      </c>
      <c r="I848" s="15" t="str">
        <f>_xlfn.XLOOKUP(OrderDetails[[#This Row],[ProductID]],Product!A:A,Product!G:G,"Not Found")</f>
        <v>Meat/Poultry</v>
      </c>
      <c r="J848" s="15" t="str">
        <f>LOOKUP(MONTH(G848),{1,4,7,10},{"Winter","Spring","Summer","Autumn"})</f>
        <v>Spring</v>
      </c>
      <c r="K848" s="15" t="str">
        <f>_xlfn.XLOOKUP(OrderDetails[[#This Row],[ProductID]],Product!A:A,Product!B:B,"Not Found")</f>
        <v>Alice Mutton</v>
      </c>
    </row>
    <row r="849" spans="1:11">
      <c r="A849" s="2">
        <v>10564</v>
      </c>
      <c r="B849" s="2">
        <v>31</v>
      </c>
      <c r="C849" s="2">
        <v>12.5</v>
      </c>
      <c r="D849" s="2">
        <v>6</v>
      </c>
      <c r="E849" s="4">
        <v>5.000000074505806E-2</v>
      </c>
      <c r="F849" s="1" t="str">
        <f>_xlfn.XLOOKUP(A849,Orders!A:A,Orders!B:B,"not found")</f>
        <v>RATTC</v>
      </c>
      <c r="G849" s="13">
        <f>_xlfn.XLOOKUP(OrderDetails[[#This Row],[OrderID]],Orders!A:A,Orders!C:C,"Not Found")</f>
        <v>35591</v>
      </c>
      <c r="H849" s="16">
        <f>(OrderDetails[[#This Row],[UnitPrice]]*OrderDetails[[#This Row],[Quantity]])*(1-OrderDetails[[#This Row],[Discount]])</f>
        <v>71.249999944120646</v>
      </c>
      <c r="I849" s="15" t="str">
        <f>_xlfn.XLOOKUP(OrderDetails[[#This Row],[ProductID]],Product!A:A,Product!G:G,"Not Found")</f>
        <v>Dairy Products</v>
      </c>
      <c r="J849" s="15" t="str">
        <f>LOOKUP(MONTH(G849),{1,4,7,10},{"Winter","Spring","Summer","Autumn"})</f>
        <v>Spring</v>
      </c>
      <c r="K849" s="15" t="str">
        <f>_xlfn.XLOOKUP(OrderDetails[[#This Row],[ProductID]],Product!A:A,Product!B:B,"Not Found")</f>
        <v>Gorgonzola Telino</v>
      </c>
    </row>
    <row r="850" spans="1:11">
      <c r="A850" s="1">
        <v>10564</v>
      </c>
      <c r="B850" s="1">
        <v>55</v>
      </c>
      <c r="C850" s="1">
        <v>24</v>
      </c>
      <c r="D850" s="1">
        <v>25</v>
      </c>
      <c r="E850" s="3">
        <v>5.000000074505806E-2</v>
      </c>
      <c r="F850" s="1" t="str">
        <f>_xlfn.XLOOKUP(A850,Orders!A:A,Orders!B:B,"not found")</f>
        <v>RATTC</v>
      </c>
      <c r="G850" s="13">
        <f>_xlfn.XLOOKUP(OrderDetails[[#This Row],[OrderID]],Orders!A:A,Orders!C:C,"Not Found")</f>
        <v>35591</v>
      </c>
      <c r="H850" s="16">
        <f>(OrderDetails[[#This Row],[UnitPrice]]*OrderDetails[[#This Row],[Quantity]])*(1-OrderDetails[[#This Row],[Discount]])</f>
        <v>569.99999955296516</v>
      </c>
      <c r="I850" s="15" t="str">
        <f>_xlfn.XLOOKUP(OrderDetails[[#This Row],[ProductID]],Product!A:A,Product!G:G,"Not Found")</f>
        <v>Meat/Poultry</v>
      </c>
      <c r="J850" s="15" t="str">
        <f>LOOKUP(MONTH(G850),{1,4,7,10},{"Winter","Spring","Summer","Autumn"})</f>
        <v>Spring</v>
      </c>
      <c r="K850" s="15" t="str">
        <f>_xlfn.XLOOKUP(OrderDetails[[#This Row],[ProductID]],Product!A:A,Product!B:B,"Not Found")</f>
        <v>Pâté chinois</v>
      </c>
    </row>
    <row r="851" spans="1:11">
      <c r="A851" s="2">
        <v>10565</v>
      </c>
      <c r="B851" s="2">
        <v>24</v>
      </c>
      <c r="C851" s="2">
        <v>4.5</v>
      </c>
      <c r="D851" s="2">
        <v>25</v>
      </c>
      <c r="E851" s="4">
        <v>0.10000000149011612</v>
      </c>
      <c r="F851" s="1" t="str">
        <f>_xlfn.XLOOKUP(A851,Orders!A:A,Orders!B:B,"not found")</f>
        <v>MEREP</v>
      </c>
      <c r="G851" s="13">
        <f>_xlfn.XLOOKUP(OrderDetails[[#This Row],[OrderID]],Orders!A:A,Orders!C:C,"Not Found")</f>
        <v>35592</v>
      </c>
      <c r="H851" s="16">
        <f>(OrderDetails[[#This Row],[UnitPrice]]*OrderDetails[[#This Row],[Quantity]])*(1-OrderDetails[[#This Row],[Discount]])</f>
        <v>101.24999983236194</v>
      </c>
      <c r="I851" s="15" t="str">
        <f>_xlfn.XLOOKUP(OrderDetails[[#This Row],[ProductID]],Product!A:A,Product!G:G,"Not Found")</f>
        <v>Beverages</v>
      </c>
      <c r="J851" s="15" t="str">
        <f>LOOKUP(MONTH(G851),{1,4,7,10},{"Winter","Spring","Summer","Autumn"})</f>
        <v>Spring</v>
      </c>
      <c r="K851" s="15" t="str">
        <f>_xlfn.XLOOKUP(OrderDetails[[#This Row],[ProductID]],Product!A:A,Product!B:B,"Not Found")</f>
        <v>Guaraná Fantástica</v>
      </c>
    </row>
    <row r="852" spans="1:11">
      <c r="A852" s="1">
        <v>10565</v>
      </c>
      <c r="B852" s="1">
        <v>64</v>
      </c>
      <c r="C852" s="1">
        <v>33.25</v>
      </c>
      <c r="D852" s="1">
        <v>18</v>
      </c>
      <c r="E852" s="3">
        <v>0.10000000149011612</v>
      </c>
      <c r="F852" s="1" t="str">
        <f>_xlfn.XLOOKUP(A852,Orders!A:A,Orders!B:B,"not found")</f>
        <v>MEREP</v>
      </c>
      <c r="G852" s="13">
        <f>_xlfn.XLOOKUP(OrderDetails[[#This Row],[OrderID]],Orders!A:A,Orders!C:C,"Not Found")</f>
        <v>35592</v>
      </c>
      <c r="H852" s="16">
        <f>(OrderDetails[[#This Row],[UnitPrice]]*OrderDetails[[#This Row],[Quantity]])*(1-OrderDetails[[#This Row],[Discount]])</f>
        <v>538.6499991081655</v>
      </c>
      <c r="I852" s="15" t="str">
        <f>_xlfn.XLOOKUP(OrderDetails[[#This Row],[ProductID]],Product!A:A,Product!G:G,"Not Found")</f>
        <v>Grains/Cereals</v>
      </c>
      <c r="J852" s="15" t="str">
        <f>LOOKUP(MONTH(G852),{1,4,7,10},{"Winter","Spring","Summer","Autumn"})</f>
        <v>Spring</v>
      </c>
      <c r="K852" s="15" t="str">
        <f>_xlfn.XLOOKUP(OrderDetails[[#This Row],[ProductID]],Product!A:A,Product!B:B,"Not Found")</f>
        <v>Wimmers gute Semmelknödel</v>
      </c>
    </row>
    <row r="853" spans="1:11">
      <c r="A853" s="2">
        <v>10566</v>
      </c>
      <c r="B853" s="2">
        <v>11</v>
      </c>
      <c r="C853" s="2">
        <v>21</v>
      </c>
      <c r="D853" s="2">
        <v>35</v>
      </c>
      <c r="E853" s="4">
        <v>0.15000000596046448</v>
      </c>
      <c r="F853" s="1" t="str">
        <f>_xlfn.XLOOKUP(A853,Orders!A:A,Orders!B:B,"not found")</f>
        <v>BLONP</v>
      </c>
      <c r="G853" s="13">
        <f>_xlfn.XLOOKUP(OrderDetails[[#This Row],[OrderID]],Orders!A:A,Orders!C:C,"Not Found")</f>
        <v>35593</v>
      </c>
      <c r="H853" s="16">
        <f>(OrderDetails[[#This Row],[UnitPrice]]*OrderDetails[[#This Row],[Quantity]])*(1-OrderDetails[[#This Row],[Discount]])</f>
        <v>624.74999561905861</v>
      </c>
      <c r="I853" s="15" t="str">
        <f>_xlfn.XLOOKUP(OrderDetails[[#This Row],[ProductID]],Product!A:A,Product!G:G,"Not Found")</f>
        <v>Dairy Products</v>
      </c>
      <c r="J853" s="15" t="str">
        <f>LOOKUP(MONTH(G853),{1,4,7,10},{"Winter","Spring","Summer","Autumn"})</f>
        <v>Spring</v>
      </c>
      <c r="K853" s="15" t="str">
        <f>_xlfn.XLOOKUP(OrderDetails[[#This Row],[ProductID]],Product!A:A,Product!B:B,"Not Found")</f>
        <v>Queso Cabrales</v>
      </c>
    </row>
    <row r="854" spans="1:11">
      <c r="A854" s="1">
        <v>10566</v>
      </c>
      <c r="B854" s="1">
        <v>18</v>
      </c>
      <c r="C854" s="1">
        <v>62.5</v>
      </c>
      <c r="D854" s="1">
        <v>18</v>
      </c>
      <c r="E854" s="3">
        <v>0.15000000596046448</v>
      </c>
      <c r="F854" s="1" t="str">
        <f>_xlfn.XLOOKUP(A854,Orders!A:A,Orders!B:B,"not found")</f>
        <v>BLONP</v>
      </c>
      <c r="G854" s="13">
        <f>_xlfn.XLOOKUP(OrderDetails[[#This Row],[OrderID]],Orders!A:A,Orders!C:C,"Not Found")</f>
        <v>35593</v>
      </c>
      <c r="H854" s="16">
        <f>(OrderDetails[[#This Row],[UnitPrice]]*OrderDetails[[#This Row],[Quantity]])*(1-OrderDetails[[#This Row],[Discount]])</f>
        <v>956.24999329447746</v>
      </c>
      <c r="I854" s="15" t="str">
        <f>_xlfn.XLOOKUP(OrderDetails[[#This Row],[ProductID]],Product!A:A,Product!G:G,"Not Found")</f>
        <v>Seafood</v>
      </c>
      <c r="J854" s="15" t="str">
        <f>LOOKUP(MONTH(G854),{1,4,7,10},{"Winter","Spring","Summer","Autumn"})</f>
        <v>Spring</v>
      </c>
      <c r="K854" s="15" t="str">
        <f>_xlfn.XLOOKUP(OrderDetails[[#This Row],[ProductID]],Product!A:A,Product!B:B,"Not Found")</f>
        <v>Carnarvon Tigers</v>
      </c>
    </row>
    <row r="855" spans="1:11">
      <c r="A855" s="2">
        <v>10566</v>
      </c>
      <c r="B855" s="2">
        <v>76</v>
      </c>
      <c r="C855" s="2">
        <v>18</v>
      </c>
      <c r="D855" s="2">
        <v>10</v>
      </c>
      <c r="E855" s="4">
        <v>0</v>
      </c>
      <c r="F855" s="1" t="str">
        <f>_xlfn.XLOOKUP(A855,Orders!A:A,Orders!B:B,"not found")</f>
        <v>BLONP</v>
      </c>
      <c r="G855" s="13">
        <f>_xlfn.XLOOKUP(OrderDetails[[#This Row],[OrderID]],Orders!A:A,Orders!C:C,"Not Found")</f>
        <v>35593</v>
      </c>
      <c r="H855" s="16">
        <f>(OrderDetails[[#This Row],[UnitPrice]]*OrderDetails[[#This Row],[Quantity]])*(1-OrderDetails[[#This Row],[Discount]])</f>
        <v>180</v>
      </c>
      <c r="I855" s="15" t="str">
        <f>_xlfn.XLOOKUP(OrderDetails[[#This Row],[ProductID]],Product!A:A,Product!G:G,"Not Found")</f>
        <v>Beverages</v>
      </c>
      <c r="J855" s="15" t="str">
        <f>LOOKUP(MONTH(G855),{1,4,7,10},{"Winter","Spring","Summer","Autumn"})</f>
        <v>Spring</v>
      </c>
      <c r="K855" s="15" t="str">
        <f>_xlfn.XLOOKUP(OrderDetails[[#This Row],[ProductID]],Product!A:A,Product!B:B,"Not Found")</f>
        <v>Lakkalikööri</v>
      </c>
    </row>
    <row r="856" spans="1:11">
      <c r="A856" s="1">
        <v>10567</v>
      </c>
      <c r="B856" s="1">
        <v>31</v>
      </c>
      <c r="C856" s="1">
        <v>12.5</v>
      </c>
      <c r="D856" s="1">
        <v>60</v>
      </c>
      <c r="E856" s="3">
        <v>0.20000000298023224</v>
      </c>
      <c r="F856" s="1" t="str">
        <f>_xlfn.XLOOKUP(A856,Orders!A:A,Orders!B:B,"not found")</f>
        <v>HUNGO</v>
      </c>
      <c r="G856" s="13">
        <f>_xlfn.XLOOKUP(OrderDetails[[#This Row],[OrderID]],Orders!A:A,Orders!C:C,"Not Found")</f>
        <v>35593</v>
      </c>
      <c r="H856" s="16">
        <f>(OrderDetails[[#This Row],[UnitPrice]]*OrderDetails[[#This Row],[Quantity]])*(1-OrderDetails[[#This Row],[Discount]])</f>
        <v>599.99999776482582</v>
      </c>
      <c r="I856" s="15" t="str">
        <f>_xlfn.XLOOKUP(OrderDetails[[#This Row],[ProductID]],Product!A:A,Product!G:G,"Not Found")</f>
        <v>Dairy Products</v>
      </c>
      <c r="J856" s="15" t="str">
        <f>LOOKUP(MONTH(G856),{1,4,7,10},{"Winter","Spring","Summer","Autumn"})</f>
        <v>Spring</v>
      </c>
      <c r="K856" s="15" t="str">
        <f>_xlfn.XLOOKUP(OrderDetails[[#This Row],[ProductID]],Product!A:A,Product!B:B,"Not Found")</f>
        <v>Gorgonzola Telino</v>
      </c>
    </row>
    <row r="857" spans="1:11">
      <c r="A857" s="2">
        <v>10567</v>
      </c>
      <c r="B857" s="2">
        <v>51</v>
      </c>
      <c r="C857" s="2">
        <v>53</v>
      </c>
      <c r="D857" s="2">
        <v>3</v>
      </c>
      <c r="E857" s="4">
        <v>0</v>
      </c>
      <c r="F857" s="1" t="str">
        <f>_xlfn.XLOOKUP(A857,Orders!A:A,Orders!B:B,"not found")</f>
        <v>HUNGO</v>
      </c>
      <c r="G857" s="13">
        <f>_xlfn.XLOOKUP(OrderDetails[[#This Row],[OrderID]],Orders!A:A,Orders!C:C,"Not Found")</f>
        <v>35593</v>
      </c>
      <c r="H857" s="16">
        <f>(OrderDetails[[#This Row],[UnitPrice]]*OrderDetails[[#This Row],[Quantity]])*(1-OrderDetails[[#This Row],[Discount]])</f>
        <v>159</v>
      </c>
      <c r="I857" s="15" t="str">
        <f>_xlfn.XLOOKUP(OrderDetails[[#This Row],[ProductID]],Product!A:A,Product!G:G,"Not Found")</f>
        <v>Produce</v>
      </c>
      <c r="J857" s="15" t="str">
        <f>LOOKUP(MONTH(G857),{1,4,7,10},{"Winter","Spring","Summer","Autumn"})</f>
        <v>Spring</v>
      </c>
      <c r="K857" s="15" t="str">
        <f>_xlfn.XLOOKUP(OrderDetails[[#This Row],[ProductID]],Product!A:A,Product!B:B,"Not Found")</f>
        <v>Manjimup Dried Apples</v>
      </c>
    </row>
    <row r="858" spans="1:11">
      <c r="A858" s="1">
        <v>10567</v>
      </c>
      <c r="B858" s="1">
        <v>59</v>
      </c>
      <c r="C858" s="1">
        <v>55</v>
      </c>
      <c r="D858" s="1">
        <v>40</v>
      </c>
      <c r="E858" s="3">
        <v>0.20000000298023224</v>
      </c>
      <c r="F858" s="1" t="str">
        <f>_xlfn.XLOOKUP(A858,Orders!A:A,Orders!B:B,"not found")</f>
        <v>HUNGO</v>
      </c>
      <c r="G858" s="13">
        <f>_xlfn.XLOOKUP(OrderDetails[[#This Row],[OrderID]],Orders!A:A,Orders!C:C,"Not Found")</f>
        <v>35593</v>
      </c>
      <c r="H858" s="16">
        <f>(OrderDetails[[#This Row],[UnitPrice]]*OrderDetails[[#This Row],[Quantity]])*(1-OrderDetails[[#This Row],[Discount]])</f>
        <v>1759.9999934434891</v>
      </c>
      <c r="I858" s="15" t="str">
        <f>_xlfn.XLOOKUP(OrderDetails[[#This Row],[ProductID]],Product!A:A,Product!G:G,"Not Found")</f>
        <v>Dairy Products</v>
      </c>
      <c r="J858" s="15" t="str">
        <f>LOOKUP(MONTH(G858),{1,4,7,10},{"Winter","Spring","Summer","Autumn"})</f>
        <v>Spring</v>
      </c>
      <c r="K858" s="15" t="str">
        <f>_xlfn.XLOOKUP(OrderDetails[[#This Row],[ProductID]],Product!A:A,Product!B:B,"Not Found")</f>
        <v>Raclette Courdavault</v>
      </c>
    </row>
    <row r="859" spans="1:11">
      <c r="A859" s="2">
        <v>10568</v>
      </c>
      <c r="B859" s="2">
        <v>10</v>
      </c>
      <c r="C859" s="2">
        <v>31</v>
      </c>
      <c r="D859" s="2">
        <v>5</v>
      </c>
      <c r="E859" s="4">
        <v>0</v>
      </c>
      <c r="F859" s="1" t="str">
        <f>_xlfn.XLOOKUP(A859,Orders!A:A,Orders!B:B,"not found")</f>
        <v>GALED</v>
      </c>
      <c r="G859" s="13">
        <f>_xlfn.XLOOKUP(OrderDetails[[#This Row],[OrderID]],Orders!A:A,Orders!C:C,"Not Found")</f>
        <v>35594</v>
      </c>
      <c r="H859" s="16">
        <f>(OrderDetails[[#This Row],[UnitPrice]]*OrderDetails[[#This Row],[Quantity]])*(1-OrderDetails[[#This Row],[Discount]])</f>
        <v>155</v>
      </c>
      <c r="I859" s="15" t="str">
        <f>_xlfn.XLOOKUP(OrderDetails[[#This Row],[ProductID]],Product!A:A,Product!G:G,"Not Found")</f>
        <v>Seafood</v>
      </c>
      <c r="J859" s="15" t="str">
        <f>LOOKUP(MONTH(G859),{1,4,7,10},{"Winter","Spring","Summer","Autumn"})</f>
        <v>Spring</v>
      </c>
      <c r="K859" s="15" t="str">
        <f>_xlfn.XLOOKUP(OrderDetails[[#This Row],[ProductID]],Product!A:A,Product!B:B,"Not Found")</f>
        <v>Ikura</v>
      </c>
    </row>
    <row r="860" spans="1:11">
      <c r="A860" s="1">
        <v>10569</v>
      </c>
      <c r="B860" s="1">
        <v>31</v>
      </c>
      <c r="C860" s="1">
        <v>12.5</v>
      </c>
      <c r="D860" s="1">
        <v>35</v>
      </c>
      <c r="E860" s="3">
        <v>0.20000000298023224</v>
      </c>
      <c r="F860" s="1" t="str">
        <f>_xlfn.XLOOKUP(A860,Orders!A:A,Orders!B:B,"not found")</f>
        <v>RATTC</v>
      </c>
      <c r="G860" s="13">
        <f>_xlfn.XLOOKUP(OrderDetails[[#This Row],[OrderID]],Orders!A:A,Orders!C:C,"Not Found")</f>
        <v>35597</v>
      </c>
      <c r="H860" s="16">
        <f>(OrderDetails[[#This Row],[UnitPrice]]*OrderDetails[[#This Row],[Quantity]])*(1-OrderDetails[[#This Row],[Discount]])</f>
        <v>349.9999986961484</v>
      </c>
      <c r="I860" s="15" t="str">
        <f>_xlfn.XLOOKUP(OrderDetails[[#This Row],[ProductID]],Product!A:A,Product!G:G,"Not Found")</f>
        <v>Dairy Products</v>
      </c>
      <c r="J860" s="15" t="str">
        <f>LOOKUP(MONTH(G860),{1,4,7,10},{"Winter","Spring","Summer","Autumn"})</f>
        <v>Spring</v>
      </c>
      <c r="K860" s="15" t="str">
        <f>_xlfn.XLOOKUP(OrderDetails[[#This Row],[ProductID]],Product!A:A,Product!B:B,"Not Found")</f>
        <v>Gorgonzola Telino</v>
      </c>
    </row>
    <row r="861" spans="1:11">
      <c r="A861" s="2">
        <v>10569</v>
      </c>
      <c r="B861" s="2">
        <v>76</v>
      </c>
      <c r="C861" s="2">
        <v>18</v>
      </c>
      <c r="D861" s="2">
        <v>30</v>
      </c>
      <c r="E861" s="4">
        <v>0</v>
      </c>
      <c r="F861" s="1" t="str">
        <f>_xlfn.XLOOKUP(A861,Orders!A:A,Orders!B:B,"not found")</f>
        <v>RATTC</v>
      </c>
      <c r="G861" s="13">
        <f>_xlfn.XLOOKUP(OrderDetails[[#This Row],[OrderID]],Orders!A:A,Orders!C:C,"Not Found")</f>
        <v>35597</v>
      </c>
      <c r="H861" s="16">
        <f>(OrderDetails[[#This Row],[UnitPrice]]*OrderDetails[[#This Row],[Quantity]])*(1-OrderDetails[[#This Row],[Discount]])</f>
        <v>540</v>
      </c>
      <c r="I861" s="15" t="str">
        <f>_xlfn.XLOOKUP(OrderDetails[[#This Row],[ProductID]],Product!A:A,Product!G:G,"Not Found")</f>
        <v>Beverages</v>
      </c>
      <c r="J861" s="15" t="str">
        <f>LOOKUP(MONTH(G861),{1,4,7,10},{"Winter","Spring","Summer","Autumn"})</f>
        <v>Spring</v>
      </c>
      <c r="K861" s="15" t="str">
        <f>_xlfn.XLOOKUP(OrderDetails[[#This Row],[ProductID]],Product!A:A,Product!B:B,"Not Found")</f>
        <v>Lakkalikööri</v>
      </c>
    </row>
    <row r="862" spans="1:11">
      <c r="A862" s="1">
        <v>10570</v>
      </c>
      <c r="B862" s="1">
        <v>11</v>
      </c>
      <c r="C862" s="1">
        <v>21</v>
      </c>
      <c r="D862" s="1">
        <v>15</v>
      </c>
      <c r="E862" s="3">
        <v>5.000000074505806E-2</v>
      </c>
      <c r="F862" s="1" t="str">
        <f>_xlfn.XLOOKUP(A862,Orders!A:A,Orders!B:B,"not found")</f>
        <v>MEREP</v>
      </c>
      <c r="G862" s="13">
        <f>_xlfn.XLOOKUP(OrderDetails[[#This Row],[OrderID]],Orders!A:A,Orders!C:C,"Not Found")</f>
        <v>35598</v>
      </c>
      <c r="H862" s="16">
        <f>(OrderDetails[[#This Row],[UnitPrice]]*OrderDetails[[#This Row],[Quantity]])*(1-OrderDetails[[#This Row],[Discount]])</f>
        <v>299.24999976530671</v>
      </c>
      <c r="I862" s="15" t="str">
        <f>_xlfn.XLOOKUP(OrderDetails[[#This Row],[ProductID]],Product!A:A,Product!G:G,"Not Found")</f>
        <v>Dairy Products</v>
      </c>
      <c r="J862" s="15" t="str">
        <f>LOOKUP(MONTH(G862),{1,4,7,10},{"Winter","Spring","Summer","Autumn"})</f>
        <v>Spring</v>
      </c>
      <c r="K862" s="15" t="str">
        <f>_xlfn.XLOOKUP(OrderDetails[[#This Row],[ProductID]],Product!A:A,Product!B:B,"Not Found")</f>
        <v>Queso Cabrales</v>
      </c>
    </row>
    <row r="863" spans="1:11">
      <c r="A863" s="2">
        <v>10570</v>
      </c>
      <c r="B863" s="2">
        <v>56</v>
      </c>
      <c r="C863" s="2">
        <v>38</v>
      </c>
      <c r="D863" s="2">
        <v>60</v>
      </c>
      <c r="E863" s="4">
        <v>5.000000074505806E-2</v>
      </c>
      <c r="F863" s="1" t="str">
        <f>_xlfn.XLOOKUP(A863,Orders!A:A,Orders!B:B,"not found")</f>
        <v>MEREP</v>
      </c>
      <c r="G863" s="13">
        <f>_xlfn.XLOOKUP(OrderDetails[[#This Row],[OrderID]],Orders!A:A,Orders!C:C,"Not Found")</f>
        <v>35598</v>
      </c>
      <c r="H863" s="16">
        <f>(OrderDetails[[#This Row],[UnitPrice]]*OrderDetails[[#This Row],[Quantity]])*(1-OrderDetails[[#This Row],[Discount]])</f>
        <v>2165.9999983012676</v>
      </c>
      <c r="I863" s="15" t="str">
        <f>_xlfn.XLOOKUP(OrderDetails[[#This Row],[ProductID]],Product!A:A,Product!G:G,"Not Found")</f>
        <v>Grains/Cereals</v>
      </c>
      <c r="J863" s="15" t="str">
        <f>LOOKUP(MONTH(G863),{1,4,7,10},{"Winter","Spring","Summer","Autumn"})</f>
        <v>Spring</v>
      </c>
      <c r="K863" s="15" t="str">
        <f>_xlfn.XLOOKUP(OrderDetails[[#This Row],[ProductID]],Product!A:A,Product!B:B,"Not Found")</f>
        <v>Gnocchi di nonna Alice</v>
      </c>
    </row>
    <row r="864" spans="1:11">
      <c r="A864" s="1">
        <v>10571</v>
      </c>
      <c r="B864" s="1">
        <v>14</v>
      </c>
      <c r="C864" s="1">
        <v>23.25</v>
      </c>
      <c r="D864" s="1">
        <v>11</v>
      </c>
      <c r="E864" s="3">
        <v>0.15000000596046448</v>
      </c>
      <c r="F864" s="1" t="str">
        <f>_xlfn.XLOOKUP(A864,Orders!A:A,Orders!B:B,"not found")</f>
        <v>ERNSH</v>
      </c>
      <c r="G864" s="13">
        <f>_xlfn.XLOOKUP(OrderDetails[[#This Row],[OrderID]],Orders!A:A,Orders!C:C,"Not Found")</f>
        <v>35598</v>
      </c>
      <c r="H864" s="16">
        <f>(OrderDetails[[#This Row],[UnitPrice]]*OrderDetails[[#This Row],[Quantity]])*(1-OrderDetails[[#This Row],[Discount]])</f>
        <v>217.38749847561121</v>
      </c>
      <c r="I864" s="15" t="str">
        <f>_xlfn.XLOOKUP(OrderDetails[[#This Row],[ProductID]],Product!A:A,Product!G:G,"Not Found")</f>
        <v>Produce</v>
      </c>
      <c r="J864" s="15" t="str">
        <f>LOOKUP(MONTH(G864),{1,4,7,10},{"Winter","Spring","Summer","Autumn"})</f>
        <v>Spring</v>
      </c>
      <c r="K864" s="15" t="str">
        <f>_xlfn.XLOOKUP(OrderDetails[[#This Row],[ProductID]],Product!A:A,Product!B:B,"Not Found")</f>
        <v>Tofu</v>
      </c>
    </row>
    <row r="865" spans="1:11">
      <c r="A865" s="2">
        <v>10571</v>
      </c>
      <c r="B865" s="2">
        <v>42</v>
      </c>
      <c r="C865" s="2">
        <v>14</v>
      </c>
      <c r="D865" s="2">
        <v>28</v>
      </c>
      <c r="E865" s="4">
        <v>0.15000000596046448</v>
      </c>
      <c r="F865" s="1" t="str">
        <f>_xlfn.XLOOKUP(A865,Orders!A:A,Orders!B:B,"not found")</f>
        <v>ERNSH</v>
      </c>
      <c r="G865" s="13">
        <f>_xlfn.XLOOKUP(OrderDetails[[#This Row],[OrderID]],Orders!A:A,Orders!C:C,"Not Found")</f>
        <v>35598</v>
      </c>
      <c r="H865" s="16">
        <f>(OrderDetails[[#This Row],[UnitPrice]]*OrderDetails[[#This Row],[Quantity]])*(1-OrderDetails[[#This Row],[Discount]])</f>
        <v>333.19999766349792</v>
      </c>
      <c r="I865" s="15" t="str">
        <f>_xlfn.XLOOKUP(OrderDetails[[#This Row],[ProductID]],Product!A:A,Product!G:G,"Not Found")</f>
        <v>Grains/Cereals</v>
      </c>
      <c r="J865" s="15" t="str">
        <f>LOOKUP(MONTH(G865),{1,4,7,10},{"Winter","Spring","Summer","Autumn"})</f>
        <v>Spring</v>
      </c>
      <c r="K865" s="15" t="str">
        <f>_xlfn.XLOOKUP(OrderDetails[[#This Row],[ProductID]],Product!A:A,Product!B:B,"Not Found")</f>
        <v>Singaporean Hokkien Fried Mee</v>
      </c>
    </row>
    <row r="866" spans="1:11">
      <c r="A866" s="1">
        <v>10572</v>
      </c>
      <c r="B866" s="1">
        <v>16</v>
      </c>
      <c r="C866" s="1">
        <v>17.45</v>
      </c>
      <c r="D866" s="1">
        <v>12</v>
      </c>
      <c r="E866" s="3">
        <v>0.10000000149011612</v>
      </c>
      <c r="F866" s="1" t="str">
        <f>_xlfn.XLOOKUP(A866,Orders!A:A,Orders!B:B,"not found")</f>
        <v>BERGS</v>
      </c>
      <c r="G866" s="13">
        <f>_xlfn.XLOOKUP(OrderDetails[[#This Row],[OrderID]],Orders!A:A,Orders!C:C,"Not Found")</f>
        <v>35599</v>
      </c>
      <c r="H866" s="16">
        <f>(OrderDetails[[#This Row],[UnitPrice]]*OrderDetails[[#This Row],[Quantity]])*(1-OrderDetails[[#This Row],[Discount]])</f>
        <v>188.45999968796966</v>
      </c>
      <c r="I866" s="15" t="str">
        <f>_xlfn.XLOOKUP(OrderDetails[[#This Row],[ProductID]],Product!A:A,Product!G:G,"Not Found")</f>
        <v>Confections</v>
      </c>
      <c r="J866" s="15" t="str">
        <f>LOOKUP(MONTH(G866),{1,4,7,10},{"Winter","Spring","Summer","Autumn"})</f>
        <v>Spring</v>
      </c>
      <c r="K866" s="15" t="str">
        <f>_xlfn.XLOOKUP(OrderDetails[[#This Row],[ProductID]],Product!A:A,Product!B:B,"Not Found")</f>
        <v>Pavlova</v>
      </c>
    </row>
    <row r="867" spans="1:11">
      <c r="A867" s="2">
        <v>10572</v>
      </c>
      <c r="B867" s="2">
        <v>32</v>
      </c>
      <c r="C867" s="2">
        <v>32</v>
      </c>
      <c r="D867" s="2">
        <v>10</v>
      </c>
      <c r="E867" s="4">
        <v>0.10000000149011612</v>
      </c>
      <c r="F867" s="1" t="str">
        <f>_xlfn.XLOOKUP(A867,Orders!A:A,Orders!B:B,"not found")</f>
        <v>BERGS</v>
      </c>
      <c r="G867" s="13">
        <f>_xlfn.XLOOKUP(OrderDetails[[#This Row],[OrderID]],Orders!A:A,Orders!C:C,"Not Found")</f>
        <v>35599</v>
      </c>
      <c r="H867" s="16">
        <f>(OrderDetails[[#This Row],[UnitPrice]]*OrderDetails[[#This Row],[Quantity]])*(1-OrderDetails[[#This Row],[Discount]])</f>
        <v>287.99999952316284</v>
      </c>
      <c r="I867" s="15" t="str">
        <f>_xlfn.XLOOKUP(OrderDetails[[#This Row],[ProductID]],Product!A:A,Product!G:G,"Not Found")</f>
        <v>Dairy Products</v>
      </c>
      <c r="J867" s="15" t="str">
        <f>LOOKUP(MONTH(G867),{1,4,7,10},{"Winter","Spring","Summer","Autumn"})</f>
        <v>Spring</v>
      </c>
      <c r="K867" s="15" t="str">
        <f>_xlfn.XLOOKUP(OrderDetails[[#This Row],[ProductID]],Product!A:A,Product!B:B,"Not Found")</f>
        <v>Mascarpone Fabioli</v>
      </c>
    </row>
    <row r="868" spans="1:11">
      <c r="A868" s="1">
        <v>10572</v>
      </c>
      <c r="B868" s="1">
        <v>40</v>
      </c>
      <c r="C868" s="1">
        <v>18.399999999999999</v>
      </c>
      <c r="D868" s="1">
        <v>50</v>
      </c>
      <c r="E868" s="3">
        <v>0</v>
      </c>
      <c r="F868" s="1" t="str">
        <f>_xlfn.XLOOKUP(A868,Orders!A:A,Orders!B:B,"not found")</f>
        <v>BERGS</v>
      </c>
      <c r="G868" s="13">
        <f>_xlfn.XLOOKUP(OrderDetails[[#This Row],[OrderID]],Orders!A:A,Orders!C:C,"Not Found")</f>
        <v>35599</v>
      </c>
      <c r="H868" s="16">
        <f>(OrderDetails[[#This Row],[UnitPrice]]*OrderDetails[[#This Row],[Quantity]])*(1-OrderDetails[[#This Row],[Discount]])</f>
        <v>919.99999999999989</v>
      </c>
      <c r="I868" s="15" t="str">
        <f>_xlfn.XLOOKUP(OrderDetails[[#This Row],[ProductID]],Product!A:A,Product!G:G,"Not Found")</f>
        <v>Seafood</v>
      </c>
      <c r="J868" s="15" t="str">
        <f>LOOKUP(MONTH(G868),{1,4,7,10},{"Winter","Spring","Summer","Autumn"})</f>
        <v>Spring</v>
      </c>
      <c r="K868" s="15" t="str">
        <f>_xlfn.XLOOKUP(OrderDetails[[#This Row],[ProductID]],Product!A:A,Product!B:B,"Not Found")</f>
        <v>Boston Crab Meat</v>
      </c>
    </row>
    <row r="869" spans="1:11">
      <c r="A869" s="2">
        <v>10572</v>
      </c>
      <c r="B869" s="2">
        <v>75</v>
      </c>
      <c r="C869" s="2">
        <v>7.75</v>
      </c>
      <c r="D869" s="2">
        <v>15</v>
      </c>
      <c r="E869" s="4">
        <v>0.10000000149011612</v>
      </c>
      <c r="F869" s="1" t="str">
        <f>_xlfn.XLOOKUP(A869,Orders!A:A,Orders!B:B,"not found")</f>
        <v>BERGS</v>
      </c>
      <c r="G869" s="13">
        <f>_xlfn.XLOOKUP(OrderDetails[[#This Row],[OrderID]],Orders!A:A,Orders!C:C,"Not Found")</f>
        <v>35599</v>
      </c>
      <c r="H869" s="16">
        <f>(OrderDetails[[#This Row],[UnitPrice]]*OrderDetails[[#This Row],[Quantity]])*(1-OrderDetails[[#This Row],[Discount]])</f>
        <v>104.624999826774</v>
      </c>
      <c r="I869" s="15" t="str">
        <f>_xlfn.XLOOKUP(OrderDetails[[#This Row],[ProductID]],Product!A:A,Product!G:G,"Not Found")</f>
        <v>Beverages</v>
      </c>
      <c r="J869" s="15" t="str">
        <f>LOOKUP(MONTH(G869),{1,4,7,10},{"Winter","Spring","Summer","Autumn"})</f>
        <v>Spring</v>
      </c>
      <c r="K869" s="15" t="str">
        <f>_xlfn.XLOOKUP(OrderDetails[[#This Row],[ProductID]],Product!A:A,Product!B:B,"Not Found")</f>
        <v>Rhönbräu Klosterbier</v>
      </c>
    </row>
    <row r="870" spans="1:11">
      <c r="A870" s="1">
        <v>10573</v>
      </c>
      <c r="B870" s="1">
        <v>17</v>
      </c>
      <c r="C870" s="1">
        <v>39</v>
      </c>
      <c r="D870" s="1">
        <v>18</v>
      </c>
      <c r="E870" s="3">
        <v>0</v>
      </c>
      <c r="F870" s="1" t="str">
        <f>_xlfn.XLOOKUP(A870,Orders!A:A,Orders!B:B,"not found")</f>
        <v>ANTON</v>
      </c>
      <c r="G870" s="13">
        <f>_xlfn.XLOOKUP(OrderDetails[[#This Row],[OrderID]],Orders!A:A,Orders!C:C,"Not Found")</f>
        <v>35600</v>
      </c>
      <c r="H870" s="16">
        <f>(OrderDetails[[#This Row],[UnitPrice]]*OrderDetails[[#This Row],[Quantity]])*(1-OrderDetails[[#This Row],[Discount]])</f>
        <v>702</v>
      </c>
      <c r="I870" s="15" t="str">
        <f>_xlfn.XLOOKUP(OrderDetails[[#This Row],[ProductID]],Product!A:A,Product!G:G,"Not Found")</f>
        <v>Meat/Poultry</v>
      </c>
      <c r="J870" s="15" t="str">
        <f>LOOKUP(MONTH(G870),{1,4,7,10},{"Winter","Spring","Summer","Autumn"})</f>
        <v>Spring</v>
      </c>
      <c r="K870" s="15" t="str">
        <f>_xlfn.XLOOKUP(OrderDetails[[#This Row],[ProductID]],Product!A:A,Product!B:B,"Not Found")</f>
        <v>Alice Mutton</v>
      </c>
    </row>
    <row r="871" spans="1:11">
      <c r="A871" s="2">
        <v>10573</v>
      </c>
      <c r="B871" s="2">
        <v>34</v>
      </c>
      <c r="C871" s="2">
        <v>14</v>
      </c>
      <c r="D871" s="2">
        <v>40</v>
      </c>
      <c r="E871" s="4">
        <v>0</v>
      </c>
      <c r="F871" s="1" t="str">
        <f>_xlfn.XLOOKUP(A871,Orders!A:A,Orders!B:B,"not found")</f>
        <v>ANTON</v>
      </c>
      <c r="G871" s="13">
        <f>_xlfn.XLOOKUP(OrderDetails[[#This Row],[OrderID]],Orders!A:A,Orders!C:C,"Not Found")</f>
        <v>35600</v>
      </c>
      <c r="H871" s="16">
        <f>(OrderDetails[[#This Row],[UnitPrice]]*OrderDetails[[#This Row],[Quantity]])*(1-OrderDetails[[#This Row],[Discount]])</f>
        <v>560</v>
      </c>
      <c r="I871" s="15" t="str">
        <f>_xlfn.XLOOKUP(OrderDetails[[#This Row],[ProductID]],Product!A:A,Product!G:G,"Not Found")</f>
        <v>Beverages</v>
      </c>
      <c r="J871" s="15" t="str">
        <f>LOOKUP(MONTH(G871),{1,4,7,10},{"Winter","Spring","Summer","Autumn"})</f>
        <v>Spring</v>
      </c>
      <c r="K871" s="15" t="str">
        <f>_xlfn.XLOOKUP(OrderDetails[[#This Row],[ProductID]],Product!A:A,Product!B:B,"Not Found")</f>
        <v>Sasquatch Ale</v>
      </c>
    </row>
    <row r="872" spans="1:11">
      <c r="A872" s="1">
        <v>10573</v>
      </c>
      <c r="B872" s="1">
        <v>53</v>
      </c>
      <c r="C872" s="1">
        <v>32.799999999999997</v>
      </c>
      <c r="D872" s="1">
        <v>25</v>
      </c>
      <c r="E872" s="3">
        <v>0</v>
      </c>
      <c r="F872" s="1" t="str">
        <f>_xlfn.XLOOKUP(A872,Orders!A:A,Orders!B:B,"not found")</f>
        <v>ANTON</v>
      </c>
      <c r="G872" s="13">
        <f>_xlfn.XLOOKUP(OrderDetails[[#This Row],[OrderID]],Orders!A:A,Orders!C:C,"Not Found")</f>
        <v>35600</v>
      </c>
      <c r="H872" s="16">
        <f>(OrderDetails[[#This Row],[UnitPrice]]*OrderDetails[[#This Row],[Quantity]])*(1-OrderDetails[[#This Row],[Discount]])</f>
        <v>819.99999999999989</v>
      </c>
      <c r="I872" s="15" t="str">
        <f>_xlfn.XLOOKUP(OrderDetails[[#This Row],[ProductID]],Product!A:A,Product!G:G,"Not Found")</f>
        <v>Meat/Poultry</v>
      </c>
      <c r="J872" s="15" t="str">
        <f>LOOKUP(MONTH(G872),{1,4,7,10},{"Winter","Spring","Summer","Autumn"})</f>
        <v>Spring</v>
      </c>
      <c r="K872" s="15" t="str">
        <f>_xlfn.XLOOKUP(OrderDetails[[#This Row],[ProductID]],Product!A:A,Product!B:B,"Not Found")</f>
        <v>Perth Pasties</v>
      </c>
    </row>
    <row r="873" spans="1:11">
      <c r="A873" s="2">
        <v>10574</v>
      </c>
      <c r="B873" s="2">
        <v>33</v>
      </c>
      <c r="C873" s="2">
        <v>2.5</v>
      </c>
      <c r="D873" s="2">
        <v>14</v>
      </c>
      <c r="E873" s="4">
        <v>0</v>
      </c>
      <c r="F873" s="1" t="str">
        <f>_xlfn.XLOOKUP(A873,Orders!A:A,Orders!B:B,"not found")</f>
        <v>TRAIH</v>
      </c>
      <c r="G873" s="13">
        <f>_xlfn.XLOOKUP(OrderDetails[[#This Row],[OrderID]],Orders!A:A,Orders!C:C,"Not Found")</f>
        <v>35600</v>
      </c>
      <c r="H873" s="16">
        <f>(OrderDetails[[#This Row],[UnitPrice]]*OrderDetails[[#This Row],[Quantity]])*(1-OrderDetails[[#This Row],[Discount]])</f>
        <v>35</v>
      </c>
      <c r="I873" s="15" t="str">
        <f>_xlfn.XLOOKUP(OrderDetails[[#This Row],[ProductID]],Product!A:A,Product!G:G,"Not Found")</f>
        <v>Dairy Products</v>
      </c>
      <c r="J873" s="15" t="str">
        <f>LOOKUP(MONTH(G873),{1,4,7,10},{"Winter","Spring","Summer","Autumn"})</f>
        <v>Spring</v>
      </c>
      <c r="K873" s="15" t="str">
        <f>_xlfn.XLOOKUP(OrderDetails[[#This Row],[ProductID]],Product!A:A,Product!B:B,"Not Found")</f>
        <v>Geitost</v>
      </c>
    </row>
    <row r="874" spans="1:11">
      <c r="A874" s="1">
        <v>10574</v>
      </c>
      <c r="B874" s="1">
        <v>40</v>
      </c>
      <c r="C874" s="1">
        <v>18.399999999999999</v>
      </c>
      <c r="D874" s="1">
        <v>2</v>
      </c>
      <c r="E874" s="3">
        <v>0</v>
      </c>
      <c r="F874" s="1" t="str">
        <f>_xlfn.XLOOKUP(A874,Orders!A:A,Orders!B:B,"not found")</f>
        <v>TRAIH</v>
      </c>
      <c r="G874" s="13">
        <f>_xlfn.XLOOKUP(OrderDetails[[#This Row],[OrderID]],Orders!A:A,Orders!C:C,"Not Found")</f>
        <v>35600</v>
      </c>
      <c r="H874" s="16">
        <f>(OrderDetails[[#This Row],[UnitPrice]]*OrderDetails[[#This Row],[Quantity]])*(1-OrderDetails[[#This Row],[Discount]])</f>
        <v>36.799999999999997</v>
      </c>
      <c r="I874" s="15" t="str">
        <f>_xlfn.XLOOKUP(OrderDetails[[#This Row],[ProductID]],Product!A:A,Product!G:G,"Not Found")</f>
        <v>Seafood</v>
      </c>
      <c r="J874" s="15" t="str">
        <f>LOOKUP(MONTH(G874),{1,4,7,10},{"Winter","Spring","Summer","Autumn"})</f>
        <v>Spring</v>
      </c>
      <c r="K874" s="15" t="str">
        <f>_xlfn.XLOOKUP(OrderDetails[[#This Row],[ProductID]],Product!A:A,Product!B:B,"Not Found")</f>
        <v>Boston Crab Meat</v>
      </c>
    </row>
    <row r="875" spans="1:11">
      <c r="A875" s="2">
        <v>10574</v>
      </c>
      <c r="B875" s="2">
        <v>62</v>
      </c>
      <c r="C875" s="2">
        <v>49.3</v>
      </c>
      <c r="D875" s="2">
        <v>10</v>
      </c>
      <c r="E875" s="4">
        <v>0</v>
      </c>
      <c r="F875" s="1" t="str">
        <f>_xlfn.XLOOKUP(A875,Orders!A:A,Orders!B:B,"not found")</f>
        <v>TRAIH</v>
      </c>
      <c r="G875" s="13">
        <f>_xlfn.XLOOKUP(OrderDetails[[#This Row],[OrderID]],Orders!A:A,Orders!C:C,"Not Found")</f>
        <v>35600</v>
      </c>
      <c r="H875" s="16">
        <f>(OrderDetails[[#This Row],[UnitPrice]]*OrderDetails[[#This Row],[Quantity]])*(1-OrderDetails[[#This Row],[Discount]])</f>
        <v>493</v>
      </c>
      <c r="I875" s="15" t="str">
        <f>_xlfn.XLOOKUP(OrderDetails[[#This Row],[ProductID]],Product!A:A,Product!G:G,"Not Found")</f>
        <v>Confections</v>
      </c>
      <c r="J875" s="15" t="str">
        <f>LOOKUP(MONTH(G875),{1,4,7,10},{"Winter","Spring","Summer","Autumn"})</f>
        <v>Spring</v>
      </c>
      <c r="K875" s="15" t="str">
        <f>_xlfn.XLOOKUP(OrderDetails[[#This Row],[ProductID]],Product!A:A,Product!B:B,"Not Found")</f>
        <v>Tarte au sucre</v>
      </c>
    </row>
    <row r="876" spans="1:11">
      <c r="A876" s="1">
        <v>10574</v>
      </c>
      <c r="B876" s="1">
        <v>64</v>
      </c>
      <c r="C876" s="1">
        <v>33.25</v>
      </c>
      <c r="D876" s="1">
        <v>6</v>
      </c>
      <c r="E876" s="3">
        <v>0</v>
      </c>
      <c r="F876" s="1" t="str">
        <f>_xlfn.XLOOKUP(A876,Orders!A:A,Orders!B:B,"not found")</f>
        <v>TRAIH</v>
      </c>
      <c r="G876" s="13">
        <f>_xlfn.XLOOKUP(OrderDetails[[#This Row],[OrderID]],Orders!A:A,Orders!C:C,"Not Found")</f>
        <v>35600</v>
      </c>
      <c r="H876" s="16">
        <f>(OrderDetails[[#This Row],[UnitPrice]]*OrderDetails[[#This Row],[Quantity]])*(1-OrderDetails[[#This Row],[Discount]])</f>
        <v>199.5</v>
      </c>
      <c r="I876" s="15" t="str">
        <f>_xlfn.XLOOKUP(OrderDetails[[#This Row],[ProductID]],Product!A:A,Product!G:G,"Not Found")</f>
        <v>Grains/Cereals</v>
      </c>
      <c r="J876" s="15" t="str">
        <f>LOOKUP(MONTH(G876),{1,4,7,10},{"Winter","Spring","Summer","Autumn"})</f>
        <v>Spring</v>
      </c>
      <c r="K876" s="15" t="str">
        <f>_xlfn.XLOOKUP(OrderDetails[[#This Row],[ProductID]],Product!A:A,Product!B:B,"Not Found")</f>
        <v>Wimmers gute Semmelknödel</v>
      </c>
    </row>
    <row r="877" spans="1:11">
      <c r="A877" s="2">
        <v>10575</v>
      </c>
      <c r="B877" s="2">
        <v>59</v>
      </c>
      <c r="C877" s="2">
        <v>55</v>
      </c>
      <c r="D877" s="2">
        <v>12</v>
      </c>
      <c r="E877" s="4">
        <v>0</v>
      </c>
      <c r="F877" s="1" t="str">
        <f>_xlfn.XLOOKUP(A877,Orders!A:A,Orders!B:B,"not found")</f>
        <v>MORGK</v>
      </c>
      <c r="G877" s="13">
        <f>_xlfn.XLOOKUP(OrderDetails[[#This Row],[OrderID]],Orders!A:A,Orders!C:C,"Not Found")</f>
        <v>35601</v>
      </c>
      <c r="H877" s="16">
        <f>(OrderDetails[[#This Row],[UnitPrice]]*OrderDetails[[#This Row],[Quantity]])*(1-OrderDetails[[#This Row],[Discount]])</f>
        <v>660</v>
      </c>
      <c r="I877" s="15" t="str">
        <f>_xlfn.XLOOKUP(OrderDetails[[#This Row],[ProductID]],Product!A:A,Product!G:G,"Not Found")</f>
        <v>Dairy Products</v>
      </c>
      <c r="J877" s="15" t="str">
        <f>LOOKUP(MONTH(G877),{1,4,7,10},{"Winter","Spring","Summer","Autumn"})</f>
        <v>Spring</v>
      </c>
      <c r="K877" s="15" t="str">
        <f>_xlfn.XLOOKUP(OrderDetails[[#This Row],[ProductID]],Product!A:A,Product!B:B,"Not Found")</f>
        <v>Raclette Courdavault</v>
      </c>
    </row>
    <row r="878" spans="1:11">
      <c r="A878" s="1">
        <v>10575</v>
      </c>
      <c r="B878" s="1">
        <v>63</v>
      </c>
      <c r="C878" s="1">
        <v>43.9</v>
      </c>
      <c r="D878" s="1">
        <v>6</v>
      </c>
      <c r="E878" s="3">
        <v>0</v>
      </c>
      <c r="F878" s="1" t="str">
        <f>_xlfn.XLOOKUP(A878,Orders!A:A,Orders!B:B,"not found")</f>
        <v>MORGK</v>
      </c>
      <c r="G878" s="13">
        <f>_xlfn.XLOOKUP(OrderDetails[[#This Row],[OrderID]],Orders!A:A,Orders!C:C,"Not Found")</f>
        <v>35601</v>
      </c>
      <c r="H878" s="16">
        <f>(OrderDetails[[#This Row],[UnitPrice]]*OrderDetails[[#This Row],[Quantity]])*(1-OrderDetails[[#This Row],[Discount]])</f>
        <v>263.39999999999998</v>
      </c>
      <c r="I878" s="15" t="str">
        <f>_xlfn.XLOOKUP(OrderDetails[[#This Row],[ProductID]],Product!A:A,Product!G:G,"Not Found")</f>
        <v>Condiments</v>
      </c>
      <c r="J878" s="15" t="str">
        <f>LOOKUP(MONTH(G878),{1,4,7,10},{"Winter","Spring","Summer","Autumn"})</f>
        <v>Spring</v>
      </c>
      <c r="K878" s="15" t="str">
        <f>_xlfn.XLOOKUP(OrderDetails[[#This Row],[ProductID]],Product!A:A,Product!B:B,"Not Found")</f>
        <v>Vegie-spread</v>
      </c>
    </row>
    <row r="879" spans="1:11">
      <c r="A879" s="2">
        <v>10575</v>
      </c>
      <c r="B879" s="2">
        <v>72</v>
      </c>
      <c r="C879" s="2">
        <v>34.799999999999997</v>
      </c>
      <c r="D879" s="2">
        <v>30</v>
      </c>
      <c r="E879" s="4">
        <v>0</v>
      </c>
      <c r="F879" s="1" t="str">
        <f>_xlfn.XLOOKUP(A879,Orders!A:A,Orders!B:B,"not found")</f>
        <v>MORGK</v>
      </c>
      <c r="G879" s="13">
        <f>_xlfn.XLOOKUP(OrderDetails[[#This Row],[OrderID]],Orders!A:A,Orders!C:C,"Not Found")</f>
        <v>35601</v>
      </c>
      <c r="H879" s="16">
        <f>(OrderDetails[[#This Row],[UnitPrice]]*OrderDetails[[#This Row],[Quantity]])*(1-OrderDetails[[#This Row],[Discount]])</f>
        <v>1044</v>
      </c>
      <c r="I879" s="15" t="str">
        <f>_xlfn.XLOOKUP(OrderDetails[[#This Row],[ProductID]],Product!A:A,Product!G:G,"Not Found")</f>
        <v>Dairy Products</v>
      </c>
      <c r="J879" s="15" t="str">
        <f>LOOKUP(MONTH(G879),{1,4,7,10},{"Winter","Spring","Summer","Autumn"})</f>
        <v>Spring</v>
      </c>
      <c r="K879" s="15" t="str">
        <f>_xlfn.XLOOKUP(OrderDetails[[#This Row],[ProductID]],Product!A:A,Product!B:B,"Not Found")</f>
        <v>Mozzarella di Giovanni</v>
      </c>
    </row>
    <row r="880" spans="1:11">
      <c r="A880" s="1">
        <v>10575</v>
      </c>
      <c r="B880" s="1">
        <v>76</v>
      </c>
      <c r="C880" s="1">
        <v>18</v>
      </c>
      <c r="D880" s="1">
        <v>10</v>
      </c>
      <c r="E880" s="3">
        <v>0</v>
      </c>
      <c r="F880" s="1" t="str">
        <f>_xlfn.XLOOKUP(A880,Orders!A:A,Orders!B:B,"not found")</f>
        <v>MORGK</v>
      </c>
      <c r="G880" s="13">
        <f>_xlfn.XLOOKUP(OrderDetails[[#This Row],[OrderID]],Orders!A:A,Orders!C:C,"Not Found")</f>
        <v>35601</v>
      </c>
      <c r="H880" s="16">
        <f>(OrderDetails[[#This Row],[UnitPrice]]*OrderDetails[[#This Row],[Quantity]])*(1-OrderDetails[[#This Row],[Discount]])</f>
        <v>180</v>
      </c>
      <c r="I880" s="15" t="str">
        <f>_xlfn.XLOOKUP(OrderDetails[[#This Row],[ProductID]],Product!A:A,Product!G:G,"Not Found")</f>
        <v>Beverages</v>
      </c>
      <c r="J880" s="15" t="str">
        <f>LOOKUP(MONTH(G880),{1,4,7,10},{"Winter","Spring","Summer","Autumn"})</f>
        <v>Spring</v>
      </c>
      <c r="K880" s="15" t="str">
        <f>_xlfn.XLOOKUP(OrderDetails[[#This Row],[ProductID]],Product!A:A,Product!B:B,"Not Found")</f>
        <v>Lakkalikööri</v>
      </c>
    </row>
    <row r="881" spans="1:11">
      <c r="A881" s="2">
        <v>10576</v>
      </c>
      <c r="B881" s="2">
        <v>1</v>
      </c>
      <c r="C881" s="2">
        <v>18</v>
      </c>
      <c r="D881" s="2">
        <v>10</v>
      </c>
      <c r="E881" s="4">
        <v>0</v>
      </c>
      <c r="F881" s="1" t="str">
        <f>_xlfn.XLOOKUP(A881,Orders!A:A,Orders!B:B,"not found")</f>
        <v>TORTU</v>
      </c>
      <c r="G881" s="13">
        <f>_xlfn.XLOOKUP(OrderDetails[[#This Row],[OrderID]],Orders!A:A,Orders!C:C,"Not Found")</f>
        <v>35604</v>
      </c>
      <c r="H881" s="16">
        <f>(OrderDetails[[#This Row],[UnitPrice]]*OrderDetails[[#This Row],[Quantity]])*(1-OrderDetails[[#This Row],[Discount]])</f>
        <v>180</v>
      </c>
      <c r="I881" s="15" t="str">
        <f>_xlfn.XLOOKUP(OrderDetails[[#This Row],[ProductID]],Product!A:A,Product!G:G,"Not Found")</f>
        <v>Beverages</v>
      </c>
      <c r="J881" s="15" t="str">
        <f>LOOKUP(MONTH(G881),{1,4,7,10},{"Winter","Spring","Summer","Autumn"})</f>
        <v>Spring</v>
      </c>
      <c r="K881" s="15" t="str">
        <f>_xlfn.XLOOKUP(OrderDetails[[#This Row],[ProductID]],Product!A:A,Product!B:B,"Not Found")</f>
        <v>Chai</v>
      </c>
    </row>
    <row r="882" spans="1:11">
      <c r="A882" s="1">
        <v>10576</v>
      </c>
      <c r="B882" s="1">
        <v>31</v>
      </c>
      <c r="C882" s="1">
        <v>12.5</v>
      </c>
      <c r="D882" s="1">
        <v>20</v>
      </c>
      <c r="E882" s="3">
        <v>0</v>
      </c>
      <c r="F882" s="1" t="str">
        <f>_xlfn.XLOOKUP(A882,Orders!A:A,Orders!B:B,"not found")</f>
        <v>TORTU</v>
      </c>
      <c r="G882" s="13">
        <f>_xlfn.XLOOKUP(OrderDetails[[#This Row],[OrderID]],Orders!A:A,Orders!C:C,"Not Found")</f>
        <v>35604</v>
      </c>
      <c r="H882" s="16">
        <f>(OrderDetails[[#This Row],[UnitPrice]]*OrderDetails[[#This Row],[Quantity]])*(1-OrderDetails[[#This Row],[Discount]])</f>
        <v>250</v>
      </c>
      <c r="I882" s="15" t="str">
        <f>_xlfn.XLOOKUP(OrderDetails[[#This Row],[ProductID]],Product!A:A,Product!G:G,"Not Found")</f>
        <v>Dairy Products</v>
      </c>
      <c r="J882" s="15" t="str">
        <f>LOOKUP(MONTH(G882),{1,4,7,10},{"Winter","Spring","Summer","Autumn"})</f>
        <v>Spring</v>
      </c>
      <c r="K882" s="15" t="str">
        <f>_xlfn.XLOOKUP(OrderDetails[[#This Row],[ProductID]],Product!A:A,Product!B:B,"Not Found")</f>
        <v>Gorgonzola Telino</v>
      </c>
    </row>
    <row r="883" spans="1:11">
      <c r="A883" s="2">
        <v>10576</v>
      </c>
      <c r="B883" s="2">
        <v>44</v>
      </c>
      <c r="C883" s="2">
        <v>19.45</v>
      </c>
      <c r="D883" s="2">
        <v>21</v>
      </c>
      <c r="E883" s="4">
        <v>0</v>
      </c>
      <c r="F883" s="1" t="str">
        <f>_xlfn.XLOOKUP(A883,Orders!A:A,Orders!B:B,"not found")</f>
        <v>TORTU</v>
      </c>
      <c r="G883" s="13">
        <f>_xlfn.XLOOKUP(OrderDetails[[#This Row],[OrderID]],Orders!A:A,Orders!C:C,"Not Found")</f>
        <v>35604</v>
      </c>
      <c r="H883" s="16">
        <f>(OrderDetails[[#This Row],[UnitPrice]]*OrderDetails[[#This Row],[Quantity]])*(1-OrderDetails[[#This Row],[Discount]])</f>
        <v>408.45</v>
      </c>
      <c r="I883" s="15" t="str">
        <f>_xlfn.XLOOKUP(OrderDetails[[#This Row],[ProductID]],Product!A:A,Product!G:G,"Not Found")</f>
        <v>Condiments</v>
      </c>
      <c r="J883" s="15" t="str">
        <f>LOOKUP(MONTH(G883),{1,4,7,10},{"Winter","Spring","Summer","Autumn"})</f>
        <v>Spring</v>
      </c>
      <c r="K883" s="15" t="str">
        <f>_xlfn.XLOOKUP(OrderDetails[[#This Row],[ProductID]],Product!A:A,Product!B:B,"Not Found")</f>
        <v>Gula Malacca</v>
      </c>
    </row>
    <row r="884" spans="1:11">
      <c r="A884" s="1">
        <v>10577</v>
      </c>
      <c r="B884" s="1">
        <v>39</v>
      </c>
      <c r="C884" s="1">
        <v>18</v>
      </c>
      <c r="D884" s="1">
        <v>10</v>
      </c>
      <c r="E884" s="3">
        <v>0</v>
      </c>
      <c r="F884" s="1" t="str">
        <f>_xlfn.XLOOKUP(A884,Orders!A:A,Orders!B:B,"not found")</f>
        <v>TRAIH</v>
      </c>
      <c r="G884" s="13">
        <f>_xlfn.XLOOKUP(OrderDetails[[#This Row],[OrderID]],Orders!A:A,Orders!C:C,"Not Found")</f>
        <v>35604</v>
      </c>
      <c r="H884" s="16">
        <f>(OrderDetails[[#This Row],[UnitPrice]]*OrderDetails[[#This Row],[Quantity]])*(1-OrderDetails[[#This Row],[Discount]])</f>
        <v>180</v>
      </c>
      <c r="I884" s="15" t="str">
        <f>_xlfn.XLOOKUP(OrderDetails[[#This Row],[ProductID]],Product!A:A,Product!G:G,"Not Found")</f>
        <v>Beverages</v>
      </c>
      <c r="J884" s="15" t="str">
        <f>LOOKUP(MONTH(G884),{1,4,7,10},{"Winter","Spring","Summer","Autumn"})</f>
        <v>Spring</v>
      </c>
      <c r="K884" s="15" t="str">
        <f>_xlfn.XLOOKUP(OrderDetails[[#This Row],[ProductID]],Product!A:A,Product!B:B,"Not Found")</f>
        <v>Chartreuse verte</v>
      </c>
    </row>
    <row r="885" spans="1:11">
      <c r="A885" s="2">
        <v>10577</v>
      </c>
      <c r="B885" s="2">
        <v>75</v>
      </c>
      <c r="C885" s="2">
        <v>7.75</v>
      </c>
      <c r="D885" s="2">
        <v>20</v>
      </c>
      <c r="E885" s="4">
        <v>0</v>
      </c>
      <c r="F885" s="1" t="str">
        <f>_xlfn.XLOOKUP(A885,Orders!A:A,Orders!B:B,"not found")</f>
        <v>TRAIH</v>
      </c>
      <c r="G885" s="13">
        <f>_xlfn.XLOOKUP(OrderDetails[[#This Row],[OrderID]],Orders!A:A,Orders!C:C,"Not Found")</f>
        <v>35604</v>
      </c>
      <c r="H885" s="16">
        <f>(OrderDetails[[#This Row],[UnitPrice]]*OrderDetails[[#This Row],[Quantity]])*(1-OrderDetails[[#This Row],[Discount]])</f>
        <v>155</v>
      </c>
      <c r="I885" s="15" t="str">
        <f>_xlfn.XLOOKUP(OrderDetails[[#This Row],[ProductID]],Product!A:A,Product!G:G,"Not Found")</f>
        <v>Beverages</v>
      </c>
      <c r="J885" s="15" t="str">
        <f>LOOKUP(MONTH(G885),{1,4,7,10},{"Winter","Spring","Summer","Autumn"})</f>
        <v>Spring</v>
      </c>
      <c r="K885" s="15" t="str">
        <f>_xlfn.XLOOKUP(OrderDetails[[#This Row],[ProductID]],Product!A:A,Product!B:B,"Not Found")</f>
        <v>Rhönbräu Klosterbier</v>
      </c>
    </row>
    <row r="886" spans="1:11">
      <c r="A886" s="1">
        <v>10577</v>
      </c>
      <c r="B886" s="1">
        <v>77</v>
      </c>
      <c r="C886" s="1">
        <v>13</v>
      </c>
      <c r="D886" s="1">
        <v>18</v>
      </c>
      <c r="E886" s="3">
        <v>0</v>
      </c>
      <c r="F886" s="1" t="str">
        <f>_xlfn.XLOOKUP(A886,Orders!A:A,Orders!B:B,"not found")</f>
        <v>TRAIH</v>
      </c>
      <c r="G886" s="13">
        <f>_xlfn.XLOOKUP(OrderDetails[[#This Row],[OrderID]],Orders!A:A,Orders!C:C,"Not Found")</f>
        <v>35604</v>
      </c>
      <c r="H886" s="16">
        <f>(OrderDetails[[#This Row],[UnitPrice]]*OrderDetails[[#This Row],[Quantity]])*(1-OrderDetails[[#This Row],[Discount]])</f>
        <v>234</v>
      </c>
      <c r="I886" s="15" t="str">
        <f>_xlfn.XLOOKUP(OrderDetails[[#This Row],[ProductID]],Product!A:A,Product!G:G,"Not Found")</f>
        <v>Condiments</v>
      </c>
      <c r="J886" s="15" t="str">
        <f>LOOKUP(MONTH(G886),{1,4,7,10},{"Winter","Spring","Summer","Autumn"})</f>
        <v>Spring</v>
      </c>
      <c r="K886" s="15" t="str">
        <f>_xlfn.XLOOKUP(OrderDetails[[#This Row],[ProductID]],Product!A:A,Product!B:B,"Not Found")</f>
        <v>Original Frankfurter grüne Soße</v>
      </c>
    </row>
    <row r="887" spans="1:11">
      <c r="A887" s="2">
        <v>10578</v>
      </c>
      <c r="B887" s="2">
        <v>35</v>
      </c>
      <c r="C887" s="2">
        <v>18</v>
      </c>
      <c r="D887" s="2">
        <v>20</v>
      </c>
      <c r="E887" s="4">
        <v>0</v>
      </c>
      <c r="F887" s="1" t="str">
        <f>_xlfn.XLOOKUP(A887,Orders!A:A,Orders!B:B,"not found")</f>
        <v>BSBEV</v>
      </c>
      <c r="G887" s="13">
        <f>_xlfn.XLOOKUP(OrderDetails[[#This Row],[OrderID]],Orders!A:A,Orders!C:C,"Not Found")</f>
        <v>35605</v>
      </c>
      <c r="H887" s="16">
        <f>(OrderDetails[[#This Row],[UnitPrice]]*OrderDetails[[#This Row],[Quantity]])*(1-OrderDetails[[#This Row],[Discount]])</f>
        <v>360</v>
      </c>
      <c r="I887" s="15" t="str">
        <f>_xlfn.XLOOKUP(OrderDetails[[#This Row],[ProductID]],Product!A:A,Product!G:G,"Not Found")</f>
        <v>Beverages</v>
      </c>
      <c r="J887" s="15" t="str">
        <f>LOOKUP(MONTH(G887),{1,4,7,10},{"Winter","Spring","Summer","Autumn"})</f>
        <v>Spring</v>
      </c>
      <c r="K887" s="15" t="str">
        <f>_xlfn.XLOOKUP(OrderDetails[[#This Row],[ProductID]],Product!A:A,Product!B:B,"Not Found")</f>
        <v>Steeleye Stout</v>
      </c>
    </row>
    <row r="888" spans="1:11">
      <c r="A888" s="1">
        <v>10578</v>
      </c>
      <c r="B888" s="1">
        <v>57</v>
      </c>
      <c r="C888" s="1">
        <v>19.5</v>
      </c>
      <c r="D888" s="1">
        <v>6</v>
      </c>
      <c r="E888" s="3">
        <v>0</v>
      </c>
      <c r="F888" s="1" t="str">
        <f>_xlfn.XLOOKUP(A888,Orders!A:A,Orders!B:B,"not found")</f>
        <v>BSBEV</v>
      </c>
      <c r="G888" s="13">
        <f>_xlfn.XLOOKUP(OrderDetails[[#This Row],[OrderID]],Orders!A:A,Orders!C:C,"Not Found")</f>
        <v>35605</v>
      </c>
      <c r="H888" s="16">
        <f>(OrderDetails[[#This Row],[UnitPrice]]*OrderDetails[[#This Row],[Quantity]])*(1-OrderDetails[[#This Row],[Discount]])</f>
        <v>117</v>
      </c>
      <c r="I888" s="15" t="str">
        <f>_xlfn.XLOOKUP(OrderDetails[[#This Row],[ProductID]],Product!A:A,Product!G:G,"Not Found")</f>
        <v>Grains/Cereals</v>
      </c>
      <c r="J888" s="15" t="str">
        <f>LOOKUP(MONTH(G888),{1,4,7,10},{"Winter","Spring","Summer","Autumn"})</f>
        <v>Spring</v>
      </c>
      <c r="K888" s="15" t="str">
        <f>_xlfn.XLOOKUP(OrderDetails[[#This Row],[ProductID]],Product!A:A,Product!B:B,"Not Found")</f>
        <v>Ravioli Angelo</v>
      </c>
    </row>
    <row r="889" spans="1:11">
      <c r="A889" s="2">
        <v>10579</v>
      </c>
      <c r="B889" s="2">
        <v>15</v>
      </c>
      <c r="C889" s="2">
        <v>15.5</v>
      </c>
      <c r="D889" s="2">
        <v>10</v>
      </c>
      <c r="E889" s="4">
        <v>0</v>
      </c>
      <c r="F889" s="1" t="str">
        <f>_xlfn.XLOOKUP(A889,Orders!A:A,Orders!B:B,"not found")</f>
        <v>LETSS</v>
      </c>
      <c r="G889" s="13">
        <f>_xlfn.XLOOKUP(OrderDetails[[#This Row],[OrderID]],Orders!A:A,Orders!C:C,"Not Found")</f>
        <v>35606</v>
      </c>
      <c r="H889" s="16">
        <f>(OrderDetails[[#This Row],[UnitPrice]]*OrderDetails[[#This Row],[Quantity]])*(1-OrderDetails[[#This Row],[Discount]])</f>
        <v>155</v>
      </c>
      <c r="I889" s="15" t="str">
        <f>_xlfn.XLOOKUP(OrderDetails[[#This Row],[ProductID]],Product!A:A,Product!G:G,"Not Found")</f>
        <v>Condiments</v>
      </c>
      <c r="J889" s="15" t="str">
        <f>LOOKUP(MONTH(G889),{1,4,7,10},{"Winter","Spring","Summer","Autumn"})</f>
        <v>Spring</v>
      </c>
      <c r="K889" s="15" t="str">
        <f>_xlfn.XLOOKUP(OrderDetails[[#This Row],[ProductID]],Product!A:A,Product!B:B,"Not Found")</f>
        <v>Genen Shouyu</v>
      </c>
    </row>
    <row r="890" spans="1:11">
      <c r="A890" s="1">
        <v>10579</v>
      </c>
      <c r="B890" s="1">
        <v>75</v>
      </c>
      <c r="C890" s="1">
        <v>7.75</v>
      </c>
      <c r="D890" s="1">
        <v>21</v>
      </c>
      <c r="E890" s="3">
        <v>0</v>
      </c>
      <c r="F890" s="1" t="str">
        <f>_xlfn.XLOOKUP(A890,Orders!A:A,Orders!B:B,"not found")</f>
        <v>LETSS</v>
      </c>
      <c r="G890" s="13">
        <f>_xlfn.XLOOKUP(OrderDetails[[#This Row],[OrderID]],Orders!A:A,Orders!C:C,"Not Found")</f>
        <v>35606</v>
      </c>
      <c r="H890" s="16">
        <f>(OrderDetails[[#This Row],[UnitPrice]]*OrderDetails[[#This Row],[Quantity]])*(1-OrderDetails[[#This Row],[Discount]])</f>
        <v>162.75</v>
      </c>
      <c r="I890" s="15" t="str">
        <f>_xlfn.XLOOKUP(OrderDetails[[#This Row],[ProductID]],Product!A:A,Product!G:G,"Not Found")</f>
        <v>Beverages</v>
      </c>
      <c r="J890" s="15" t="str">
        <f>LOOKUP(MONTH(G890),{1,4,7,10},{"Winter","Spring","Summer","Autumn"})</f>
        <v>Spring</v>
      </c>
      <c r="K890" s="15" t="str">
        <f>_xlfn.XLOOKUP(OrderDetails[[#This Row],[ProductID]],Product!A:A,Product!B:B,"Not Found")</f>
        <v>Rhönbräu Klosterbier</v>
      </c>
    </row>
    <row r="891" spans="1:11">
      <c r="A891" s="2">
        <v>10580</v>
      </c>
      <c r="B891" s="2">
        <v>14</v>
      </c>
      <c r="C891" s="2">
        <v>23.25</v>
      </c>
      <c r="D891" s="2">
        <v>15</v>
      </c>
      <c r="E891" s="4">
        <v>5.000000074505806E-2</v>
      </c>
      <c r="F891" s="1" t="str">
        <f>_xlfn.XLOOKUP(A891,Orders!A:A,Orders!B:B,"not found")</f>
        <v>OTTIK</v>
      </c>
      <c r="G891" s="13">
        <f>_xlfn.XLOOKUP(OrderDetails[[#This Row],[OrderID]],Orders!A:A,Orders!C:C,"Not Found")</f>
        <v>35607</v>
      </c>
      <c r="H891" s="16">
        <f>(OrderDetails[[#This Row],[UnitPrice]]*OrderDetails[[#This Row],[Quantity]])*(1-OrderDetails[[#This Row],[Discount]])</f>
        <v>331.312499740161</v>
      </c>
      <c r="I891" s="15" t="str">
        <f>_xlfn.XLOOKUP(OrderDetails[[#This Row],[ProductID]],Product!A:A,Product!G:G,"Not Found")</f>
        <v>Produce</v>
      </c>
      <c r="J891" s="15" t="str">
        <f>LOOKUP(MONTH(G891),{1,4,7,10},{"Winter","Spring","Summer","Autumn"})</f>
        <v>Spring</v>
      </c>
      <c r="K891" s="15" t="str">
        <f>_xlfn.XLOOKUP(OrderDetails[[#This Row],[ProductID]],Product!A:A,Product!B:B,"Not Found")</f>
        <v>Tofu</v>
      </c>
    </row>
    <row r="892" spans="1:11">
      <c r="A892" s="1">
        <v>10580</v>
      </c>
      <c r="B892" s="1">
        <v>41</v>
      </c>
      <c r="C892" s="1">
        <v>9.65</v>
      </c>
      <c r="D892" s="1">
        <v>9</v>
      </c>
      <c r="E892" s="3">
        <v>5.000000074505806E-2</v>
      </c>
      <c r="F892" s="1" t="str">
        <f>_xlfn.XLOOKUP(A892,Orders!A:A,Orders!B:B,"not found")</f>
        <v>OTTIK</v>
      </c>
      <c r="G892" s="13">
        <f>_xlfn.XLOOKUP(OrderDetails[[#This Row],[OrderID]],Orders!A:A,Orders!C:C,"Not Found")</f>
        <v>35607</v>
      </c>
      <c r="H892" s="16">
        <f>(OrderDetails[[#This Row],[UnitPrice]]*OrderDetails[[#This Row],[Quantity]])*(1-OrderDetails[[#This Row],[Discount]])</f>
        <v>82.507499935291719</v>
      </c>
      <c r="I892" s="15" t="str">
        <f>_xlfn.XLOOKUP(OrderDetails[[#This Row],[ProductID]],Product!A:A,Product!G:G,"Not Found")</f>
        <v>Seafood</v>
      </c>
      <c r="J892" s="15" t="str">
        <f>LOOKUP(MONTH(G892),{1,4,7,10},{"Winter","Spring","Summer","Autumn"})</f>
        <v>Spring</v>
      </c>
      <c r="K892" s="15" t="str">
        <f>_xlfn.XLOOKUP(OrderDetails[[#This Row],[ProductID]],Product!A:A,Product!B:B,"Not Found")</f>
        <v>Jack's New England Clam Chowder</v>
      </c>
    </row>
    <row r="893" spans="1:11">
      <c r="A893" s="2">
        <v>10580</v>
      </c>
      <c r="B893" s="2">
        <v>65</v>
      </c>
      <c r="C893" s="2">
        <v>21.05</v>
      </c>
      <c r="D893" s="2">
        <v>30</v>
      </c>
      <c r="E893" s="4">
        <v>5.000000074505806E-2</v>
      </c>
      <c r="F893" s="1" t="str">
        <f>_xlfn.XLOOKUP(A893,Orders!A:A,Orders!B:B,"not found")</f>
        <v>OTTIK</v>
      </c>
      <c r="G893" s="13">
        <f>_xlfn.XLOOKUP(OrderDetails[[#This Row],[OrderID]],Orders!A:A,Orders!C:C,"Not Found")</f>
        <v>35607</v>
      </c>
      <c r="H893" s="16">
        <f>(OrderDetails[[#This Row],[UnitPrice]]*OrderDetails[[#This Row],[Quantity]])*(1-OrderDetails[[#This Row],[Discount]])</f>
        <v>599.92499952949584</v>
      </c>
      <c r="I893" s="15" t="str">
        <f>_xlfn.XLOOKUP(OrderDetails[[#This Row],[ProductID]],Product!A:A,Product!G:G,"Not Found")</f>
        <v>Condiments</v>
      </c>
      <c r="J893" s="15" t="str">
        <f>LOOKUP(MONTH(G893),{1,4,7,10},{"Winter","Spring","Summer","Autumn"})</f>
        <v>Spring</v>
      </c>
      <c r="K893" s="15" t="str">
        <f>_xlfn.XLOOKUP(OrderDetails[[#This Row],[ProductID]],Product!A:A,Product!B:B,"Not Found")</f>
        <v>Louisiana Fiery Hot Pepper Sauce</v>
      </c>
    </row>
    <row r="894" spans="1:11">
      <c r="A894" s="1">
        <v>10581</v>
      </c>
      <c r="B894" s="1">
        <v>75</v>
      </c>
      <c r="C894" s="1">
        <v>7.75</v>
      </c>
      <c r="D894" s="1">
        <v>50</v>
      </c>
      <c r="E894" s="3">
        <v>0.20000000298023224</v>
      </c>
      <c r="F894" s="1" t="str">
        <f>_xlfn.XLOOKUP(A894,Orders!A:A,Orders!B:B,"not found")</f>
        <v>FAMIA</v>
      </c>
      <c r="G894" s="13">
        <f>_xlfn.XLOOKUP(OrderDetails[[#This Row],[OrderID]],Orders!A:A,Orders!C:C,"Not Found")</f>
        <v>35607</v>
      </c>
      <c r="H894" s="16">
        <f>(OrderDetails[[#This Row],[UnitPrice]]*OrderDetails[[#This Row],[Quantity]])*(1-OrderDetails[[#This Row],[Discount]])</f>
        <v>309.99999884516001</v>
      </c>
      <c r="I894" s="15" t="str">
        <f>_xlfn.XLOOKUP(OrderDetails[[#This Row],[ProductID]],Product!A:A,Product!G:G,"Not Found")</f>
        <v>Beverages</v>
      </c>
      <c r="J894" s="15" t="str">
        <f>LOOKUP(MONTH(G894),{1,4,7,10},{"Winter","Spring","Summer","Autumn"})</f>
        <v>Spring</v>
      </c>
      <c r="K894" s="15" t="str">
        <f>_xlfn.XLOOKUP(OrderDetails[[#This Row],[ProductID]],Product!A:A,Product!B:B,"Not Found")</f>
        <v>Rhönbräu Klosterbier</v>
      </c>
    </row>
    <row r="895" spans="1:11">
      <c r="A895" s="2">
        <v>10582</v>
      </c>
      <c r="B895" s="2">
        <v>57</v>
      </c>
      <c r="C895" s="2">
        <v>19.5</v>
      </c>
      <c r="D895" s="2">
        <v>4</v>
      </c>
      <c r="E895" s="4">
        <v>0</v>
      </c>
      <c r="F895" s="1" t="str">
        <f>_xlfn.XLOOKUP(A895,Orders!A:A,Orders!B:B,"not found")</f>
        <v>BLAUS</v>
      </c>
      <c r="G895" s="13">
        <f>_xlfn.XLOOKUP(OrderDetails[[#This Row],[OrderID]],Orders!A:A,Orders!C:C,"Not Found")</f>
        <v>35608</v>
      </c>
      <c r="H895" s="16">
        <f>(OrderDetails[[#This Row],[UnitPrice]]*OrderDetails[[#This Row],[Quantity]])*(1-OrderDetails[[#This Row],[Discount]])</f>
        <v>78</v>
      </c>
      <c r="I895" s="15" t="str">
        <f>_xlfn.XLOOKUP(OrderDetails[[#This Row],[ProductID]],Product!A:A,Product!G:G,"Not Found")</f>
        <v>Grains/Cereals</v>
      </c>
      <c r="J895" s="15" t="str">
        <f>LOOKUP(MONTH(G895),{1,4,7,10},{"Winter","Spring","Summer","Autumn"})</f>
        <v>Spring</v>
      </c>
      <c r="K895" s="15" t="str">
        <f>_xlfn.XLOOKUP(OrderDetails[[#This Row],[ProductID]],Product!A:A,Product!B:B,"Not Found")</f>
        <v>Ravioli Angelo</v>
      </c>
    </row>
    <row r="896" spans="1:11">
      <c r="A896" s="1">
        <v>10582</v>
      </c>
      <c r="B896" s="1">
        <v>76</v>
      </c>
      <c r="C896" s="1">
        <v>18</v>
      </c>
      <c r="D896" s="1">
        <v>14</v>
      </c>
      <c r="E896" s="3">
        <v>0</v>
      </c>
      <c r="F896" s="1" t="str">
        <f>_xlfn.XLOOKUP(A896,Orders!A:A,Orders!B:B,"not found")</f>
        <v>BLAUS</v>
      </c>
      <c r="G896" s="13">
        <f>_xlfn.XLOOKUP(OrderDetails[[#This Row],[OrderID]],Orders!A:A,Orders!C:C,"Not Found")</f>
        <v>35608</v>
      </c>
      <c r="H896" s="16">
        <f>(OrderDetails[[#This Row],[UnitPrice]]*OrderDetails[[#This Row],[Quantity]])*(1-OrderDetails[[#This Row],[Discount]])</f>
        <v>252</v>
      </c>
      <c r="I896" s="15" t="str">
        <f>_xlfn.XLOOKUP(OrderDetails[[#This Row],[ProductID]],Product!A:A,Product!G:G,"Not Found")</f>
        <v>Beverages</v>
      </c>
      <c r="J896" s="15" t="str">
        <f>LOOKUP(MONTH(G896),{1,4,7,10},{"Winter","Spring","Summer","Autumn"})</f>
        <v>Spring</v>
      </c>
      <c r="K896" s="15" t="str">
        <f>_xlfn.XLOOKUP(OrderDetails[[#This Row],[ProductID]],Product!A:A,Product!B:B,"Not Found")</f>
        <v>Lakkalikööri</v>
      </c>
    </row>
    <row r="897" spans="1:11">
      <c r="A897" s="2">
        <v>10583</v>
      </c>
      <c r="B897" s="2">
        <v>29</v>
      </c>
      <c r="C897" s="2">
        <v>123.79</v>
      </c>
      <c r="D897" s="2">
        <v>10</v>
      </c>
      <c r="E897" s="4">
        <v>0</v>
      </c>
      <c r="F897" s="1" t="str">
        <f>_xlfn.XLOOKUP(A897,Orders!A:A,Orders!B:B,"not found")</f>
        <v>WARTH</v>
      </c>
      <c r="G897" s="13">
        <f>_xlfn.XLOOKUP(OrderDetails[[#This Row],[OrderID]],Orders!A:A,Orders!C:C,"Not Found")</f>
        <v>35611</v>
      </c>
      <c r="H897" s="16">
        <f>(OrderDetails[[#This Row],[UnitPrice]]*OrderDetails[[#This Row],[Quantity]])*(1-OrderDetails[[#This Row],[Discount]])</f>
        <v>1237.9000000000001</v>
      </c>
      <c r="I897" s="15" t="str">
        <f>_xlfn.XLOOKUP(OrderDetails[[#This Row],[ProductID]],Product!A:A,Product!G:G,"Not Found")</f>
        <v>Meat/Poultry</v>
      </c>
      <c r="J897" s="15" t="str">
        <f>LOOKUP(MONTH(G897),{1,4,7,10},{"Winter","Spring","Summer","Autumn"})</f>
        <v>Spring</v>
      </c>
      <c r="K897" s="15" t="str">
        <f>_xlfn.XLOOKUP(OrderDetails[[#This Row],[ProductID]],Product!A:A,Product!B:B,"Not Found")</f>
        <v>Thüringer Rostbratwurst</v>
      </c>
    </row>
    <row r="898" spans="1:11">
      <c r="A898" s="1">
        <v>10583</v>
      </c>
      <c r="B898" s="1">
        <v>60</v>
      </c>
      <c r="C898" s="1">
        <v>34</v>
      </c>
      <c r="D898" s="1">
        <v>24</v>
      </c>
      <c r="E898" s="3">
        <v>0.15000000596046448</v>
      </c>
      <c r="F898" s="1" t="str">
        <f>_xlfn.XLOOKUP(A898,Orders!A:A,Orders!B:B,"not found")</f>
        <v>WARTH</v>
      </c>
      <c r="G898" s="13">
        <f>_xlfn.XLOOKUP(OrderDetails[[#This Row],[OrderID]],Orders!A:A,Orders!C:C,"Not Found")</f>
        <v>35611</v>
      </c>
      <c r="H898" s="16">
        <f>(OrderDetails[[#This Row],[UnitPrice]]*OrderDetails[[#This Row],[Quantity]])*(1-OrderDetails[[#This Row],[Discount]])</f>
        <v>693.59999513626099</v>
      </c>
      <c r="I898" s="15" t="str">
        <f>_xlfn.XLOOKUP(OrderDetails[[#This Row],[ProductID]],Product!A:A,Product!G:G,"Not Found")</f>
        <v>Dairy Products</v>
      </c>
      <c r="J898" s="15" t="str">
        <f>LOOKUP(MONTH(G898),{1,4,7,10},{"Winter","Spring","Summer","Autumn"})</f>
        <v>Spring</v>
      </c>
      <c r="K898" s="15" t="str">
        <f>_xlfn.XLOOKUP(OrderDetails[[#This Row],[ProductID]],Product!A:A,Product!B:B,"Not Found")</f>
        <v>Camembert Pierrot</v>
      </c>
    </row>
    <row r="899" spans="1:11">
      <c r="A899" s="2">
        <v>10583</v>
      </c>
      <c r="B899" s="2">
        <v>69</v>
      </c>
      <c r="C899" s="2">
        <v>36</v>
      </c>
      <c r="D899" s="2">
        <v>10</v>
      </c>
      <c r="E899" s="4">
        <v>0.15000000596046448</v>
      </c>
      <c r="F899" s="1" t="str">
        <f>_xlfn.XLOOKUP(A899,Orders!A:A,Orders!B:B,"not found")</f>
        <v>WARTH</v>
      </c>
      <c r="G899" s="13">
        <f>_xlfn.XLOOKUP(OrderDetails[[#This Row],[OrderID]],Orders!A:A,Orders!C:C,"Not Found")</f>
        <v>35611</v>
      </c>
      <c r="H899" s="16">
        <f>(OrderDetails[[#This Row],[UnitPrice]]*OrderDetails[[#This Row],[Quantity]])*(1-OrderDetails[[#This Row],[Discount]])</f>
        <v>305.99999785423279</v>
      </c>
      <c r="I899" s="15" t="str">
        <f>_xlfn.XLOOKUP(OrderDetails[[#This Row],[ProductID]],Product!A:A,Product!G:G,"Not Found")</f>
        <v>Dairy Products</v>
      </c>
      <c r="J899" s="15" t="str">
        <f>LOOKUP(MONTH(G899),{1,4,7,10},{"Winter","Spring","Summer","Autumn"})</f>
        <v>Spring</v>
      </c>
      <c r="K899" s="15" t="str">
        <f>_xlfn.XLOOKUP(OrderDetails[[#This Row],[ProductID]],Product!A:A,Product!B:B,"Not Found")</f>
        <v>Gudbrandsdalsost</v>
      </c>
    </row>
    <row r="900" spans="1:11">
      <c r="A900" s="1">
        <v>10584</v>
      </c>
      <c r="B900" s="1">
        <v>31</v>
      </c>
      <c r="C900" s="1">
        <v>12.5</v>
      </c>
      <c r="D900" s="1">
        <v>50</v>
      </c>
      <c r="E900" s="3">
        <v>5.000000074505806E-2</v>
      </c>
      <c r="F900" s="1" t="str">
        <f>_xlfn.XLOOKUP(A900,Orders!A:A,Orders!B:B,"not found")</f>
        <v>BLONP</v>
      </c>
      <c r="G900" s="13">
        <f>_xlfn.XLOOKUP(OrderDetails[[#This Row],[OrderID]],Orders!A:A,Orders!C:C,"Not Found")</f>
        <v>35611</v>
      </c>
      <c r="H900" s="16">
        <f>(OrderDetails[[#This Row],[UnitPrice]]*OrderDetails[[#This Row],[Quantity]])*(1-OrderDetails[[#This Row],[Discount]])</f>
        <v>593.74999953433871</v>
      </c>
      <c r="I900" s="15" t="str">
        <f>_xlfn.XLOOKUP(OrderDetails[[#This Row],[ProductID]],Product!A:A,Product!G:G,"Not Found")</f>
        <v>Dairy Products</v>
      </c>
      <c r="J900" s="15" t="str">
        <f>LOOKUP(MONTH(G900),{1,4,7,10},{"Winter","Spring","Summer","Autumn"})</f>
        <v>Spring</v>
      </c>
      <c r="K900" s="15" t="str">
        <f>_xlfn.XLOOKUP(OrderDetails[[#This Row],[ProductID]],Product!A:A,Product!B:B,"Not Found")</f>
        <v>Gorgonzola Telino</v>
      </c>
    </row>
    <row r="901" spans="1:11">
      <c r="A901" s="2">
        <v>10585</v>
      </c>
      <c r="B901" s="2">
        <v>47</v>
      </c>
      <c r="C901" s="2">
        <v>9.5</v>
      </c>
      <c r="D901" s="2">
        <v>15</v>
      </c>
      <c r="E901" s="4">
        <v>0</v>
      </c>
      <c r="F901" s="1" t="str">
        <f>_xlfn.XLOOKUP(A901,Orders!A:A,Orders!B:B,"not found")</f>
        <v>WELLI</v>
      </c>
      <c r="G901" s="13">
        <f>_xlfn.XLOOKUP(OrderDetails[[#This Row],[OrderID]],Orders!A:A,Orders!C:C,"Not Found")</f>
        <v>35612</v>
      </c>
      <c r="H901" s="16">
        <f>(OrderDetails[[#This Row],[UnitPrice]]*OrderDetails[[#This Row],[Quantity]])*(1-OrderDetails[[#This Row],[Discount]])</f>
        <v>142.5</v>
      </c>
      <c r="I901" s="15" t="str">
        <f>_xlfn.XLOOKUP(OrderDetails[[#This Row],[ProductID]],Product!A:A,Product!G:G,"Not Found")</f>
        <v>Confections</v>
      </c>
      <c r="J901" s="15" t="str">
        <f>LOOKUP(MONTH(G901),{1,4,7,10},{"Winter","Spring","Summer","Autumn"})</f>
        <v>Summer</v>
      </c>
      <c r="K901" s="15" t="str">
        <f>_xlfn.XLOOKUP(OrderDetails[[#This Row],[ProductID]],Product!A:A,Product!B:B,"Not Found")</f>
        <v>Zaanse koeken</v>
      </c>
    </row>
    <row r="902" spans="1:11">
      <c r="A902" s="1">
        <v>10586</v>
      </c>
      <c r="B902" s="1">
        <v>52</v>
      </c>
      <c r="C902" s="1">
        <v>7</v>
      </c>
      <c r="D902" s="1">
        <v>4</v>
      </c>
      <c r="E902" s="3">
        <v>0.15000000596046448</v>
      </c>
      <c r="F902" s="1" t="str">
        <f>_xlfn.XLOOKUP(A902,Orders!A:A,Orders!B:B,"not found")</f>
        <v>REGGC</v>
      </c>
      <c r="G902" s="13">
        <f>_xlfn.XLOOKUP(OrderDetails[[#This Row],[OrderID]],Orders!A:A,Orders!C:C,"Not Found")</f>
        <v>35613</v>
      </c>
      <c r="H902" s="16">
        <f>(OrderDetails[[#This Row],[UnitPrice]]*OrderDetails[[#This Row],[Quantity]])*(1-OrderDetails[[#This Row],[Discount]])</f>
        <v>23.799999833106995</v>
      </c>
      <c r="I902" s="15" t="str">
        <f>_xlfn.XLOOKUP(OrderDetails[[#This Row],[ProductID]],Product!A:A,Product!G:G,"Not Found")</f>
        <v>Grains/Cereals</v>
      </c>
      <c r="J902" s="15" t="str">
        <f>LOOKUP(MONTH(G902),{1,4,7,10},{"Winter","Spring","Summer","Autumn"})</f>
        <v>Summer</v>
      </c>
      <c r="K902" s="15" t="str">
        <f>_xlfn.XLOOKUP(OrderDetails[[#This Row],[ProductID]],Product!A:A,Product!B:B,"Not Found")</f>
        <v>Filo Mix</v>
      </c>
    </row>
    <row r="903" spans="1:11">
      <c r="A903" s="2">
        <v>10587</v>
      </c>
      <c r="B903" s="2">
        <v>26</v>
      </c>
      <c r="C903" s="2">
        <v>31.23</v>
      </c>
      <c r="D903" s="2">
        <v>6</v>
      </c>
      <c r="E903" s="4">
        <v>0</v>
      </c>
      <c r="F903" s="1" t="str">
        <f>_xlfn.XLOOKUP(A903,Orders!A:A,Orders!B:B,"not found")</f>
        <v>QUEDE</v>
      </c>
      <c r="G903" s="13">
        <f>_xlfn.XLOOKUP(OrderDetails[[#This Row],[OrderID]],Orders!A:A,Orders!C:C,"Not Found")</f>
        <v>35613</v>
      </c>
      <c r="H903" s="16">
        <f>(OrderDetails[[#This Row],[UnitPrice]]*OrderDetails[[#This Row],[Quantity]])*(1-OrderDetails[[#This Row],[Discount]])</f>
        <v>187.38</v>
      </c>
      <c r="I903" s="15" t="str">
        <f>_xlfn.XLOOKUP(OrderDetails[[#This Row],[ProductID]],Product!A:A,Product!G:G,"Not Found")</f>
        <v>Confections</v>
      </c>
      <c r="J903" s="15" t="str">
        <f>LOOKUP(MONTH(G903),{1,4,7,10},{"Winter","Spring","Summer","Autumn"})</f>
        <v>Summer</v>
      </c>
      <c r="K903" s="15" t="str">
        <f>_xlfn.XLOOKUP(OrderDetails[[#This Row],[ProductID]],Product!A:A,Product!B:B,"Not Found")</f>
        <v>Gumbär Gummibärchen</v>
      </c>
    </row>
    <row r="904" spans="1:11">
      <c r="A904" s="1">
        <v>10587</v>
      </c>
      <c r="B904" s="1">
        <v>35</v>
      </c>
      <c r="C904" s="1">
        <v>18</v>
      </c>
      <c r="D904" s="1">
        <v>20</v>
      </c>
      <c r="E904" s="3">
        <v>0</v>
      </c>
      <c r="F904" s="1" t="str">
        <f>_xlfn.XLOOKUP(A904,Orders!A:A,Orders!B:B,"not found")</f>
        <v>QUEDE</v>
      </c>
      <c r="G904" s="13">
        <f>_xlfn.XLOOKUP(OrderDetails[[#This Row],[OrderID]],Orders!A:A,Orders!C:C,"Not Found")</f>
        <v>35613</v>
      </c>
      <c r="H904" s="16">
        <f>(OrderDetails[[#This Row],[UnitPrice]]*OrderDetails[[#This Row],[Quantity]])*(1-OrderDetails[[#This Row],[Discount]])</f>
        <v>360</v>
      </c>
      <c r="I904" s="15" t="str">
        <f>_xlfn.XLOOKUP(OrderDetails[[#This Row],[ProductID]],Product!A:A,Product!G:G,"Not Found")</f>
        <v>Beverages</v>
      </c>
      <c r="J904" s="15" t="str">
        <f>LOOKUP(MONTH(G904),{1,4,7,10},{"Winter","Spring","Summer","Autumn"})</f>
        <v>Summer</v>
      </c>
      <c r="K904" s="15" t="str">
        <f>_xlfn.XLOOKUP(OrderDetails[[#This Row],[ProductID]],Product!A:A,Product!B:B,"Not Found")</f>
        <v>Steeleye Stout</v>
      </c>
    </row>
    <row r="905" spans="1:11">
      <c r="A905" s="2">
        <v>10587</v>
      </c>
      <c r="B905" s="2">
        <v>77</v>
      </c>
      <c r="C905" s="2">
        <v>13</v>
      </c>
      <c r="D905" s="2">
        <v>20</v>
      </c>
      <c r="E905" s="4">
        <v>0</v>
      </c>
      <c r="F905" s="1" t="str">
        <f>_xlfn.XLOOKUP(A905,Orders!A:A,Orders!B:B,"not found")</f>
        <v>QUEDE</v>
      </c>
      <c r="G905" s="13">
        <f>_xlfn.XLOOKUP(OrderDetails[[#This Row],[OrderID]],Orders!A:A,Orders!C:C,"Not Found")</f>
        <v>35613</v>
      </c>
      <c r="H905" s="16">
        <f>(OrderDetails[[#This Row],[UnitPrice]]*OrderDetails[[#This Row],[Quantity]])*(1-OrderDetails[[#This Row],[Discount]])</f>
        <v>260</v>
      </c>
      <c r="I905" s="15" t="str">
        <f>_xlfn.XLOOKUP(OrderDetails[[#This Row],[ProductID]],Product!A:A,Product!G:G,"Not Found")</f>
        <v>Condiments</v>
      </c>
      <c r="J905" s="15" t="str">
        <f>LOOKUP(MONTH(G905),{1,4,7,10},{"Winter","Spring","Summer","Autumn"})</f>
        <v>Summer</v>
      </c>
      <c r="K905" s="15" t="str">
        <f>_xlfn.XLOOKUP(OrderDetails[[#This Row],[ProductID]],Product!A:A,Product!B:B,"Not Found")</f>
        <v>Original Frankfurter grüne Soße</v>
      </c>
    </row>
    <row r="906" spans="1:11">
      <c r="A906" s="1">
        <v>10588</v>
      </c>
      <c r="B906" s="1">
        <v>18</v>
      </c>
      <c r="C906" s="1">
        <v>62.5</v>
      </c>
      <c r="D906" s="1">
        <v>40</v>
      </c>
      <c r="E906" s="3">
        <v>0.20000000298023224</v>
      </c>
      <c r="F906" s="1" t="str">
        <f>_xlfn.XLOOKUP(A906,Orders!A:A,Orders!B:B,"not found")</f>
        <v>QUICK</v>
      </c>
      <c r="G906" s="13">
        <f>_xlfn.XLOOKUP(OrderDetails[[#This Row],[OrderID]],Orders!A:A,Orders!C:C,"Not Found")</f>
        <v>35614</v>
      </c>
      <c r="H906" s="16">
        <f>(OrderDetails[[#This Row],[UnitPrice]]*OrderDetails[[#This Row],[Quantity]])*(1-OrderDetails[[#This Row],[Discount]])</f>
        <v>1999.9999925494194</v>
      </c>
      <c r="I906" s="15" t="str">
        <f>_xlfn.XLOOKUP(OrderDetails[[#This Row],[ProductID]],Product!A:A,Product!G:G,"Not Found")</f>
        <v>Seafood</v>
      </c>
      <c r="J906" s="15" t="str">
        <f>LOOKUP(MONTH(G906),{1,4,7,10},{"Winter","Spring","Summer","Autumn"})</f>
        <v>Summer</v>
      </c>
      <c r="K906" s="15" t="str">
        <f>_xlfn.XLOOKUP(OrderDetails[[#This Row],[ProductID]],Product!A:A,Product!B:B,"Not Found")</f>
        <v>Carnarvon Tigers</v>
      </c>
    </row>
    <row r="907" spans="1:11">
      <c r="A907" s="2">
        <v>10588</v>
      </c>
      <c r="B907" s="2">
        <v>42</v>
      </c>
      <c r="C907" s="2">
        <v>14</v>
      </c>
      <c r="D907" s="2">
        <v>100</v>
      </c>
      <c r="E907" s="4">
        <v>0.20000000298023224</v>
      </c>
      <c r="F907" s="1" t="str">
        <f>_xlfn.XLOOKUP(A907,Orders!A:A,Orders!B:B,"not found")</f>
        <v>QUICK</v>
      </c>
      <c r="G907" s="13">
        <f>_xlfn.XLOOKUP(OrderDetails[[#This Row],[OrderID]],Orders!A:A,Orders!C:C,"Not Found")</f>
        <v>35614</v>
      </c>
      <c r="H907" s="16">
        <f>(OrderDetails[[#This Row],[UnitPrice]]*OrderDetails[[#This Row],[Quantity]])*(1-OrderDetails[[#This Row],[Discount]])</f>
        <v>1119.9999958276749</v>
      </c>
      <c r="I907" s="15" t="str">
        <f>_xlfn.XLOOKUP(OrderDetails[[#This Row],[ProductID]],Product!A:A,Product!G:G,"Not Found")</f>
        <v>Grains/Cereals</v>
      </c>
      <c r="J907" s="15" t="str">
        <f>LOOKUP(MONTH(G907),{1,4,7,10},{"Winter","Spring","Summer","Autumn"})</f>
        <v>Summer</v>
      </c>
      <c r="K907" s="15" t="str">
        <f>_xlfn.XLOOKUP(OrderDetails[[#This Row],[ProductID]],Product!A:A,Product!B:B,"Not Found")</f>
        <v>Singaporean Hokkien Fried Mee</v>
      </c>
    </row>
    <row r="908" spans="1:11">
      <c r="A908" s="1">
        <v>10589</v>
      </c>
      <c r="B908" s="1">
        <v>35</v>
      </c>
      <c r="C908" s="1">
        <v>18</v>
      </c>
      <c r="D908" s="1">
        <v>4</v>
      </c>
      <c r="E908" s="3">
        <v>0</v>
      </c>
      <c r="F908" s="1" t="str">
        <f>_xlfn.XLOOKUP(A908,Orders!A:A,Orders!B:B,"not found")</f>
        <v>GREAL</v>
      </c>
      <c r="G908" s="13">
        <f>_xlfn.XLOOKUP(OrderDetails[[#This Row],[OrderID]],Orders!A:A,Orders!C:C,"Not Found")</f>
        <v>35615</v>
      </c>
      <c r="H908" s="16">
        <f>(OrderDetails[[#This Row],[UnitPrice]]*OrderDetails[[#This Row],[Quantity]])*(1-OrderDetails[[#This Row],[Discount]])</f>
        <v>72</v>
      </c>
      <c r="I908" s="15" t="str">
        <f>_xlfn.XLOOKUP(OrderDetails[[#This Row],[ProductID]],Product!A:A,Product!G:G,"Not Found")</f>
        <v>Beverages</v>
      </c>
      <c r="J908" s="15" t="str">
        <f>LOOKUP(MONTH(G908),{1,4,7,10},{"Winter","Spring","Summer","Autumn"})</f>
        <v>Summer</v>
      </c>
      <c r="K908" s="15" t="str">
        <f>_xlfn.XLOOKUP(OrderDetails[[#This Row],[ProductID]],Product!A:A,Product!B:B,"Not Found")</f>
        <v>Steeleye Stout</v>
      </c>
    </row>
    <row r="909" spans="1:11">
      <c r="A909" s="2">
        <v>10590</v>
      </c>
      <c r="B909" s="2">
        <v>1</v>
      </c>
      <c r="C909" s="2">
        <v>18</v>
      </c>
      <c r="D909" s="2">
        <v>20</v>
      </c>
      <c r="E909" s="4">
        <v>0</v>
      </c>
      <c r="F909" s="1" t="str">
        <f>_xlfn.XLOOKUP(A909,Orders!A:A,Orders!B:B,"not found")</f>
        <v>MEREP</v>
      </c>
      <c r="G909" s="13">
        <f>_xlfn.XLOOKUP(OrderDetails[[#This Row],[OrderID]],Orders!A:A,Orders!C:C,"Not Found")</f>
        <v>35618</v>
      </c>
      <c r="H909" s="16">
        <f>(OrderDetails[[#This Row],[UnitPrice]]*OrderDetails[[#This Row],[Quantity]])*(1-OrderDetails[[#This Row],[Discount]])</f>
        <v>360</v>
      </c>
      <c r="I909" s="15" t="str">
        <f>_xlfn.XLOOKUP(OrderDetails[[#This Row],[ProductID]],Product!A:A,Product!G:G,"Not Found")</f>
        <v>Beverages</v>
      </c>
      <c r="J909" s="15" t="str">
        <f>LOOKUP(MONTH(G909),{1,4,7,10},{"Winter","Spring","Summer","Autumn"})</f>
        <v>Summer</v>
      </c>
      <c r="K909" s="15" t="str">
        <f>_xlfn.XLOOKUP(OrderDetails[[#This Row],[ProductID]],Product!A:A,Product!B:B,"Not Found")</f>
        <v>Chai</v>
      </c>
    </row>
    <row r="910" spans="1:11">
      <c r="A910" s="1">
        <v>10590</v>
      </c>
      <c r="B910" s="1">
        <v>77</v>
      </c>
      <c r="C910" s="1">
        <v>13</v>
      </c>
      <c r="D910" s="1">
        <v>60</v>
      </c>
      <c r="E910" s="3">
        <v>5.000000074505806E-2</v>
      </c>
      <c r="F910" s="1" t="str">
        <f>_xlfn.XLOOKUP(A910,Orders!A:A,Orders!B:B,"not found")</f>
        <v>MEREP</v>
      </c>
      <c r="G910" s="13">
        <f>_xlfn.XLOOKUP(OrderDetails[[#This Row],[OrderID]],Orders!A:A,Orders!C:C,"Not Found")</f>
        <v>35618</v>
      </c>
      <c r="H910" s="16">
        <f>(OrderDetails[[#This Row],[UnitPrice]]*OrderDetails[[#This Row],[Quantity]])*(1-OrderDetails[[#This Row],[Discount]])</f>
        <v>740.99999941885471</v>
      </c>
      <c r="I910" s="15" t="str">
        <f>_xlfn.XLOOKUP(OrderDetails[[#This Row],[ProductID]],Product!A:A,Product!G:G,"Not Found")</f>
        <v>Condiments</v>
      </c>
      <c r="J910" s="15" t="str">
        <f>LOOKUP(MONTH(G910),{1,4,7,10},{"Winter","Spring","Summer","Autumn"})</f>
        <v>Summer</v>
      </c>
      <c r="K910" s="15" t="str">
        <f>_xlfn.XLOOKUP(OrderDetails[[#This Row],[ProductID]],Product!A:A,Product!B:B,"Not Found")</f>
        <v>Original Frankfurter grüne Soße</v>
      </c>
    </row>
    <row r="911" spans="1:11">
      <c r="A911" s="2">
        <v>10591</v>
      </c>
      <c r="B911" s="2">
        <v>3</v>
      </c>
      <c r="C911" s="2">
        <v>10</v>
      </c>
      <c r="D911" s="2">
        <v>14</v>
      </c>
      <c r="E911" s="4">
        <v>0</v>
      </c>
      <c r="F911" s="1" t="str">
        <f>_xlfn.XLOOKUP(A911,Orders!A:A,Orders!B:B,"not found")</f>
        <v>VAFFE</v>
      </c>
      <c r="G911" s="13">
        <f>_xlfn.XLOOKUP(OrderDetails[[#This Row],[OrderID]],Orders!A:A,Orders!C:C,"Not Found")</f>
        <v>35618</v>
      </c>
      <c r="H911" s="16">
        <f>(OrderDetails[[#This Row],[UnitPrice]]*OrderDetails[[#This Row],[Quantity]])*(1-OrderDetails[[#This Row],[Discount]])</f>
        <v>140</v>
      </c>
      <c r="I911" s="15" t="str">
        <f>_xlfn.XLOOKUP(OrderDetails[[#This Row],[ProductID]],Product!A:A,Product!G:G,"Not Found")</f>
        <v>Condiments</v>
      </c>
      <c r="J911" s="15" t="str">
        <f>LOOKUP(MONTH(G911),{1,4,7,10},{"Winter","Spring","Summer","Autumn"})</f>
        <v>Summer</v>
      </c>
      <c r="K911" s="15" t="str">
        <f>_xlfn.XLOOKUP(OrderDetails[[#This Row],[ProductID]],Product!A:A,Product!B:B,"Not Found")</f>
        <v>Aniseed Syrup</v>
      </c>
    </row>
    <row r="912" spans="1:11">
      <c r="A912" s="1">
        <v>10591</v>
      </c>
      <c r="B912" s="1">
        <v>7</v>
      </c>
      <c r="C912" s="1">
        <v>30</v>
      </c>
      <c r="D912" s="1">
        <v>10</v>
      </c>
      <c r="E912" s="3">
        <v>0</v>
      </c>
      <c r="F912" s="1" t="str">
        <f>_xlfn.XLOOKUP(A912,Orders!A:A,Orders!B:B,"not found")</f>
        <v>VAFFE</v>
      </c>
      <c r="G912" s="13">
        <f>_xlfn.XLOOKUP(OrderDetails[[#This Row],[OrderID]],Orders!A:A,Orders!C:C,"Not Found")</f>
        <v>35618</v>
      </c>
      <c r="H912" s="16">
        <f>(OrderDetails[[#This Row],[UnitPrice]]*OrderDetails[[#This Row],[Quantity]])*(1-OrderDetails[[#This Row],[Discount]])</f>
        <v>300</v>
      </c>
      <c r="I912" s="15" t="str">
        <f>_xlfn.XLOOKUP(OrderDetails[[#This Row],[ProductID]],Product!A:A,Product!G:G,"Not Found")</f>
        <v>Produce</v>
      </c>
      <c r="J912" s="15" t="str">
        <f>LOOKUP(MONTH(G912),{1,4,7,10},{"Winter","Spring","Summer","Autumn"})</f>
        <v>Summer</v>
      </c>
      <c r="K912" s="15" t="str">
        <f>_xlfn.XLOOKUP(OrderDetails[[#This Row],[ProductID]],Product!A:A,Product!B:B,"Not Found")</f>
        <v>Uncle Bob's Organic Dried Pears</v>
      </c>
    </row>
    <row r="913" spans="1:11">
      <c r="A913" s="2">
        <v>10591</v>
      </c>
      <c r="B913" s="2">
        <v>54</v>
      </c>
      <c r="C913" s="2">
        <v>7.45</v>
      </c>
      <c r="D913" s="2">
        <v>50</v>
      </c>
      <c r="E913" s="4">
        <v>0</v>
      </c>
      <c r="F913" s="1" t="str">
        <f>_xlfn.XLOOKUP(A913,Orders!A:A,Orders!B:B,"not found")</f>
        <v>VAFFE</v>
      </c>
      <c r="G913" s="13">
        <f>_xlfn.XLOOKUP(OrderDetails[[#This Row],[OrderID]],Orders!A:A,Orders!C:C,"Not Found")</f>
        <v>35618</v>
      </c>
      <c r="H913" s="16">
        <f>(OrderDetails[[#This Row],[UnitPrice]]*OrderDetails[[#This Row],[Quantity]])*(1-OrderDetails[[#This Row],[Discount]])</f>
        <v>372.5</v>
      </c>
      <c r="I913" s="15" t="str">
        <f>_xlfn.XLOOKUP(OrderDetails[[#This Row],[ProductID]],Product!A:A,Product!G:G,"Not Found")</f>
        <v>Meat/Poultry</v>
      </c>
      <c r="J913" s="15" t="str">
        <f>LOOKUP(MONTH(G913),{1,4,7,10},{"Winter","Spring","Summer","Autumn"})</f>
        <v>Summer</v>
      </c>
      <c r="K913" s="15" t="str">
        <f>_xlfn.XLOOKUP(OrderDetails[[#This Row],[ProductID]],Product!A:A,Product!B:B,"Not Found")</f>
        <v>Tourtière</v>
      </c>
    </row>
    <row r="914" spans="1:11">
      <c r="A914" s="1">
        <v>10592</v>
      </c>
      <c r="B914" s="1">
        <v>15</v>
      </c>
      <c r="C914" s="1">
        <v>15.5</v>
      </c>
      <c r="D914" s="1">
        <v>25</v>
      </c>
      <c r="E914" s="3">
        <v>5.000000074505806E-2</v>
      </c>
      <c r="F914" s="1" t="str">
        <f>_xlfn.XLOOKUP(A914,Orders!A:A,Orders!B:B,"not found")</f>
        <v>LEHMS</v>
      </c>
      <c r="G914" s="13">
        <f>_xlfn.XLOOKUP(OrderDetails[[#This Row],[OrderID]],Orders!A:A,Orders!C:C,"Not Found")</f>
        <v>35619</v>
      </c>
      <c r="H914" s="16">
        <f>(OrderDetails[[#This Row],[UnitPrice]]*OrderDetails[[#This Row],[Quantity]])*(1-OrderDetails[[#This Row],[Discount]])</f>
        <v>368.12499971129</v>
      </c>
      <c r="I914" s="15" t="str">
        <f>_xlfn.XLOOKUP(OrderDetails[[#This Row],[ProductID]],Product!A:A,Product!G:G,"Not Found")</f>
        <v>Condiments</v>
      </c>
      <c r="J914" s="15" t="str">
        <f>LOOKUP(MONTH(G914),{1,4,7,10},{"Winter","Spring","Summer","Autumn"})</f>
        <v>Summer</v>
      </c>
      <c r="K914" s="15" t="str">
        <f>_xlfn.XLOOKUP(OrderDetails[[#This Row],[ProductID]],Product!A:A,Product!B:B,"Not Found")</f>
        <v>Genen Shouyu</v>
      </c>
    </row>
    <row r="915" spans="1:11">
      <c r="A915" s="2">
        <v>10592</v>
      </c>
      <c r="B915" s="2">
        <v>26</v>
      </c>
      <c r="C915" s="2">
        <v>31.23</v>
      </c>
      <c r="D915" s="2">
        <v>5</v>
      </c>
      <c r="E915" s="4">
        <v>5.000000074505806E-2</v>
      </c>
      <c r="F915" s="1" t="str">
        <f>_xlfn.XLOOKUP(A915,Orders!A:A,Orders!B:B,"not found")</f>
        <v>LEHMS</v>
      </c>
      <c r="G915" s="13">
        <f>_xlfn.XLOOKUP(OrderDetails[[#This Row],[OrderID]],Orders!A:A,Orders!C:C,"Not Found")</f>
        <v>35619</v>
      </c>
      <c r="H915" s="16">
        <f>(OrderDetails[[#This Row],[UnitPrice]]*OrderDetails[[#This Row],[Quantity]])*(1-OrderDetails[[#This Row],[Discount]])</f>
        <v>148.3424998836592</v>
      </c>
      <c r="I915" s="15" t="str">
        <f>_xlfn.XLOOKUP(OrderDetails[[#This Row],[ProductID]],Product!A:A,Product!G:G,"Not Found")</f>
        <v>Confections</v>
      </c>
      <c r="J915" s="15" t="str">
        <f>LOOKUP(MONTH(G915),{1,4,7,10},{"Winter","Spring","Summer","Autumn"})</f>
        <v>Summer</v>
      </c>
      <c r="K915" s="15" t="str">
        <f>_xlfn.XLOOKUP(OrderDetails[[#This Row],[ProductID]],Product!A:A,Product!B:B,"Not Found")</f>
        <v>Gumbär Gummibärchen</v>
      </c>
    </row>
    <row r="916" spans="1:11">
      <c r="A916" s="1">
        <v>10593</v>
      </c>
      <c r="B916" s="1">
        <v>20</v>
      </c>
      <c r="C916" s="1">
        <v>81</v>
      </c>
      <c r="D916" s="1">
        <v>21</v>
      </c>
      <c r="E916" s="3">
        <v>0.20000000298023224</v>
      </c>
      <c r="F916" s="1" t="str">
        <f>_xlfn.XLOOKUP(A916,Orders!A:A,Orders!B:B,"not found")</f>
        <v>LEHMS</v>
      </c>
      <c r="G916" s="13">
        <f>_xlfn.XLOOKUP(OrderDetails[[#This Row],[OrderID]],Orders!A:A,Orders!C:C,"Not Found")</f>
        <v>35620</v>
      </c>
      <c r="H916" s="16">
        <f>(OrderDetails[[#This Row],[UnitPrice]]*OrderDetails[[#This Row],[Quantity]])*(1-OrderDetails[[#This Row],[Discount]])</f>
        <v>1360.799994930625</v>
      </c>
      <c r="I916" s="15" t="str">
        <f>_xlfn.XLOOKUP(OrderDetails[[#This Row],[ProductID]],Product!A:A,Product!G:G,"Not Found")</f>
        <v>Confections</v>
      </c>
      <c r="J916" s="15" t="str">
        <f>LOOKUP(MONTH(G916),{1,4,7,10},{"Winter","Spring","Summer","Autumn"})</f>
        <v>Summer</v>
      </c>
      <c r="K916" s="15" t="str">
        <f>_xlfn.XLOOKUP(OrderDetails[[#This Row],[ProductID]],Product!A:A,Product!B:B,"Not Found")</f>
        <v>Sir Rodney's Marmalade</v>
      </c>
    </row>
    <row r="917" spans="1:11">
      <c r="A917" s="2">
        <v>10593</v>
      </c>
      <c r="B917" s="2">
        <v>69</v>
      </c>
      <c r="C917" s="2">
        <v>36</v>
      </c>
      <c r="D917" s="2">
        <v>20</v>
      </c>
      <c r="E917" s="4">
        <v>0.20000000298023224</v>
      </c>
      <c r="F917" s="1" t="str">
        <f>_xlfn.XLOOKUP(A917,Orders!A:A,Orders!B:B,"not found")</f>
        <v>LEHMS</v>
      </c>
      <c r="G917" s="13">
        <f>_xlfn.XLOOKUP(OrderDetails[[#This Row],[OrderID]],Orders!A:A,Orders!C:C,"Not Found")</f>
        <v>35620</v>
      </c>
      <c r="H917" s="16">
        <f>(OrderDetails[[#This Row],[UnitPrice]]*OrderDetails[[#This Row],[Quantity]])*(1-OrderDetails[[#This Row],[Discount]])</f>
        <v>575.99999785423279</v>
      </c>
      <c r="I917" s="15" t="str">
        <f>_xlfn.XLOOKUP(OrderDetails[[#This Row],[ProductID]],Product!A:A,Product!G:G,"Not Found")</f>
        <v>Dairy Products</v>
      </c>
      <c r="J917" s="15" t="str">
        <f>LOOKUP(MONTH(G917),{1,4,7,10},{"Winter","Spring","Summer","Autumn"})</f>
        <v>Summer</v>
      </c>
      <c r="K917" s="15" t="str">
        <f>_xlfn.XLOOKUP(OrderDetails[[#This Row],[ProductID]],Product!A:A,Product!B:B,"Not Found")</f>
        <v>Gudbrandsdalsost</v>
      </c>
    </row>
    <row r="918" spans="1:11">
      <c r="A918" s="1">
        <v>10593</v>
      </c>
      <c r="B918" s="1">
        <v>76</v>
      </c>
      <c r="C918" s="1">
        <v>18</v>
      </c>
      <c r="D918" s="1">
        <v>4</v>
      </c>
      <c r="E918" s="3">
        <v>0.20000000298023224</v>
      </c>
      <c r="F918" s="1" t="str">
        <f>_xlfn.XLOOKUP(A918,Orders!A:A,Orders!B:B,"not found")</f>
        <v>LEHMS</v>
      </c>
      <c r="G918" s="13">
        <f>_xlfn.XLOOKUP(OrderDetails[[#This Row],[OrderID]],Orders!A:A,Orders!C:C,"Not Found")</f>
        <v>35620</v>
      </c>
      <c r="H918" s="16">
        <f>(OrderDetails[[#This Row],[UnitPrice]]*OrderDetails[[#This Row],[Quantity]])*(1-OrderDetails[[#This Row],[Discount]])</f>
        <v>57.599999785423279</v>
      </c>
      <c r="I918" s="15" t="str">
        <f>_xlfn.XLOOKUP(OrderDetails[[#This Row],[ProductID]],Product!A:A,Product!G:G,"Not Found")</f>
        <v>Beverages</v>
      </c>
      <c r="J918" s="15" t="str">
        <f>LOOKUP(MONTH(G918),{1,4,7,10},{"Winter","Spring","Summer","Autumn"})</f>
        <v>Summer</v>
      </c>
      <c r="K918" s="15" t="str">
        <f>_xlfn.XLOOKUP(OrderDetails[[#This Row],[ProductID]],Product!A:A,Product!B:B,"Not Found")</f>
        <v>Lakkalikööri</v>
      </c>
    </row>
    <row r="919" spans="1:11">
      <c r="A919" s="2">
        <v>10594</v>
      </c>
      <c r="B919" s="2">
        <v>52</v>
      </c>
      <c r="C919" s="2">
        <v>7</v>
      </c>
      <c r="D919" s="2">
        <v>24</v>
      </c>
      <c r="E919" s="4">
        <v>0</v>
      </c>
      <c r="F919" s="1" t="str">
        <f>_xlfn.XLOOKUP(A919,Orders!A:A,Orders!B:B,"not found")</f>
        <v>OLDWO</v>
      </c>
      <c r="G919" s="13">
        <f>_xlfn.XLOOKUP(OrderDetails[[#This Row],[OrderID]],Orders!A:A,Orders!C:C,"Not Found")</f>
        <v>35620</v>
      </c>
      <c r="H919" s="16">
        <f>(OrderDetails[[#This Row],[UnitPrice]]*OrderDetails[[#This Row],[Quantity]])*(1-OrderDetails[[#This Row],[Discount]])</f>
        <v>168</v>
      </c>
      <c r="I919" s="15" t="str">
        <f>_xlfn.XLOOKUP(OrderDetails[[#This Row],[ProductID]],Product!A:A,Product!G:G,"Not Found")</f>
        <v>Grains/Cereals</v>
      </c>
      <c r="J919" s="15" t="str">
        <f>LOOKUP(MONTH(G919),{1,4,7,10},{"Winter","Spring","Summer","Autumn"})</f>
        <v>Summer</v>
      </c>
      <c r="K919" s="15" t="str">
        <f>_xlfn.XLOOKUP(OrderDetails[[#This Row],[ProductID]],Product!A:A,Product!B:B,"Not Found")</f>
        <v>Filo Mix</v>
      </c>
    </row>
    <row r="920" spans="1:11">
      <c r="A920" s="1">
        <v>10594</v>
      </c>
      <c r="B920" s="1">
        <v>58</v>
      </c>
      <c r="C920" s="1">
        <v>13.25</v>
      </c>
      <c r="D920" s="1">
        <v>30</v>
      </c>
      <c r="E920" s="3">
        <v>0</v>
      </c>
      <c r="F920" s="1" t="str">
        <f>_xlfn.XLOOKUP(A920,Orders!A:A,Orders!B:B,"not found")</f>
        <v>OLDWO</v>
      </c>
      <c r="G920" s="13">
        <f>_xlfn.XLOOKUP(OrderDetails[[#This Row],[OrderID]],Orders!A:A,Orders!C:C,"Not Found")</f>
        <v>35620</v>
      </c>
      <c r="H920" s="16">
        <f>(OrderDetails[[#This Row],[UnitPrice]]*OrderDetails[[#This Row],[Quantity]])*(1-OrderDetails[[#This Row],[Discount]])</f>
        <v>397.5</v>
      </c>
      <c r="I920" s="15" t="str">
        <f>_xlfn.XLOOKUP(OrderDetails[[#This Row],[ProductID]],Product!A:A,Product!G:G,"Not Found")</f>
        <v>Seafood</v>
      </c>
      <c r="J920" s="15" t="str">
        <f>LOOKUP(MONTH(G920),{1,4,7,10},{"Winter","Spring","Summer","Autumn"})</f>
        <v>Summer</v>
      </c>
      <c r="K920" s="15" t="str">
        <f>_xlfn.XLOOKUP(OrderDetails[[#This Row],[ProductID]],Product!A:A,Product!B:B,"Not Found")</f>
        <v>Escargots de Bourgogne</v>
      </c>
    </row>
    <row r="921" spans="1:11">
      <c r="A921" s="2">
        <v>10595</v>
      </c>
      <c r="B921" s="2">
        <v>35</v>
      </c>
      <c r="C921" s="2">
        <v>18</v>
      </c>
      <c r="D921" s="2">
        <v>30</v>
      </c>
      <c r="E921" s="4">
        <v>0.25</v>
      </c>
      <c r="F921" s="1" t="str">
        <f>_xlfn.XLOOKUP(A921,Orders!A:A,Orders!B:B,"not found")</f>
        <v>ERNSH</v>
      </c>
      <c r="G921" s="13">
        <f>_xlfn.XLOOKUP(OrderDetails[[#This Row],[OrderID]],Orders!A:A,Orders!C:C,"Not Found")</f>
        <v>35621</v>
      </c>
      <c r="H921" s="16">
        <f>(OrderDetails[[#This Row],[UnitPrice]]*OrderDetails[[#This Row],[Quantity]])*(1-OrderDetails[[#This Row],[Discount]])</f>
        <v>405</v>
      </c>
      <c r="I921" s="15" t="str">
        <f>_xlfn.XLOOKUP(OrderDetails[[#This Row],[ProductID]],Product!A:A,Product!G:G,"Not Found")</f>
        <v>Beverages</v>
      </c>
      <c r="J921" s="15" t="str">
        <f>LOOKUP(MONTH(G921),{1,4,7,10},{"Winter","Spring","Summer","Autumn"})</f>
        <v>Summer</v>
      </c>
      <c r="K921" s="15" t="str">
        <f>_xlfn.XLOOKUP(OrderDetails[[#This Row],[ProductID]],Product!A:A,Product!B:B,"Not Found")</f>
        <v>Steeleye Stout</v>
      </c>
    </row>
    <row r="922" spans="1:11">
      <c r="A922" s="1">
        <v>10595</v>
      </c>
      <c r="B922" s="1">
        <v>61</v>
      </c>
      <c r="C922" s="1">
        <v>28.5</v>
      </c>
      <c r="D922" s="1">
        <v>120</v>
      </c>
      <c r="E922" s="3">
        <v>0.25</v>
      </c>
      <c r="F922" s="1" t="str">
        <f>_xlfn.XLOOKUP(A922,Orders!A:A,Orders!B:B,"not found")</f>
        <v>ERNSH</v>
      </c>
      <c r="G922" s="13">
        <f>_xlfn.XLOOKUP(OrderDetails[[#This Row],[OrderID]],Orders!A:A,Orders!C:C,"Not Found")</f>
        <v>35621</v>
      </c>
      <c r="H922" s="16">
        <f>(OrderDetails[[#This Row],[UnitPrice]]*OrderDetails[[#This Row],[Quantity]])*(1-OrderDetails[[#This Row],[Discount]])</f>
        <v>2565</v>
      </c>
      <c r="I922" s="15" t="str">
        <f>_xlfn.XLOOKUP(OrderDetails[[#This Row],[ProductID]],Product!A:A,Product!G:G,"Not Found")</f>
        <v>Condiments</v>
      </c>
      <c r="J922" s="15" t="str">
        <f>LOOKUP(MONTH(G922),{1,4,7,10},{"Winter","Spring","Summer","Autumn"})</f>
        <v>Summer</v>
      </c>
      <c r="K922" s="15" t="str">
        <f>_xlfn.XLOOKUP(OrderDetails[[#This Row],[ProductID]],Product!A:A,Product!B:B,"Not Found")</f>
        <v>Sirop d'érable</v>
      </c>
    </row>
    <row r="923" spans="1:11">
      <c r="A923" s="2">
        <v>10595</v>
      </c>
      <c r="B923" s="2">
        <v>69</v>
      </c>
      <c r="C923" s="2">
        <v>36</v>
      </c>
      <c r="D923" s="2">
        <v>65</v>
      </c>
      <c r="E923" s="4">
        <v>0.25</v>
      </c>
      <c r="F923" s="1" t="str">
        <f>_xlfn.XLOOKUP(A923,Orders!A:A,Orders!B:B,"not found")</f>
        <v>ERNSH</v>
      </c>
      <c r="G923" s="13">
        <f>_xlfn.XLOOKUP(OrderDetails[[#This Row],[OrderID]],Orders!A:A,Orders!C:C,"Not Found")</f>
        <v>35621</v>
      </c>
      <c r="H923" s="16">
        <f>(OrderDetails[[#This Row],[UnitPrice]]*OrderDetails[[#This Row],[Quantity]])*(1-OrderDetails[[#This Row],[Discount]])</f>
        <v>1755</v>
      </c>
      <c r="I923" s="15" t="str">
        <f>_xlfn.XLOOKUP(OrderDetails[[#This Row],[ProductID]],Product!A:A,Product!G:G,"Not Found")</f>
        <v>Dairy Products</v>
      </c>
      <c r="J923" s="15" t="str">
        <f>LOOKUP(MONTH(G923),{1,4,7,10},{"Winter","Spring","Summer","Autumn"})</f>
        <v>Summer</v>
      </c>
      <c r="K923" s="15" t="str">
        <f>_xlfn.XLOOKUP(OrderDetails[[#This Row],[ProductID]],Product!A:A,Product!B:B,"Not Found")</f>
        <v>Gudbrandsdalsost</v>
      </c>
    </row>
    <row r="924" spans="1:11">
      <c r="A924" s="1">
        <v>10596</v>
      </c>
      <c r="B924" s="1">
        <v>56</v>
      </c>
      <c r="C924" s="1">
        <v>38</v>
      </c>
      <c r="D924" s="1">
        <v>5</v>
      </c>
      <c r="E924" s="3">
        <v>0.20000000298023224</v>
      </c>
      <c r="F924" s="1" t="str">
        <f>_xlfn.XLOOKUP(A924,Orders!A:A,Orders!B:B,"not found")</f>
        <v>WHITC</v>
      </c>
      <c r="G924" s="13">
        <f>_xlfn.XLOOKUP(OrderDetails[[#This Row],[OrderID]],Orders!A:A,Orders!C:C,"Not Found")</f>
        <v>35622</v>
      </c>
      <c r="H924" s="16">
        <f>(OrderDetails[[#This Row],[UnitPrice]]*OrderDetails[[#This Row],[Quantity]])*(1-OrderDetails[[#This Row],[Discount]])</f>
        <v>151.99999943375587</v>
      </c>
      <c r="I924" s="15" t="str">
        <f>_xlfn.XLOOKUP(OrderDetails[[#This Row],[ProductID]],Product!A:A,Product!G:G,"Not Found")</f>
        <v>Grains/Cereals</v>
      </c>
      <c r="J924" s="15" t="str">
        <f>LOOKUP(MONTH(G924),{1,4,7,10},{"Winter","Spring","Summer","Autumn"})</f>
        <v>Summer</v>
      </c>
      <c r="K924" s="15" t="str">
        <f>_xlfn.XLOOKUP(OrderDetails[[#This Row],[ProductID]],Product!A:A,Product!B:B,"Not Found")</f>
        <v>Gnocchi di nonna Alice</v>
      </c>
    </row>
    <row r="925" spans="1:11">
      <c r="A925" s="2">
        <v>10596</v>
      </c>
      <c r="B925" s="2">
        <v>63</v>
      </c>
      <c r="C925" s="2">
        <v>43.9</v>
      </c>
      <c r="D925" s="2">
        <v>24</v>
      </c>
      <c r="E925" s="4">
        <v>0.20000000298023224</v>
      </c>
      <c r="F925" s="1" t="str">
        <f>_xlfn.XLOOKUP(A925,Orders!A:A,Orders!B:B,"not found")</f>
        <v>WHITC</v>
      </c>
      <c r="G925" s="13">
        <f>_xlfn.XLOOKUP(OrderDetails[[#This Row],[OrderID]],Orders!A:A,Orders!C:C,"Not Found")</f>
        <v>35622</v>
      </c>
      <c r="H925" s="16">
        <f>(OrderDetails[[#This Row],[UnitPrice]]*OrderDetails[[#This Row],[Quantity]])*(1-OrderDetails[[#This Row],[Discount]])</f>
        <v>842.87999686002729</v>
      </c>
      <c r="I925" s="15" t="str">
        <f>_xlfn.XLOOKUP(OrderDetails[[#This Row],[ProductID]],Product!A:A,Product!G:G,"Not Found")</f>
        <v>Condiments</v>
      </c>
      <c r="J925" s="15" t="str">
        <f>LOOKUP(MONTH(G925),{1,4,7,10},{"Winter","Spring","Summer","Autumn"})</f>
        <v>Summer</v>
      </c>
      <c r="K925" s="15" t="str">
        <f>_xlfn.XLOOKUP(OrderDetails[[#This Row],[ProductID]],Product!A:A,Product!B:B,"Not Found")</f>
        <v>Vegie-spread</v>
      </c>
    </row>
    <row r="926" spans="1:11">
      <c r="A926" s="1">
        <v>10596</v>
      </c>
      <c r="B926" s="1">
        <v>75</v>
      </c>
      <c r="C926" s="1">
        <v>7.75</v>
      </c>
      <c r="D926" s="1">
        <v>30</v>
      </c>
      <c r="E926" s="3">
        <v>0.20000000298023224</v>
      </c>
      <c r="F926" s="1" t="str">
        <f>_xlfn.XLOOKUP(A926,Orders!A:A,Orders!B:B,"not found")</f>
        <v>WHITC</v>
      </c>
      <c r="G926" s="13">
        <f>_xlfn.XLOOKUP(OrderDetails[[#This Row],[OrderID]],Orders!A:A,Orders!C:C,"Not Found")</f>
        <v>35622</v>
      </c>
      <c r="H926" s="16">
        <f>(OrderDetails[[#This Row],[UnitPrice]]*OrderDetails[[#This Row],[Quantity]])*(1-OrderDetails[[#This Row],[Discount]])</f>
        <v>185.999999307096</v>
      </c>
      <c r="I926" s="15" t="str">
        <f>_xlfn.XLOOKUP(OrderDetails[[#This Row],[ProductID]],Product!A:A,Product!G:G,"Not Found")</f>
        <v>Beverages</v>
      </c>
      <c r="J926" s="15" t="str">
        <f>LOOKUP(MONTH(G926),{1,4,7,10},{"Winter","Spring","Summer","Autumn"})</f>
        <v>Summer</v>
      </c>
      <c r="K926" s="15" t="str">
        <f>_xlfn.XLOOKUP(OrderDetails[[#This Row],[ProductID]],Product!A:A,Product!B:B,"Not Found")</f>
        <v>Rhönbräu Klosterbier</v>
      </c>
    </row>
    <row r="927" spans="1:11">
      <c r="A927" s="2">
        <v>10597</v>
      </c>
      <c r="B927" s="2">
        <v>24</v>
      </c>
      <c r="C927" s="2">
        <v>4.5</v>
      </c>
      <c r="D927" s="2">
        <v>35</v>
      </c>
      <c r="E927" s="4">
        <v>0.20000000298023224</v>
      </c>
      <c r="F927" s="1" t="str">
        <f>_xlfn.XLOOKUP(A927,Orders!A:A,Orders!B:B,"not found")</f>
        <v>PICCO</v>
      </c>
      <c r="G927" s="13">
        <f>_xlfn.XLOOKUP(OrderDetails[[#This Row],[OrderID]],Orders!A:A,Orders!C:C,"Not Found")</f>
        <v>35622</v>
      </c>
      <c r="H927" s="16">
        <f>(OrderDetails[[#This Row],[UnitPrice]]*OrderDetails[[#This Row],[Quantity]])*(1-OrderDetails[[#This Row],[Discount]])</f>
        <v>125.99999953061342</v>
      </c>
      <c r="I927" s="15" t="str">
        <f>_xlfn.XLOOKUP(OrderDetails[[#This Row],[ProductID]],Product!A:A,Product!G:G,"Not Found")</f>
        <v>Beverages</v>
      </c>
      <c r="J927" s="15" t="str">
        <f>LOOKUP(MONTH(G927),{1,4,7,10},{"Winter","Spring","Summer","Autumn"})</f>
        <v>Summer</v>
      </c>
      <c r="K927" s="15" t="str">
        <f>_xlfn.XLOOKUP(OrderDetails[[#This Row],[ProductID]],Product!A:A,Product!B:B,"Not Found")</f>
        <v>Guaraná Fantástica</v>
      </c>
    </row>
    <row r="928" spans="1:11">
      <c r="A928" s="1">
        <v>10597</v>
      </c>
      <c r="B928" s="1">
        <v>57</v>
      </c>
      <c r="C928" s="1">
        <v>19.5</v>
      </c>
      <c r="D928" s="1">
        <v>20</v>
      </c>
      <c r="E928" s="3">
        <v>0</v>
      </c>
      <c r="F928" s="1" t="str">
        <f>_xlfn.XLOOKUP(A928,Orders!A:A,Orders!B:B,"not found")</f>
        <v>PICCO</v>
      </c>
      <c r="G928" s="13">
        <f>_xlfn.XLOOKUP(OrderDetails[[#This Row],[OrderID]],Orders!A:A,Orders!C:C,"Not Found")</f>
        <v>35622</v>
      </c>
      <c r="H928" s="16">
        <f>(OrderDetails[[#This Row],[UnitPrice]]*OrderDetails[[#This Row],[Quantity]])*(1-OrderDetails[[#This Row],[Discount]])</f>
        <v>390</v>
      </c>
      <c r="I928" s="15" t="str">
        <f>_xlfn.XLOOKUP(OrderDetails[[#This Row],[ProductID]],Product!A:A,Product!G:G,"Not Found")</f>
        <v>Grains/Cereals</v>
      </c>
      <c r="J928" s="15" t="str">
        <f>LOOKUP(MONTH(G928),{1,4,7,10},{"Winter","Spring","Summer","Autumn"})</f>
        <v>Summer</v>
      </c>
      <c r="K928" s="15" t="str">
        <f>_xlfn.XLOOKUP(OrderDetails[[#This Row],[ProductID]],Product!A:A,Product!B:B,"Not Found")</f>
        <v>Ravioli Angelo</v>
      </c>
    </row>
    <row r="929" spans="1:11">
      <c r="A929" s="2">
        <v>10597</v>
      </c>
      <c r="B929" s="2">
        <v>65</v>
      </c>
      <c r="C929" s="2">
        <v>21.05</v>
      </c>
      <c r="D929" s="2">
        <v>12</v>
      </c>
      <c r="E929" s="4">
        <v>0.20000000298023224</v>
      </c>
      <c r="F929" s="1" t="str">
        <f>_xlfn.XLOOKUP(A929,Orders!A:A,Orders!B:B,"not found")</f>
        <v>PICCO</v>
      </c>
      <c r="G929" s="13">
        <f>_xlfn.XLOOKUP(OrderDetails[[#This Row],[OrderID]],Orders!A:A,Orders!C:C,"Not Found")</f>
        <v>35622</v>
      </c>
      <c r="H929" s="16">
        <f>(OrderDetails[[#This Row],[UnitPrice]]*OrderDetails[[#This Row],[Quantity]])*(1-OrderDetails[[#This Row],[Discount]])</f>
        <v>202.07999924719334</v>
      </c>
      <c r="I929" s="15" t="str">
        <f>_xlfn.XLOOKUP(OrderDetails[[#This Row],[ProductID]],Product!A:A,Product!G:G,"Not Found")</f>
        <v>Condiments</v>
      </c>
      <c r="J929" s="15" t="str">
        <f>LOOKUP(MONTH(G929),{1,4,7,10},{"Winter","Spring","Summer","Autumn"})</f>
        <v>Summer</v>
      </c>
      <c r="K929" s="15" t="str">
        <f>_xlfn.XLOOKUP(OrderDetails[[#This Row],[ProductID]],Product!A:A,Product!B:B,"Not Found")</f>
        <v>Louisiana Fiery Hot Pepper Sauce</v>
      </c>
    </row>
    <row r="930" spans="1:11">
      <c r="A930" s="1">
        <v>10598</v>
      </c>
      <c r="B930" s="1">
        <v>27</v>
      </c>
      <c r="C930" s="1">
        <v>43.9</v>
      </c>
      <c r="D930" s="1">
        <v>50</v>
      </c>
      <c r="E930" s="3">
        <v>0</v>
      </c>
      <c r="F930" s="1" t="str">
        <f>_xlfn.XLOOKUP(A930,Orders!A:A,Orders!B:B,"not found")</f>
        <v>RATTC</v>
      </c>
      <c r="G930" s="13">
        <f>_xlfn.XLOOKUP(OrderDetails[[#This Row],[OrderID]],Orders!A:A,Orders!C:C,"Not Found")</f>
        <v>35625</v>
      </c>
      <c r="H930" s="16">
        <f>(OrderDetails[[#This Row],[UnitPrice]]*OrderDetails[[#This Row],[Quantity]])*(1-OrderDetails[[#This Row],[Discount]])</f>
        <v>2195</v>
      </c>
      <c r="I930" s="15" t="str">
        <f>_xlfn.XLOOKUP(OrderDetails[[#This Row],[ProductID]],Product!A:A,Product!G:G,"Not Found")</f>
        <v>Confections</v>
      </c>
      <c r="J930" s="15" t="str">
        <f>LOOKUP(MONTH(G930),{1,4,7,10},{"Winter","Spring","Summer","Autumn"})</f>
        <v>Summer</v>
      </c>
      <c r="K930" s="15" t="str">
        <f>_xlfn.XLOOKUP(OrderDetails[[#This Row],[ProductID]],Product!A:A,Product!B:B,"Not Found")</f>
        <v>Schoggi Schokolade</v>
      </c>
    </row>
    <row r="931" spans="1:11">
      <c r="A931" s="2">
        <v>10598</v>
      </c>
      <c r="B931" s="2">
        <v>71</v>
      </c>
      <c r="C931" s="2">
        <v>21.5</v>
      </c>
      <c r="D931" s="2">
        <v>9</v>
      </c>
      <c r="E931" s="4">
        <v>0</v>
      </c>
      <c r="F931" s="1" t="str">
        <f>_xlfn.XLOOKUP(A931,Orders!A:A,Orders!B:B,"not found")</f>
        <v>RATTC</v>
      </c>
      <c r="G931" s="13">
        <f>_xlfn.XLOOKUP(OrderDetails[[#This Row],[OrderID]],Orders!A:A,Orders!C:C,"Not Found")</f>
        <v>35625</v>
      </c>
      <c r="H931" s="16">
        <f>(OrderDetails[[#This Row],[UnitPrice]]*OrderDetails[[#This Row],[Quantity]])*(1-OrderDetails[[#This Row],[Discount]])</f>
        <v>193.5</v>
      </c>
      <c r="I931" s="15" t="str">
        <f>_xlfn.XLOOKUP(OrderDetails[[#This Row],[ProductID]],Product!A:A,Product!G:G,"Not Found")</f>
        <v>Dairy Products</v>
      </c>
      <c r="J931" s="15" t="str">
        <f>LOOKUP(MONTH(G931),{1,4,7,10},{"Winter","Spring","Summer","Autumn"})</f>
        <v>Summer</v>
      </c>
      <c r="K931" s="15" t="str">
        <f>_xlfn.XLOOKUP(OrderDetails[[#This Row],[ProductID]],Product!A:A,Product!B:B,"Not Found")</f>
        <v>Flotemysost</v>
      </c>
    </row>
    <row r="932" spans="1:11">
      <c r="A932" s="1">
        <v>10599</v>
      </c>
      <c r="B932" s="1">
        <v>62</v>
      </c>
      <c r="C932" s="1">
        <v>49.3</v>
      </c>
      <c r="D932" s="1">
        <v>10</v>
      </c>
      <c r="E932" s="3">
        <v>0</v>
      </c>
      <c r="F932" s="1" t="str">
        <f>_xlfn.XLOOKUP(A932,Orders!A:A,Orders!B:B,"not found")</f>
        <v>BSBEV</v>
      </c>
      <c r="G932" s="13">
        <f>_xlfn.XLOOKUP(OrderDetails[[#This Row],[OrderID]],Orders!A:A,Orders!C:C,"Not Found")</f>
        <v>35626</v>
      </c>
      <c r="H932" s="16">
        <f>(OrderDetails[[#This Row],[UnitPrice]]*OrderDetails[[#This Row],[Quantity]])*(1-OrderDetails[[#This Row],[Discount]])</f>
        <v>493</v>
      </c>
      <c r="I932" s="15" t="str">
        <f>_xlfn.XLOOKUP(OrderDetails[[#This Row],[ProductID]],Product!A:A,Product!G:G,"Not Found")</f>
        <v>Confections</v>
      </c>
      <c r="J932" s="15" t="str">
        <f>LOOKUP(MONTH(G932),{1,4,7,10},{"Winter","Spring","Summer","Autumn"})</f>
        <v>Summer</v>
      </c>
      <c r="K932" s="15" t="str">
        <f>_xlfn.XLOOKUP(OrderDetails[[#This Row],[ProductID]],Product!A:A,Product!B:B,"Not Found")</f>
        <v>Tarte au sucre</v>
      </c>
    </row>
    <row r="933" spans="1:11">
      <c r="A933" s="2">
        <v>10600</v>
      </c>
      <c r="B933" s="2">
        <v>54</v>
      </c>
      <c r="C933" s="2">
        <v>7.45</v>
      </c>
      <c r="D933" s="2">
        <v>4</v>
      </c>
      <c r="E933" s="4">
        <v>0</v>
      </c>
      <c r="F933" s="1" t="str">
        <f>_xlfn.XLOOKUP(A933,Orders!A:A,Orders!B:B,"not found")</f>
        <v>HUNGC</v>
      </c>
      <c r="G933" s="13">
        <f>_xlfn.XLOOKUP(OrderDetails[[#This Row],[OrderID]],Orders!A:A,Orders!C:C,"Not Found")</f>
        <v>35627</v>
      </c>
      <c r="H933" s="16">
        <f>(OrderDetails[[#This Row],[UnitPrice]]*OrderDetails[[#This Row],[Quantity]])*(1-OrderDetails[[#This Row],[Discount]])</f>
        <v>29.8</v>
      </c>
      <c r="I933" s="15" t="str">
        <f>_xlfn.XLOOKUP(OrderDetails[[#This Row],[ProductID]],Product!A:A,Product!G:G,"Not Found")</f>
        <v>Meat/Poultry</v>
      </c>
      <c r="J933" s="15" t="str">
        <f>LOOKUP(MONTH(G933),{1,4,7,10},{"Winter","Spring","Summer","Autumn"})</f>
        <v>Summer</v>
      </c>
      <c r="K933" s="15" t="str">
        <f>_xlfn.XLOOKUP(OrderDetails[[#This Row],[ProductID]],Product!A:A,Product!B:B,"Not Found")</f>
        <v>Tourtière</v>
      </c>
    </row>
    <row r="934" spans="1:11">
      <c r="A934" s="1">
        <v>10600</v>
      </c>
      <c r="B934" s="1">
        <v>73</v>
      </c>
      <c r="C934" s="1">
        <v>15</v>
      </c>
      <c r="D934" s="1">
        <v>30</v>
      </c>
      <c r="E934" s="3">
        <v>0</v>
      </c>
      <c r="F934" s="1" t="str">
        <f>_xlfn.XLOOKUP(A934,Orders!A:A,Orders!B:B,"not found")</f>
        <v>HUNGC</v>
      </c>
      <c r="G934" s="13">
        <f>_xlfn.XLOOKUP(OrderDetails[[#This Row],[OrderID]],Orders!A:A,Orders!C:C,"Not Found")</f>
        <v>35627</v>
      </c>
      <c r="H934" s="16">
        <f>(OrderDetails[[#This Row],[UnitPrice]]*OrderDetails[[#This Row],[Quantity]])*(1-OrderDetails[[#This Row],[Discount]])</f>
        <v>450</v>
      </c>
      <c r="I934" s="15" t="str">
        <f>_xlfn.XLOOKUP(OrderDetails[[#This Row],[ProductID]],Product!A:A,Product!G:G,"Not Found")</f>
        <v>Seafood</v>
      </c>
      <c r="J934" s="15" t="str">
        <f>LOOKUP(MONTH(G934),{1,4,7,10},{"Winter","Spring","Summer","Autumn"})</f>
        <v>Summer</v>
      </c>
      <c r="K934" s="15" t="str">
        <f>_xlfn.XLOOKUP(OrderDetails[[#This Row],[ProductID]],Product!A:A,Product!B:B,"Not Found")</f>
        <v>Röd Kaviar</v>
      </c>
    </row>
    <row r="935" spans="1:11">
      <c r="A935" s="2">
        <v>10601</v>
      </c>
      <c r="B935" s="2">
        <v>13</v>
      </c>
      <c r="C935" s="2">
        <v>6</v>
      </c>
      <c r="D935" s="2">
        <v>60</v>
      </c>
      <c r="E935" s="4">
        <v>0</v>
      </c>
      <c r="F935" s="1" t="str">
        <f>_xlfn.XLOOKUP(A935,Orders!A:A,Orders!B:B,"not found")</f>
        <v>HILAA</v>
      </c>
      <c r="G935" s="13">
        <f>_xlfn.XLOOKUP(OrderDetails[[#This Row],[OrderID]],Orders!A:A,Orders!C:C,"Not Found")</f>
        <v>35627</v>
      </c>
      <c r="H935" s="16">
        <f>(OrderDetails[[#This Row],[UnitPrice]]*OrderDetails[[#This Row],[Quantity]])*(1-OrderDetails[[#This Row],[Discount]])</f>
        <v>360</v>
      </c>
      <c r="I935" s="15" t="str">
        <f>_xlfn.XLOOKUP(OrderDetails[[#This Row],[ProductID]],Product!A:A,Product!G:G,"Not Found")</f>
        <v>Seafood</v>
      </c>
      <c r="J935" s="15" t="str">
        <f>LOOKUP(MONTH(G935),{1,4,7,10},{"Winter","Spring","Summer","Autumn"})</f>
        <v>Summer</v>
      </c>
      <c r="K935" s="15" t="str">
        <f>_xlfn.XLOOKUP(OrderDetails[[#This Row],[ProductID]],Product!A:A,Product!B:B,"Not Found")</f>
        <v>Konbu</v>
      </c>
    </row>
    <row r="936" spans="1:11">
      <c r="A936" s="1">
        <v>10601</v>
      </c>
      <c r="B936" s="1">
        <v>59</v>
      </c>
      <c r="C936" s="1">
        <v>55</v>
      </c>
      <c r="D936" s="1">
        <v>35</v>
      </c>
      <c r="E936" s="3">
        <v>0</v>
      </c>
      <c r="F936" s="1" t="str">
        <f>_xlfn.XLOOKUP(A936,Orders!A:A,Orders!B:B,"not found")</f>
        <v>HILAA</v>
      </c>
      <c r="G936" s="13">
        <f>_xlfn.XLOOKUP(OrderDetails[[#This Row],[OrderID]],Orders!A:A,Orders!C:C,"Not Found")</f>
        <v>35627</v>
      </c>
      <c r="H936" s="16">
        <f>(OrderDetails[[#This Row],[UnitPrice]]*OrderDetails[[#This Row],[Quantity]])*(1-OrderDetails[[#This Row],[Discount]])</f>
        <v>1925</v>
      </c>
      <c r="I936" s="15" t="str">
        <f>_xlfn.XLOOKUP(OrderDetails[[#This Row],[ProductID]],Product!A:A,Product!G:G,"Not Found")</f>
        <v>Dairy Products</v>
      </c>
      <c r="J936" s="15" t="str">
        <f>LOOKUP(MONTH(G936),{1,4,7,10},{"Winter","Spring","Summer","Autumn"})</f>
        <v>Summer</v>
      </c>
      <c r="K936" s="15" t="str">
        <f>_xlfn.XLOOKUP(OrderDetails[[#This Row],[ProductID]],Product!A:A,Product!B:B,"Not Found")</f>
        <v>Raclette Courdavault</v>
      </c>
    </row>
    <row r="937" spans="1:11">
      <c r="A937" s="2">
        <v>10602</v>
      </c>
      <c r="B937" s="2">
        <v>77</v>
      </c>
      <c r="C937" s="2">
        <v>13</v>
      </c>
      <c r="D937" s="2">
        <v>5</v>
      </c>
      <c r="E937" s="4">
        <v>0.25</v>
      </c>
      <c r="F937" s="1" t="str">
        <f>_xlfn.XLOOKUP(A937,Orders!A:A,Orders!B:B,"not found")</f>
        <v>VAFFE</v>
      </c>
      <c r="G937" s="13">
        <f>_xlfn.XLOOKUP(OrderDetails[[#This Row],[OrderID]],Orders!A:A,Orders!C:C,"Not Found")</f>
        <v>35628</v>
      </c>
      <c r="H937" s="16">
        <f>(OrderDetails[[#This Row],[UnitPrice]]*OrderDetails[[#This Row],[Quantity]])*(1-OrderDetails[[#This Row],[Discount]])</f>
        <v>48.75</v>
      </c>
      <c r="I937" s="15" t="str">
        <f>_xlfn.XLOOKUP(OrderDetails[[#This Row],[ProductID]],Product!A:A,Product!G:G,"Not Found")</f>
        <v>Condiments</v>
      </c>
      <c r="J937" s="15" t="str">
        <f>LOOKUP(MONTH(G937),{1,4,7,10},{"Winter","Spring","Summer","Autumn"})</f>
        <v>Summer</v>
      </c>
      <c r="K937" s="15" t="str">
        <f>_xlfn.XLOOKUP(OrderDetails[[#This Row],[ProductID]],Product!A:A,Product!B:B,"Not Found")</f>
        <v>Original Frankfurter grüne Soße</v>
      </c>
    </row>
    <row r="938" spans="1:11">
      <c r="A938" s="1">
        <v>10603</v>
      </c>
      <c r="B938" s="1">
        <v>22</v>
      </c>
      <c r="C938" s="1">
        <v>21</v>
      </c>
      <c r="D938" s="1">
        <v>48</v>
      </c>
      <c r="E938" s="3">
        <v>0</v>
      </c>
      <c r="F938" s="1" t="str">
        <f>_xlfn.XLOOKUP(A938,Orders!A:A,Orders!B:B,"not found")</f>
        <v>SAVEA</v>
      </c>
      <c r="G938" s="13">
        <f>_xlfn.XLOOKUP(OrderDetails[[#This Row],[OrderID]],Orders!A:A,Orders!C:C,"Not Found")</f>
        <v>35629</v>
      </c>
      <c r="H938" s="16">
        <f>(OrderDetails[[#This Row],[UnitPrice]]*OrderDetails[[#This Row],[Quantity]])*(1-OrderDetails[[#This Row],[Discount]])</f>
        <v>1008</v>
      </c>
      <c r="I938" s="15" t="str">
        <f>_xlfn.XLOOKUP(OrderDetails[[#This Row],[ProductID]],Product!A:A,Product!G:G,"Not Found")</f>
        <v>Grains/Cereals</v>
      </c>
      <c r="J938" s="15" t="str">
        <f>LOOKUP(MONTH(G938),{1,4,7,10},{"Winter","Spring","Summer","Autumn"})</f>
        <v>Summer</v>
      </c>
      <c r="K938" s="15" t="str">
        <f>_xlfn.XLOOKUP(OrderDetails[[#This Row],[ProductID]],Product!A:A,Product!B:B,"Not Found")</f>
        <v>Gustaf's Knäckebröd</v>
      </c>
    </row>
    <row r="939" spans="1:11">
      <c r="A939" s="2">
        <v>10603</v>
      </c>
      <c r="B939" s="2">
        <v>49</v>
      </c>
      <c r="C939" s="2">
        <v>20</v>
      </c>
      <c r="D939" s="2">
        <v>25</v>
      </c>
      <c r="E939" s="4">
        <v>5.000000074505806E-2</v>
      </c>
      <c r="F939" s="1" t="str">
        <f>_xlfn.XLOOKUP(A939,Orders!A:A,Orders!B:B,"not found")</f>
        <v>SAVEA</v>
      </c>
      <c r="G939" s="13">
        <f>_xlfn.XLOOKUP(OrderDetails[[#This Row],[OrderID]],Orders!A:A,Orders!C:C,"Not Found")</f>
        <v>35629</v>
      </c>
      <c r="H939" s="16">
        <f>(OrderDetails[[#This Row],[UnitPrice]]*OrderDetails[[#This Row],[Quantity]])*(1-OrderDetails[[#This Row],[Discount]])</f>
        <v>474.99999962747097</v>
      </c>
      <c r="I939" s="15" t="str">
        <f>_xlfn.XLOOKUP(OrderDetails[[#This Row],[ProductID]],Product!A:A,Product!G:G,"Not Found")</f>
        <v>Confections</v>
      </c>
      <c r="J939" s="15" t="str">
        <f>LOOKUP(MONTH(G939),{1,4,7,10},{"Winter","Spring","Summer","Autumn"})</f>
        <v>Summer</v>
      </c>
      <c r="K939" s="15" t="str">
        <f>_xlfn.XLOOKUP(OrderDetails[[#This Row],[ProductID]],Product!A:A,Product!B:B,"Not Found")</f>
        <v>Maxilaku</v>
      </c>
    </row>
    <row r="940" spans="1:11">
      <c r="A940" s="1">
        <v>10604</v>
      </c>
      <c r="B940" s="1">
        <v>48</v>
      </c>
      <c r="C940" s="1">
        <v>12.75</v>
      </c>
      <c r="D940" s="1">
        <v>6</v>
      </c>
      <c r="E940" s="3">
        <v>0.10000000149011612</v>
      </c>
      <c r="F940" s="1" t="str">
        <f>_xlfn.XLOOKUP(A940,Orders!A:A,Orders!B:B,"not found")</f>
        <v>FURIB</v>
      </c>
      <c r="G940" s="13">
        <f>_xlfn.XLOOKUP(OrderDetails[[#This Row],[OrderID]],Orders!A:A,Orders!C:C,"Not Found")</f>
        <v>35629</v>
      </c>
      <c r="H940" s="16">
        <f>(OrderDetails[[#This Row],[UnitPrice]]*OrderDetails[[#This Row],[Quantity]])*(1-OrderDetails[[#This Row],[Discount]])</f>
        <v>68.849999886006117</v>
      </c>
      <c r="I940" s="15" t="str">
        <f>_xlfn.XLOOKUP(OrderDetails[[#This Row],[ProductID]],Product!A:A,Product!G:G,"Not Found")</f>
        <v>Confections</v>
      </c>
      <c r="J940" s="15" t="str">
        <f>LOOKUP(MONTH(G940),{1,4,7,10},{"Winter","Spring","Summer","Autumn"})</f>
        <v>Summer</v>
      </c>
      <c r="K940" s="15" t="str">
        <f>_xlfn.XLOOKUP(OrderDetails[[#This Row],[ProductID]],Product!A:A,Product!B:B,"Not Found")</f>
        <v>Chocolade</v>
      </c>
    </row>
    <row r="941" spans="1:11">
      <c r="A941" s="2">
        <v>10604</v>
      </c>
      <c r="B941" s="2">
        <v>76</v>
      </c>
      <c r="C941" s="2">
        <v>18</v>
      </c>
      <c r="D941" s="2">
        <v>10</v>
      </c>
      <c r="E941" s="4">
        <v>0.10000000149011612</v>
      </c>
      <c r="F941" s="1" t="str">
        <f>_xlfn.XLOOKUP(A941,Orders!A:A,Orders!B:B,"not found")</f>
        <v>FURIB</v>
      </c>
      <c r="G941" s="13">
        <f>_xlfn.XLOOKUP(OrderDetails[[#This Row],[OrderID]],Orders!A:A,Orders!C:C,"Not Found")</f>
        <v>35629</v>
      </c>
      <c r="H941" s="16">
        <f>(OrderDetails[[#This Row],[UnitPrice]]*OrderDetails[[#This Row],[Quantity]])*(1-OrderDetails[[#This Row],[Discount]])</f>
        <v>161.9999997317791</v>
      </c>
      <c r="I941" s="15" t="str">
        <f>_xlfn.XLOOKUP(OrderDetails[[#This Row],[ProductID]],Product!A:A,Product!G:G,"Not Found")</f>
        <v>Beverages</v>
      </c>
      <c r="J941" s="15" t="str">
        <f>LOOKUP(MONTH(G941),{1,4,7,10},{"Winter","Spring","Summer","Autumn"})</f>
        <v>Summer</v>
      </c>
      <c r="K941" s="15" t="str">
        <f>_xlfn.XLOOKUP(OrderDetails[[#This Row],[ProductID]],Product!A:A,Product!B:B,"Not Found")</f>
        <v>Lakkalikööri</v>
      </c>
    </row>
    <row r="942" spans="1:11">
      <c r="A942" s="1">
        <v>10605</v>
      </c>
      <c r="B942" s="1">
        <v>16</v>
      </c>
      <c r="C942" s="1">
        <v>17.45</v>
      </c>
      <c r="D942" s="1">
        <v>30</v>
      </c>
      <c r="E942" s="3">
        <v>5.000000074505806E-2</v>
      </c>
      <c r="F942" s="1" t="str">
        <f>_xlfn.XLOOKUP(A942,Orders!A:A,Orders!B:B,"not found")</f>
        <v>MEREP</v>
      </c>
      <c r="G942" s="13">
        <f>_xlfn.XLOOKUP(OrderDetails[[#This Row],[OrderID]],Orders!A:A,Orders!C:C,"Not Found")</f>
        <v>35632</v>
      </c>
      <c r="H942" s="16">
        <f>(OrderDetails[[#This Row],[UnitPrice]]*OrderDetails[[#This Row],[Quantity]])*(1-OrderDetails[[#This Row],[Discount]])</f>
        <v>497.32499960996211</v>
      </c>
      <c r="I942" s="15" t="str">
        <f>_xlfn.XLOOKUP(OrderDetails[[#This Row],[ProductID]],Product!A:A,Product!G:G,"Not Found")</f>
        <v>Confections</v>
      </c>
      <c r="J942" s="15" t="str">
        <f>LOOKUP(MONTH(G942),{1,4,7,10},{"Winter","Spring","Summer","Autumn"})</f>
        <v>Summer</v>
      </c>
      <c r="K942" s="15" t="str">
        <f>_xlfn.XLOOKUP(OrderDetails[[#This Row],[ProductID]],Product!A:A,Product!B:B,"Not Found")</f>
        <v>Pavlova</v>
      </c>
    </row>
    <row r="943" spans="1:11">
      <c r="A943" s="2">
        <v>10605</v>
      </c>
      <c r="B943" s="2">
        <v>59</v>
      </c>
      <c r="C943" s="2">
        <v>55</v>
      </c>
      <c r="D943" s="2">
        <v>20</v>
      </c>
      <c r="E943" s="4">
        <v>5.000000074505806E-2</v>
      </c>
      <c r="F943" s="1" t="str">
        <f>_xlfn.XLOOKUP(A943,Orders!A:A,Orders!B:B,"not found")</f>
        <v>MEREP</v>
      </c>
      <c r="G943" s="13">
        <f>_xlfn.XLOOKUP(OrderDetails[[#This Row],[OrderID]],Orders!A:A,Orders!C:C,"Not Found")</f>
        <v>35632</v>
      </c>
      <c r="H943" s="16">
        <f>(OrderDetails[[#This Row],[UnitPrice]]*OrderDetails[[#This Row],[Quantity]])*(1-OrderDetails[[#This Row],[Discount]])</f>
        <v>1044.9999991804361</v>
      </c>
      <c r="I943" s="15" t="str">
        <f>_xlfn.XLOOKUP(OrderDetails[[#This Row],[ProductID]],Product!A:A,Product!G:G,"Not Found")</f>
        <v>Dairy Products</v>
      </c>
      <c r="J943" s="15" t="str">
        <f>LOOKUP(MONTH(G943),{1,4,7,10},{"Winter","Spring","Summer","Autumn"})</f>
        <v>Summer</v>
      </c>
      <c r="K943" s="15" t="str">
        <f>_xlfn.XLOOKUP(OrderDetails[[#This Row],[ProductID]],Product!A:A,Product!B:B,"Not Found")</f>
        <v>Raclette Courdavault</v>
      </c>
    </row>
    <row r="944" spans="1:11">
      <c r="A944" s="1">
        <v>10605</v>
      </c>
      <c r="B944" s="1">
        <v>60</v>
      </c>
      <c r="C944" s="1">
        <v>34</v>
      </c>
      <c r="D944" s="1">
        <v>70</v>
      </c>
      <c r="E944" s="3">
        <v>5.000000074505806E-2</v>
      </c>
      <c r="F944" s="1" t="str">
        <f>_xlfn.XLOOKUP(A944,Orders!A:A,Orders!B:B,"not found")</f>
        <v>MEREP</v>
      </c>
      <c r="G944" s="13">
        <f>_xlfn.XLOOKUP(OrderDetails[[#This Row],[OrderID]],Orders!A:A,Orders!C:C,"Not Found")</f>
        <v>35632</v>
      </c>
      <c r="H944" s="16">
        <f>(OrderDetails[[#This Row],[UnitPrice]]*OrderDetails[[#This Row],[Quantity]])*(1-OrderDetails[[#This Row],[Discount]])</f>
        <v>2260.9999982267618</v>
      </c>
      <c r="I944" s="15" t="str">
        <f>_xlfn.XLOOKUP(OrderDetails[[#This Row],[ProductID]],Product!A:A,Product!G:G,"Not Found")</f>
        <v>Dairy Products</v>
      </c>
      <c r="J944" s="15" t="str">
        <f>LOOKUP(MONTH(G944),{1,4,7,10},{"Winter","Spring","Summer","Autumn"})</f>
        <v>Summer</v>
      </c>
      <c r="K944" s="15" t="str">
        <f>_xlfn.XLOOKUP(OrderDetails[[#This Row],[ProductID]],Product!A:A,Product!B:B,"Not Found")</f>
        <v>Camembert Pierrot</v>
      </c>
    </row>
    <row r="945" spans="1:11">
      <c r="A945" s="2">
        <v>10605</v>
      </c>
      <c r="B945" s="2">
        <v>71</v>
      </c>
      <c r="C945" s="2">
        <v>21.5</v>
      </c>
      <c r="D945" s="2">
        <v>15</v>
      </c>
      <c r="E945" s="4">
        <v>5.000000074505806E-2</v>
      </c>
      <c r="F945" s="1" t="str">
        <f>_xlfn.XLOOKUP(A945,Orders!A:A,Orders!B:B,"not found")</f>
        <v>MEREP</v>
      </c>
      <c r="G945" s="13">
        <f>_xlfn.XLOOKUP(OrderDetails[[#This Row],[OrderID]],Orders!A:A,Orders!C:C,"Not Found")</f>
        <v>35632</v>
      </c>
      <c r="H945" s="16">
        <f>(OrderDetails[[#This Row],[UnitPrice]]*OrderDetails[[#This Row],[Quantity]])*(1-OrderDetails[[#This Row],[Discount]])</f>
        <v>306.37499975971878</v>
      </c>
      <c r="I945" s="15" t="str">
        <f>_xlfn.XLOOKUP(OrderDetails[[#This Row],[ProductID]],Product!A:A,Product!G:G,"Not Found")</f>
        <v>Dairy Products</v>
      </c>
      <c r="J945" s="15" t="str">
        <f>LOOKUP(MONTH(G945),{1,4,7,10},{"Winter","Spring","Summer","Autumn"})</f>
        <v>Summer</v>
      </c>
      <c r="K945" s="15" t="str">
        <f>_xlfn.XLOOKUP(OrderDetails[[#This Row],[ProductID]],Product!A:A,Product!B:B,"Not Found")</f>
        <v>Flotemysost</v>
      </c>
    </row>
    <row r="946" spans="1:11">
      <c r="A946" s="1">
        <v>10606</v>
      </c>
      <c r="B946" s="1">
        <v>4</v>
      </c>
      <c r="C946" s="1">
        <v>22</v>
      </c>
      <c r="D946" s="1">
        <v>20</v>
      </c>
      <c r="E946" s="3">
        <v>0.20000000298023224</v>
      </c>
      <c r="F946" s="1" t="str">
        <f>_xlfn.XLOOKUP(A946,Orders!A:A,Orders!B:B,"not found")</f>
        <v>TRADH</v>
      </c>
      <c r="G946" s="13">
        <f>_xlfn.XLOOKUP(OrderDetails[[#This Row],[OrderID]],Orders!A:A,Orders!C:C,"Not Found")</f>
        <v>35633</v>
      </c>
      <c r="H946" s="16">
        <f>(OrderDetails[[#This Row],[UnitPrice]]*OrderDetails[[#This Row],[Quantity]])*(1-OrderDetails[[#This Row],[Discount]])</f>
        <v>351.99999868869781</v>
      </c>
      <c r="I946" s="15" t="str">
        <f>_xlfn.XLOOKUP(OrderDetails[[#This Row],[ProductID]],Product!A:A,Product!G:G,"Not Found")</f>
        <v>Condiments</v>
      </c>
      <c r="J946" s="15" t="str">
        <f>LOOKUP(MONTH(G946),{1,4,7,10},{"Winter","Spring","Summer","Autumn"})</f>
        <v>Summer</v>
      </c>
      <c r="K946" s="15" t="str">
        <f>_xlfn.XLOOKUP(OrderDetails[[#This Row],[ProductID]],Product!A:A,Product!B:B,"Not Found")</f>
        <v>Chef Anton's Cajun Seasoning</v>
      </c>
    </row>
    <row r="947" spans="1:11">
      <c r="A947" s="2">
        <v>10606</v>
      </c>
      <c r="B947" s="2">
        <v>55</v>
      </c>
      <c r="C947" s="2">
        <v>24</v>
      </c>
      <c r="D947" s="2">
        <v>20</v>
      </c>
      <c r="E947" s="4">
        <v>0.20000000298023224</v>
      </c>
      <c r="F947" s="1" t="str">
        <f>_xlfn.XLOOKUP(A947,Orders!A:A,Orders!B:B,"not found")</f>
        <v>TRADH</v>
      </c>
      <c r="G947" s="13">
        <f>_xlfn.XLOOKUP(OrderDetails[[#This Row],[OrderID]],Orders!A:A,Orders!C:C,"Not Found")</f>
        <v>35633</v>
      </c>
      <c r="H947" s="16">
        <f>(OrderDetails[[#This Row],[UnitPrice]]*OrderDetails[[#This Row],[Quantity]])*(1-OrderDetails[[#This Row],[Discount]])</f>
        <v>383.99999856948853</v>
      </c>
      <c r="I947" s="15" t="str">
        <f>_xlfn.XLOOKUP(OrderDetails[[#This Row],[ProductID]],Product!A:A,Product!G:G,"Not Found")</f>
        <v>Meat/Poultry</v>
      </c>
      <c r="J947" s="15" t="str">
        <f>LOOKUP(MONTH(G947),{1,4,7,10},{"Winter","Spring","Summer","Autumn"})</f>
        <v>Summer</v>
      </c>
      <c r="K947" s="15" t="str">
        <f>_xlfn.XLOOKUP(OrderDetails[[#This Row],[ProductID]],Product!A:A,Product!B:B,"Not Found")</f>
        <v>Pâté chinois</v>
      </c>
    </row>
    <row r="948" spans="1:11">
      <c r="A948" s="1">
        <v>10606</v>
      </c>
      <c r="B948" s="1">
        <v>62</v>
      </c>
      <c r="C948" s="1">
        <v>49.3</v>
      </c>
      <c r="D948" s="1">
        <v>10</v>
      </c>
      <c r="E948" s="3">
        <v>0.20000000298023224</v>
      </c>
      <c r="F948" s="1" t="str">
        <f>_xlfn.XLOOKUP(A948,Orders!A:A,Orders!B:B,"not found")</f>
        <v>TRADH</v>
      </c>
      <c r="G948" s="13">
        <f>_xlfn.XLOOKUP(OrderDetails[[#This Row],[OrderID]],Orders!A:A,Orders!C:C,"Not Found")</f>
        <v>35633</v>
      </c>
      <c r="H948" s="16">
        <f>(OrderDetails[[#This Row],[UnitPrice]]*OrderDetails[[#This Row],[Quantity]])*(1-OrderDetails[[#This Row],[Discount]])</f>
        <v>394.39999853074551</v>
      </c>
      <c r="I948" s="15" t="str">
        <f>_xlfn.XLOOKUP(OrderDetails[[#This Row],[ProductID]],Product!A:A,Product!G:G,"Not Found")</f>
        <v>Confections</v>
      </c>
      <c r="J948" s="15" t="str">
        <f>LOOKUP(MONTH(G948),{1,4,7,10},{"Winter","Spring","Summer","Autumn"})</f>
        <v>Summer</v>
      </c>
      <c r="K948" s="15" t="str">
        <f>_xlfn.XLOOKUP(OrderDetails[[#This Row],[ProductID]],Product!A:A,Product!B:B,"Not Found")</f>
        <v>Tarte au sucre</v>
      </c>
    </row>
    <row r="949" spans="1:11">
      <c r="A949" s="2">
        <v>10607</v>
      </c>
      <c r="B949" s="2">
        <v>7</v>
      </c>
      <c r="C949" s="2">
        <v>30</v>
      </c>
      <c r="D949" s="2">
        <v>45</v>
      </c>
      <c r="E949" s="4">
        <v>0</v>
      </c>
      <c r="F949" s="1" t="str">
        <f>_xlfn.XLOOKUP(A949,Orders!A:A,Orders!B:B,"not found")</f>
        <v>SAVEA</v>
      </c>
      <c r="G949" s="13">
        <f>_xlfn.XLOOKUP(OrderDetails[[#This Row],[OrderID]],Orders!A:A,Orders!C:C,"Not Found")</f>
        <v>35633</v>
      </c>
      <c r="H949" s="16">
        <f>(OrderDetails[[#This Row],[UnitPrice]]*OrderDetails[[#This Row],[Quantity]])*(1-OrderDetails[[#This Row],[Discount]])</f>
        <v>1350</v>
      </c>
      <c r="I949" s="15" t="str">
        <f>_xlfn.XLOOKUP(OrderDetails[[#This Row],[ProductID]],Product!A:A,Product!G:G,"Not Found")</f>
        <v>Produce</v>
      </c>
      <c r="J949" s="15" t="str">
        <f>LOOKUP(MONTH(G949),{1,4,7,10},{"Winter","Spring","Summer","Autumn"})</f>
        <v>Summer</v>
      </c>
      <c r="K949" s="15" t="str">
        <f>_xlfn.XLOOKUP(OrderDetails[[#This Row],[ProductID]],Product!A:A,Product!B:B,"Not Found")</f>
        <v>Uncle Bob's Organic Dried Pears</v>
      </c>
    </row>
    <row r="950" spans="1:11">
      <c r="A950" s="1">
        <v>10607</v>
      </c>
      <c r="B950" s="1">
        <v>17</v>
      </c>
      <c r="C950" s="1">
        <v>39</v>
      </c>
      <c r="D950" s="1">
        <v>100</v>
      </c>
      <c r="E950" s="3">
        <v>0</v>
      </c>
      <c r="F950" s="1" t="str">
        <f>_xlfn.XLOOKUP(A950,Orders!A:A,Orders!B:B,"not found")</f>
        <v>SAVEA</v>
      </c>
      <c r="G950" s="13">
        <f>_xlfn.XLOOKUP(OrderDetails[[#This Row],[OrderID]],Orders!A:A,Orders!C:C,"Not Found")</f>
        <v>35633</v>
      </c>
      <c r="H950" s="16">
        <f>(OrderDetails[[#This Row],[UnitPrice]]*OrderDetails[[#This Row],[Quantity]])*(1-OrderDetails[[#This Row],[Discount]])</f>
        <v>3900</v>
      </c>
      <c r="I950" s="15" t="str">
        <f>_xlfn.XLOOKUP(OrderDetails[[#This Row],[ProductID]],Product!A:A,Product!G:G,"Not Found")</f>
        <v>Meat/Poultry</v>
      </c>
      <c r="J950" s="15" t="str">
        <f>LOOKUP(MONTH(G950),{1,4,7,10},{"Winter","Spring","Summer","Autumn"})</f>
        <v>Summer</v>
      </c>
      <c r="K950" s="15" t="str">
        <f>_xlfn.XLOOKUP(OrderDetails[[#This Row],[ProductID]],Product!A:A,Product!B:B,"Not Found")</f>
        <v>Alice Mutton</v>
      </c>
    </row>
    <row r="951" spans="1:11">
      <c r="A951" s="2">
        <v>10607</v>
      </c>
      <c r="B951" s="2">
        <v>33</v>
      </c>
      <c r="C951" s="2">
        <v>2.5</v>
      </c>
      <c r="D951" s="2">
        <v>14</v>
      </c>
      <c r="E951" s="4">
        <v>0</v>
      </c>
      <c r="F951" s="1" t="str">
        <f>_xlfn.XLOOKUP(A951,Orders!A:A,Orders!B:B,"not found")</f>
        <v>SAVEA</v>
      </c>
      <c r="G951" s="13">
        <f>_xlfn.XLOOKUP(OrderDetails[[#This Row],[OrderID]],Orders!A:A,Orders!C:C,"Not Found")</f>
        <v>35633</v>
      </c>
      <c r="H951" s="16">
        <f>(OrderDetails[[#This Row],[UnitPrice]]*OrderDetails[[#This Row],[Quantity]])*(1-OrderDetails[[#This Row],[Discount]])</f>
        <v>35</v>
      </c>
      <c r="I951" s="15" t="str">
        <f>_xlfn.XLOOKUP(OrderDetails[[#This Row],[ProductID]],Product!A:A,Product!G:G,"Not Found")</f>
        <v>Dairy Products</v>
      </c>
      <c r="J951" s="15" t="str">
        <f>LOOKUP(MONTH(G951),{1,4,7,10},{"Winter","Spring","Summer","Autumn"})</f>
        <v>Summer</v>
      </c>
      <c r="K951" s="15" t="str">
        <f>_xlfn.XLOOKUP(OrderDetails[[#This Row],[ProductID]],Product!A:A,Product!B:B,"Not Found")</f>
        <v>Geitost</v>
      </c>
    </row>
    <row r="952" spans="1:11">
      <c r="A952" s="1">
        <v>10607</v>
      </c>
      <c r="B952" s="1">
        <v>40</v>
      </c>
      <c r="C952" s="1">
        <v>18.399999999999999</v>
      </c>
      <c r="D952" s="1">
        <v>42</v>
      </c>
      <c r="E952" s="3">
        <v>0</v>
      </c>
      <c r="F952" s="1" t="str">
        <f>_xlfn.XLOOKUP(A952,Orders!A:A,Orders!B:B,"not found")</f>
        <v>SAVEA</v>
      </c>
      <c r="G952" s="13">
        <f>_xlfn.XLOOKUP(OrderDetails[[#This Row],[OrderID]],Orders!A:A,Orders!C:C,"Not Found")</f>
        <v>35633</v>
      </c>
      <c r="H952" s="16">
        <f>(OrderDetails[[#This Row],[UnitPrice]]*OrderDetails[[#This Row],[Quantity]])*(1-OrderDetails[[#This Row],[Discount]])</f>
        <v>772.8</v>
      </c>
      <c r="I952" s="15" t="str">
        <f>_xlfn.XLOOKUP(OrderDetails[[#This Row],[ProductID]],Product!A:A,Product!G:G,"Not Found")</f>
        <v>Seafood</v>
      </c>
      <c r="J952" s="15" t="str">
        <f>LOOKUP(MONTH(G952),{1,4,7,10},{"Winter","Spring","Summer","Autumn"})</f>
        <v>Summer</v>
      </c>
      <c r="K952" s="15" t="str">
        <f>_xlfn.XLOOKUP(OrderDetails[[#This Row],[ProductID]],Product!A:A,Product!B:B,"Not Found")</f>
        <v>Boston Crab Meat</v>
      </c>
    </row>
    <row r="953" spans="1:11">
      <c r="A953" s="2">
        <v>10607</v>
      </c>
      <c r="B953" s="2">
        <v>72</v>
      </c>
      <c r="C953" s="2">
        <v>34.799999999999997</v>
      </c>
      <c r="D953" s="2">
        <v>12</v>
      </c>
      <c r="E953" s="4">
        <v>0</v>
      </c>
      <c r="F953" s="1" t="str">
        <f>_xlfn.XLOOKUP(A953,Orders!A:A,Orders!B:B,"not found")</f>
        <v>SAVEA</v>
      </c>
      <c r="G953" s="13">
        <f>_xlfn.XLOOKUP(OrderDetails[[#This Row],[OrderID]],Orders!A:A,Orders!C:C,"Not Found")</f>
        <v>35633</v>
      </c>
      <c r="H953" s="16">
        <f>(OrderDetails[[#This Row],[UnitPrice]]*OrderDetails[[#This Row],[Quantity]])*(1-OrderDetails[[#This Row],[Discount]])</f>
        <v>417.59999999999997</v>
      </c>
      <c r="I953" s="15" t="str">
        <f>_xlfn.XLOOKUP(OrderDetails[[#This Row],[ProductID]],Product!A:A,Product!G:G,"Not Found")</f>
        <v>Dairy Products</v>
      </c>
      <c r="J953" s="15" t="str">
        <f>LOOKUP(MONTH(G953),{1,4,7,10},{"Winter","Spring","Summer","Autumn"})</f>
        <v>Summer</v>
      </c>
      <c r="K953" s="15" t="str">
        <f>_xlfn.XLOOKUP(OrderDetails[[#This Row],[ProductID]],Product!A:A,Product!B:B,"Not Found")</f>
        <v>Mozzarella di Giovanni</v>
      </c>
    </row>
    <row r="954" spans="1:11">
      <c r="A954" s="1">
        <v>10608</v>
      </c>
      <c r="B954" s="1">
        <v>56</v>
      </c>
      <c r="C954" s="1">
        <v>38</v>
      </c>
      <c r="D954" s="1">
        <v>28</v>
      </c>
      <c r="E954" s="3">
        <v>0</v>
      </c>
      <c r="F954" s="1" t="str">
        <f>_xlfn.XLOOKUP(A954,Orders!A:A,Orders!B:B,"not found")</f>
        <v>TOMSP</v>
      </c>
      <c r="G954" s="13">
        <f>_xlfn.XLOOKUP(OrderDetails[[#This Row],[OrderID]],Orders!A:A,Orders!C:C,"Not Found")</f>
        <v>35634</v>
      </c>
      <c r="H954" s="16">
        <f>(OrderDetails[[#This Row],[UnitPrice]]*OrderDetails[[#This Row],[Quantity]])*(1-OrderDetails[[#This Row],[Discount]])</f>
        <v>1064</v>
      </c>
      <c r="I954" s="15" t="str">
        <f>_xlfn.XLOOKUP(OrderDetails[[#This Row],[ProductID]],Product!A:A,Product!G:G,"Not Found")</f>
        <v>Grains/Cereals</v>
      </c>
      <c r="J954" s="15" t="str">
        <f>LOOKUP(MONTH(G954),{1,4,7,10},{"Winter","Spring","Summer","Autumn"})</f>
        <v>Summer</v>
      </c>
      <c r="K954" s="15" t="str">
        <f>_xlfn.XLOOKUP(OrderDetails[[#This Row],[ProductID]],Product!A:A,Product!B:B,"Not Found")</f>
        <v>Gnocchi di nonna Alice</v>
      </c>
    </row>
    <row r="955" spans="1:11">
      <c r="A955" s="2">
        <v>10609</v>
      </c>
      <c r="B955" s="2">
        <v>1</v>
      </c>
      <c r="C955" s="2">
        <v>18</v>
      </c>
      <c r="D955" s="2">
        <v>3</v>
      </c>
      <c r="E955" s="4">
        <v>0</v>
      </c>
      <c r="F955" s="1" t="str">
        <f>_xlfn.XLOOKUP(A955,Orders!A:A,Orders!B:B,"not found")</f>
        <v>DUMON</v>
      </c>
      <c r="G955" s="13">
        <f>_xlfn.XLOOKUP(OrderDetails[[#This Row],[OrderID]],Orders!A:A,Orders!C:C,"Not Found")</f>
        <v>35635</v>
      </c>
      <c r="H955" s="16">
        <f>(OrderDetails[[#This Row],[UnitPrice]]*OrderDetails[[#This Row],[Quantity]])*(1-OrderDetails[[#This Row],[Discount]])</f>
        <v>54</v>
      </c>
      <c r="I955" s="15" t="str">
        <f>_xlfn.XLOOKUP(OrderDetails[[#This Row],[ProductID]],Product!A:A,Product!G:G,"Not Found")</f>
        <v>Beverages</v>
      </c>
      <c r="J955" s="15" t="str">
        <f>LOOKUP(MONTH(G955),{1,4,7,10},{"Winter","Spring","Summer","Autumn"})</f>
        <v>Summer</v>
      </c>
      <c r="K955" s="15" t="str">
        <f>_xlfn.XLOOKUP(OrderDetails[[#This Row],[ProductID]],Product!A:A,Product!B:B,"Not Found")</f>
        <v>Chai</v>
      </c>
    </row>
    <row r="956" spans="1:11">
      <c r="A956" s="1">
        <v>10609</v>
      </c>
      <c r="B956" s="1">
        <v>10</v>
      </c>
      <c r="C956" s="1">
        <v>31</v>
      </c>
      <c r="D956" s="1">
        <v>10</v>
      </c>
      <c r="E956" s="3">
        <v>0</v>
      </c>
      <c r="F956" s="1" t="str">
        <f>_xlfn.XLOOKUP(A956,Orders!A:A,Orders!B:B,"not found")</f>
        <v>DUMON</v>
      </c>
      <c r="G956" s="13">
        <f>_xlfn.XLOOKUP(OrderDetails[[#This Row],[OrderID]],Orders!A:A,Orders!C:C,"Not Found")</f>
        <v>35635</v>
      </c>
      <c r="H956" s="16">
        <f>(OrderDetails[[#This Row],[UnitPrice]]*OrderDetails[[#This Row],[Quantity]])*(1-OrderDetails[[#This Row],[Discount]])</f>
        <v>310</v>
      </c>
      <c r="I956" s="15" t="str">
        <f>_xlfn.XLOOKUP(OrderDetails[[#This Row],[ProductID]],Product!A:A,Product!G:G,"Not Found")</f>
        <v>Seafood</v>
      </c>
      <c r="J956" s="15" t="str">
        <f>LOOKUP(MONTH(G956),{1,4,7,10},{"Winter","Spring","Summer","Autumn"})</f>
        <v>Summer</v>
      </c>
      <c r="K956" s="15" t="str">
        <f>_xlfn.XLOOKUP(OrderDetails[[#This Row],[ProductID]],Product!A:A,Product!B:B,"Not Found")</f>
        <v>Ikura</v>
      </c>
    </row>
    <row r="957" spans="1:11">
      <c r="A957" s="2">
        <v>10609</v>
      </c>
      <c r="B957" s="2">
        <v>21</v>
      </c>
      <c r="C957" s="2">
        <v>10</v>
      </c>
      <c r="D957" s="2">
        <v>6</v>
      </c>
      <c r="E957" s="4">
        <v>0</v>
      </c>
      <c r="F957" s="1" t="str">
        <f>_xlfn.XLOOKUP(A957,Orders!A:A,Orders!B:B,"not found")</f>
        <v>DUMON</v>
      </c>
      <c r="G957" s="13">
        <f>_xlfn.XLOOKUP(OrderDetails[[#This Row],[OrderID]],Orders!A:A,Orders!C:C,"Not Found")</f>
        <v>35635</v>
      </c>
      <c r="H957" s="16">
        <f>(OrderDetails[[#This Row],[UnitPrice]]*OrderDetails[[#This Row],[Quantity]])*(1-OrderDetails[[#This Row],[Discount]])</f>
        <v>60</v>
      </c>
      <c r="I957" s="15" t="str">
        <f>_xlfn.XLOOKUP(OrderDetails[[#This Row],[ProductID]],Product!A:A,Product!G:G,"Not Found")</f>
        <v>Confections</v>
      </c>
      <c r="J957" s="15" t="str">
        <f>LOOKUP(MONTH(G957),{1,4,7,10},{"Winter","Spring","Summer","Autumn"})</f>
        <v>Summer</v>
      </c>
      <c r="K957" s="15" t="str">
        <f>_xlfn.XLOOKUP(OrderDetails[[#This Row],[ProductID]],Product!A:A,Product!B:B,"Not Found")</f>
        <v>Sir Rodney's Scones</v>
      </c>
    </row>
    <row r="958" spans="1:11">
      <c r="A958" s="1">
        <v>10610</v>
      </c>
      <c r="B958" s="1">
        <v>36</v>
      </c>
      <c r="C958" s="1">
        <v>19</v>
      </c>
      <c r="D958" s="1">
        <v>21</v>
      </c>
      <c r="E958" s="3">
        <v>0.25</v>
      </c>
      <c r="F958" s="1" t="str">
        <f>_xlfn.XLOOKUP(A958,Orders!A:A,Orders!B:B,"not found")</f>
        <v>LAMAI</v>
      </c>
      <c r="G958" s="13">
        <f>_xlfn.XLOOKUP(OrderDetails[[#This Row],[OrderID]],Orders!A:A,Orders!C:C,"Not Found")</f>
        <v>35636</v>
      </c>
      <c r="H958" s="16">
        <f>(OrderDetails[[#This Row],[UnitPrice]]*OrderDetails[[#This Row],[Quantity]])*(1-OrderDetails[[#This Row],[Discount]])</f>
        <v>299.25</v>
      </c>
      <c r="I958" s="15" t="str">
        <f>_xlfn.XLOOKUP(OrderDetails[[#This Row],[ProductID]],Product!A:A,Product!G:G,"Not Found")</f>
        <v>Seafood</v>
      </c>
      <c r="J958" s="15" t="str">
        <f>LOOKUP(MONTH(G958),{1,4,7,10},{"Winter","Spring","Summer","Autumn"})</f>
        <v>Summer</v>
      </c>
      <c r="K958" s="15" t="str">
        <f>_xlfn.XLOOKUP(OrderDetails[[#This Row],[ProductID]],Product!A:A,Product!B:B,"Not Found")</f>
        <v>Inlagd Sill</v>
      </c>
    </row>
    <row r="959" spans="1:11">
      <c r="A959" s="2">
        <v>10611</v>
      </c>
      <c r="B959" s="2">
        <v>1</v>
      </c>
      <c r="C959" s="2">
        <v>18</v>
      </c>
      <c r="D959" s="2">
        <v>6</v>
      </c>
      <c r="E959" s="4">
        <v>0</v>
      </c>
      <c r="F959" s="1" t="str">
        <f>_xlfn.XLOOKUP(A959,Orders!A:A,Orders!B:B,"not found")</f>
        <v>WOLZA</v>
      </c>
      <c r="G959" s="13">
        <f>_xlfn.XLOOKUP(OrderDetails[[#This Row],[OrderID]],Orders!A:A,Orders!C:C,"Not Found")</f>
        <v>35636</v>
      </c>
      <c r="H959" s="16">
        <f>(OrderDetails[[#This Row],[UnitPrice]]*OrderDetails[[#This Row],[Quantity]])*(1-OrderDetails[[#This Row],[Discount]])</f>
        <v>108</v>
      </c>
      <c r="I959" s="15" t="str">
        <f>_xlfn.XLOOKUP(OrderDetails[[#This Row],[ProductID]],Product!A:A,Product!G:G,"Not Found")</f>
        <v>Beverages</v>
      </c>
      <c r="J959" s="15" t="str">
        <f>LOOKUP(MONTH(G959),{1,4,7,10},{"Winter","Spring","Summer","Autumn"})</f>
        <v>Summer</v>
      </c>
      <c r="K959" s="15" t="str">
        <f>_xlfn.XLOOKUP(OrderDetails[[#This Row],[ProductID]],Product!A:A,Product!B:B,"Not Found")</f>
        <v>Chai</v>
      </c>
    </row>
    <row r="960" spans="1:11">
      <c r="A960" s="1">
        <v>10611</v>
      </c>
      <c r="B960" s="1">
        <v>2</v>
      </c>
      <c r="C960" s="1">
        <v>19</v>
      </c>
      <c r="D960" s="1">
        <v>10</v>
      </c>
      <c r="E960" s="3">
        <v>0</v>
      </c>
      <c r="F960" s="1" t="str">
        <f>_xlfn.XLOOKUP(A960,Orders!A:A,Orders!B:B,"not found")</f>
        <v>WOLZA</v>
      </c>
      <c r="G960" s="13">
        <f>_xlfn.XLOOKUP(OrderDetails[[#This Row],[OrderID]],Orders!A:A,Orders!C:C,"Not Found")</f>
        <v>35636</v>
      </c>
      <c r="H960" s="16">
        <f>(OrderDetails[[#This Row],[UnitPrice]]*OrderDetails[[#This Row],[Quantity]])*(1-OrderDetails[[#This Row],[Discount]])</f>
        <v>190</v>
      </c>
      <c r="I960" s="15" t="str">
        <f>_xlfn.XLOOKUP(OrderDetails[[#This Row],[ProductID]],Product!A:A,Product!G:G,"Not Found")</f>
        <v>Beverages</v>
      </c>
      <c r="J960" s="15" t="str">
        <f>LOOKUP(MONTH(G960),{1,4,7,10},{"Winter","Spring","Summer","Autumn"})</f>
        <v>Summer</v>
      </c>
      <c r="K960" s="15" t="str">
        <f>_xlfn.XLOOKUP(OrderDetails[[#This Row],[ProductID]],Product!A:A,Product!B:B,"Not Found")</f>
        <v>Chang</v>
      </c>
    </row>
    <row r="961" spans="1:11">
      <c r="A961" s="2">
        <v>10611</v>
      </c>
      <c r="B961" s="2">
        <v>60</v>
      </c>
      <c r="C961" s="2">
        <v>34</v>
      </c>
      <c r="D961" s="2">
        <v>15</v>
      </c>
      <c r="E961" s="4">
        <v>0</v>
      </c>
      <c r="F961" s="1" t="str">
        <f>_xlfn.XLOOKUP(A961,Orders!A:A,Orders!B:B,"not found")</f>
        <v>WOLZA</v>
      </c>
      <c r="G961" s="13">
        <f>_xlfn.XLOOKUP(OrderDetails[[#This Row],[OrderID]],Orders!A:A,Orders!C:C,"Not Found")</f>
        <v>35636</v>
      </c>
      <c r="H961" s="16">
        <f>(OrderDetails[[#This Row],[UnitPrice]]*OrderDetails[[#This Row],[Quantity]])*(1-OrderDetails[[#This Row],[Discount]])</f>
        <v>510</v>
      </c>
      <c r="I961" s="15" t="str">
        <f>_xlfn.XLOOKUP(OrderDetails[[#This Row],[ProductID]],Product!A:A,Product!G:G,"Not Found")</f>
        <v>Dairy Products</v>
      </c>
      <c r="J961" s="15" t="str">
        <f>LOOKUP(MONTH(G961),{1,4,7,10},{"Winter","Spring","Summer","Autumn"})</f>
        <v>Summer</v>
      </c>
      <c r="K961" s="15" t="str">
        <f>_xlfn.XLOOKUP(OrderDetails[[#This Row],[ProductID]],Product!A:A,Product!B:B,"Not Found")</f>
        <v>Camembert Pierrot</v>
      </c>
    </row>
    <row r="962" spans="1:11">
      <c r="A962" s="1">
        <v>10612</v>
      </c>
      <c r="B962" s="1">
        <v>10</v>
      </c>
      <c r="C962" s="1">
        <v>31</v>
      </c>
      <c r="D962" s="1">
        <v>70</v>
      </c>
      <c r="E962" s="3">
        <v>0</v>
      </c>
      <c r="F962" s="1" t="str">
        <f>_xlfn.XLOOKUP(A962,Orders!A:A,Orders!B:B,"not found")</f>
        <v>SAVEA</v>
      </c>
      <c r="G962" s="13">
        <f>_xlfn.XLOOKUP(OrderDetails[[#This Row],[OrderID]],Orders!A:A,Orders!C:C,"Not Found")</f>
        <v>35639</v>
      </c>
      <c r="H962" s="16">
        <f>(OrderDetails[[#This Row],[UnitPrice]]*OrderDetails[[#This Row],[Quantity]])*(1-OrderDetails[[#This Row],[Discount]])</f>
        <v>2170</v>
      </c>
      <c r="I962" s="15" t="str">
        <f>_xlfn.XLOOKUP(OrderDetails[[#This Row],[ProductID]],Product!A:A,Product!G:G,"Not Found")</f>
        <v>Seafood</v>
      </c>
      <c r="J962" s="15" t="str">
        <f>LOOKUP(MONTH(G962),{1,4,7,10},{"Winter","Spring","Summer","Autumn"})</f>
        <v>Summer</v>
      </c>
      <c r="K962" s="15" t="str">
        <f>_xlfn.XLOOKUP(OrderDetails[[#This Row],[ProductID]],Product!A:A,Product!B:B,"Not Found")</f>
        <v>Ikura</v>
      </c>
    </row>
    <row r="963" spans="1:11">
      <c r="A963" s="2">
        <v>10612</v>
      </c>
      <c r="B963" s="2">
        <v>36</v>
      </c>
      <c r="C963" s="2">
        <v>19</v>
      </c>
      <c r="D963" s="2">
        <v>55</v>
      </c>
      <c r="E963" s="4">
        <v>0</v>
      </c>
      <c r="F963" s="1" t="str">
        <f>_xlfn.XLOOKUP(A963,Orders!A:A,Orders!B:B,"not found")</f>
        <v>SAVEA</v>
      </c>
      <c r="G963" s="13">
        <f>_xlfn.XLOOKUP(OrderDetails[[#This Row],[OrderID]],Orders!A:A,Orders!C:C,"Not Found")</f>
        <v>35639</v>
      </c>
      <c r="H963" s="16">
        <f>(OrderDetails[[#This Row],[UnitPrice]]*OrderDetails[[#This Row],[Quantity]])*(1-OrderDetails[[#This Row],[Discount]])</f>
        <v>1045</v>
      </c>
      <c r="I963" s="15" t="str">
        <f>_xlfn.XLOOKUP(OrderDetails[[#This Row],[ProductID]],Product!A:A,Product!G:G,"Not Found")</f>
        <v>Seafood</v>
      </c>
      <c r="J963" s="15" t="str">
        <f>LOOKUP(MONTH(G963),{1,4,7,10},{"Winter","Spring","Summer","Autumn"})</f>
        <v>Summer</v>
      </c>
      <c r="K963" s="15" t="str">
        <f>_xlfn.XLOOKUP(OrderDetails[[#This Row],[ProductID]],Product!A:A,Product!B:B,"Not Found")</f>
        <v>Inlagd Sill</v>
      </c>
    </row>
    <row r="964" spans="1:11">
      <c r="A964" s="1">
        <v>10612</v>
      </c>
      <c r="B964" s="1">
        <v>49</v>
      </c>
      <c r="C964" s="1">
        <v>20</v>
      </c>
      <c r="D964" s="1">
        <v>18</v>
      </c>
      <c r="E964" s="3">
        <v>0</v>
      </c>
      <c r="F964" s="1" t="str">
        <f>_xlfn.XLOOKUP(A964,Orders!A:A,Orders!B:B,"not found")</f>
        <v>SAVEA</v>
      </c>
      <c r="G964" s="13">
        <f>_xlfn.XLOOKUP(OrderDetails[[#This Row],[OrderID]],Orders!A:A,Orders!C:C,"Not Found")</f>
        <v>35639</v>
      </c>
      <c r="H964" s="16">
        <f>(OrderDetails[[#This Row],[UnitPrice]]*OrderDetails[[#This Row],[Quantity]])*(1-OrderDetails[[#This Row],[Discount]])</f>
        <v>360</v>
      </c>
      <c r="I964" s="15" t="str">
        <f>_xlfn.XLOOKUP(OrderDetails[[#This Row],[ProductID]],Product!A:A,Product!G:G,"Not Found")</f>
        <v>Confections</v>
      </c>
      <c r="J964" s="15" t="str">
        <f>LOOKUP(MONTH(G964),{1,4,7,10},{"Winter","Spring","Summer","Autumn"})</f>
        <v>Summer</v>
      </c>
      <c r="K964" s="15" t="str">
        <f>_xlfn.XLOOKUP(OrderDetails[[#This Row],[ProductID]],Product!A:A,Product!B:B,"Not Found")</f>
        <v>Maxilaku</v>
      </c>
    </row>
    <row r="965" spans="1:11">
      <c r="A965" s="2">
        <v>10612</v>
      </c>
      <c r="B965" s="2">
        <v>60</v>
      </c>
      <c r="C965" s="2">
        <v>34</v>
      </c>
      <c r="D965" s="2">
        <v>40</v>
      </c>
      <c r="E965" s="4">
        <v>0</v>
      </c>
      <c r="F965" s="1" t="str">
        <f>_xlfn.XLOOKUP(A965,Orders!A:A,Orders!B:B,"not found")</f>
        <v>SAVEA</v>
      </c>
      <c r="G965" s="13">
        <f>_xlfn.XLOOKUP(OrderDetails[[#This Row],[OrderID]],Orders!A:A,Orders!C:C,"Not Found")</f>
        <v>35639</v>
      </c>
      <c r="H965" s="16">
        <f>(OrderDetails[[#This Row],[UnitPrice]]*OrderDetails[[#This Row],[Quantity]])*(1-OrderDetails[[#This Row],[Discount]])</f>
        <v>1360</v>
      </c>
      <c r="I965" s="15" t="str">
        <f>_xlfn.XLOOKUP(OrderDetails[[#This Row],[ProductID]],Product!A:A,Product!G:G,"Not Found")</f>
        <v>Dairy Products</v>
      </c>
      <c r="J965" s="15" t="str">
        <f>LOOKUP(MONTH(G965),{1,4,7,10},{"Winter","Spring","Summer","Autumn"})</f>
        <v>Summer</v>
      </c>
      <c r="K965" s="15" t="str">
        <f>_xlfn.XLOOKUP(OrderDetails[[#This Row],[ProductID]],Product!A:A,Product!B:B,"Not Found")</f>
        <v>Camembert Pierrot</v>
      </c>
    </row>
    <row r="966" spans="1:11">
      <c r="A966" s="1">
        <v>10612</v>
      </c>
      <c r="B966" s="1">
        <v>76</v>
      </c>
      <c r="C966" s="1">
        <v>18</v>
      </c>
      <c r="D966" s="1">
        <v>80</v>
      </c>
      <c r="E966" s="3">
        <v>0</v>
      </c>
      <c r="F966" s="1" t="str">
        <f>_xlfn.XLOOKUP(A966,Orders!A:A,Orders!B:B,"not found")</f>
        <v>SAVEA</v>
      </c>
      <c r="G966" s="13">
        <f>_xlfn.XLOOKUP(OrderDetails[[#This Row],[OrderID]],Orders!A:A,Orders!C:C,"Not Found")</f>
        <v>35639</v>
      </c>
      <c r="H966" s="16">
        <f>(OrderDetails[[#This Row],[UnitPrice]]*OrderDetails[[#This Row],[Quantity]])*(1-OrderDetails[[#This Row],[Discount]])</f>
        <v>1440</v>
      </c>
      <c r="I966" s="15" t="str">
        <f>_xlfn.XLOOKUP(OrderDetails[[#This Row],[ProductID]],Product!A:A,Product!G:G,"Not Found")</f>
        <v>Beverages</v>
      </c>
      <c r="J966" s="15" t="str">
        <f>LOOKUP(MONTH(G966),{1,4,7,10},{"Winter","Spring","Summer","Autumn"})</f>
        <v>Summer</v>
      </c>
      <c r="K966" s="15" t="str">
        <f>_xlfn.XLOOKUP(OrderDetails[[#This Row],[ProductID]],Product!A:A,Product!B:B,"Not Found")</f>
        <v>Lakkalikööri</v>
      </c>
    </row>
    <row r="967" spans="1:11">
      <c r="A967" s="2">
        <v>10613</v>
      </c>
      <c r="B967" s="2">
        <v>13</v>
      </c>
      <c r="C967" s="2">
        <v>6</v>
      </c>
      <c r="D967" s="2">
        <v>8</v>
      </c>
      <c r="E967" s="4">
        <v>0.10000000149011612</v>
      </c>
      <c r="F967" s="1" t="str">
        <f>_xlfn.XLOOKUP(A967,Orders!A:A,Orders!B:B,"not found")</f>
        <v>HILAA</v>
      </c>
      <c r="G967" s="13">
        <f>_xlfn.XLOOKUP(OrderDetails[[#This Row],[OrderID]],Orders!A:A,Orders!C:C,"Not Found")</f>
        <v>35640</v>
      </c>
      <c r="H967" s="16">
        <f>(OrderDetails[[#This Row],[UnitPrice]]*OrderDetails[[#This Row],[Quantity]])*(1-OrderDetails[[#This Row],[Discount]])</f>
        <v>43.199999928474426</v>
      </c>
      <c r="I967" s="15" t="str">
        <f>_xlfn.XLOOKUP(OrderDetails[[#This Row],[ProductID]],Product!A:A,Product!G:G,"Not Found")</f>
        <v>Seafood</v>
      </c>
      <c r="J967" s="15" t="str">
        <f>LOOKUP(MONTH(G967),{1,4,7,10},{"Winter","Spring","Summer","Autumn"})</f>
        <v>Summer</v>
      </c>
      <c r="K967" s="15" t="str">
        <f>_xlfn.XLOOKUP(OrderDetails[[#This Row],[ProductID]],Product!A:A,Product!B:B,"Not Found")</f>
        <v>Konbu</v>
      </c>
    </row>
    <row r="968" spans="1:11">
      <c r="A968" s="1">
        <v>10613</v>
      </c>
      <c r="B968" s="1">
        <v>75</v>
      </c>
      <c r="C968" s="1">
        <v>7.75</v>
      </c>
      <c r="D968" s="1">
        <v>40</v>
      </c>
      <c r="E968" s="3">
        <v>0</v>
      </c>
      <c r="F968" s="1" t="str">
        <f>_xlfn.XLOOKUP(A968,Orders!A:A,Orders!B:B,"not found")</f>
        <v>HILAA</v>
      </c>
      <c r="G968" s="13">
        <f>_xlfn.XLOOKUP(OrderDetails[[#This Row],[OrderID]],Orders!A:A,Orders!C:C,"Not Found")</f>
        <v>35640</v>
      </c>
      <c r="H968" s="16">
        <f>(OrderDetails[[#This Row],[UnitPrice]]*OrderDetails[[#This Row],[Quantity]])*(1-OrderDetails[[#This Row],[Discount]])</f>
        <v>310</v>
      </c>
      <c r="I968" s="15" t="str">
        <f>_xlfn.XLOOKUP(OrderDetails[[#This Row],[ProductID]],Product!A:A,Product!G:G,"Not Found")</f>
        <v>Beverages</v>
      </c>
      <c r="J968" s="15" t="str">
        <f>LOOKUP(MONTH(G968),{1,4,7,10},{"Winter","Spring","Summer","Autumn"})</f>
        <v>Summer</v>
      </c>
      <c r="K968" s="15" t="str">
        <f>_xlfn.XLOOKUP(OrderDetails[[#This Row],[ProductID]],Product!A:A,Product!B:B,"Not Found")</f>
        <v>Rhönbräu Klosterbier</v>
      </c>
    </row>
    <row r="969" spans="1:11">
      <c r="A969" s="2">
        <v>10614</v>
      </c>
      <c r="B969" s="2">
        <v>11</v>
      </c>
      <c r="C969" s="2">
        <v>21</v>
      </c>
      <c r="D969" s="2">
        <v>14</v>
      </c>
      <c r="E969" s="4">
        <v>0</v>
      </c>
      <c r="F969" s="1" t="str">
        <f>_xlfn.XLOOKUP(A969,Orders!A:A,Orders!B:B,"not found")</f>
        <v>BLAUS</v>
      </c>
      <c r="G969" s="13">
        <f>_xlfn.XLOOKUP(OrderDetails[[#This Row],[OrderID]],Orders!A:A,Orders!C:C,"Not Found")</f>
        <v>35640</v>
      </c>
      <c r="H969" s="16">
        <f>(OrderDetails[[#This Row],[UnitPrice]]*OrderDetails[[#This Row],[Quantity]])*(1-OrderDetails[[#This Row],[Discount]])</f>
        <v>294</v>
      </c>
      <c r="I969" s="15" t="str">
        <f>_xlfn.XLOOKUP(OrderDetails[[#This Row],[ProductID]],Product!A:A,Product!G:G,"Not Found")</f>
        <v>Dairy Products</v>
      </c>
      <c r="J969" s="15" t="str">
        <f>LOOKUP(MONTH(G969),{1,4,7,10},{"Winter","Spring","Summer","Autumn"})</f>
        <v>Summer</v>
      </c>
      <c r="K969" s="15" t="str">
        <f>_xlfn.XLOOKUP(OrderDetails[[#This Row],[ProductID]],Product!A:A,Product!B:B,"Not Found")</f>
        <v>Queso Cabrales</v>
      </c>
    </row>
    <row r="970" spans="1:11">
      <c r="A970" s="1">
        <v>10614</v>
      </c>
      <c r="B970" s="1">
        <v>21</v>
      </c>
      <c r="C970" s="1">
        <v>10</v>
      </c>
      <c r="D970" s="1">
        <v>8</v>
      </c>
      <c r="E970" s="3">
        <v>0</v>
      </c>
      <c r="F970" s="1" t="str">
        <f>_xlfn.XLOOKUP(A970,Orders!A:A,Orders!B:B,"not found")</f>
        <v>BLAUS</v>
      </c>
      <c r="G970" s="13">
        <f>_xlfn.XLOOKUP(OrderDetails[[#This Row],[OrderID]],Orders!A:A,Orders!C:C,"Not Found")</f>
        <v>35640</v>
      </c>
      <c r="H970" s="16">
        <f>(OrderDetails[[#This Row],[UnitPrice]]*OrderDetails[[#This Row],[Quantity]])*(1-OrderDetails[[#This Row],[Discount]])</f>
        <v>80</v>
      </c>
      <c r="I970" s="15" t="str">
        <f>_xlfn.XLOOKUP(OrderDetails[[#This Row],[ProductID]],Product!A:A,Product!G:G,"Not Found")</f>
        <v>Confections</v>
      </c>
      <c r="J970" s="15" t="str">
        <f>LOOKUP(MONTH(G970),{1,4,7,10},{"Winter","Spring","Summer","Autumn"})</f>
        <v>Summer</v>
      </c>
      <c r="K970" s="15" t="str">
        <f>_xlfn.XLOOKUP(OrderDetails[[#This Row],[ProductID]],Product!A:A,Product!B:B,"Not Found")</f>
        <v>Sir Rodney's Scones</v>
      </c>
    </row>
    <row r="971" spans="1:11">
      <c r="A971" s="2">
        <v>10614</v>
      </c>
      <c r="B971" s="2">
        <v>39</v>
      </c>
      <c r="C971" s="2">
        <v>18</v>
      </c>
      <c r="D971" s="2">
        <v>5</v>
      </c>
      <c r="E971" s="4">
        <v>0</v>
      </c>
      <c r="F971" s="1" t="str">
        <f>_xlfn.XLOOKUP(A971,Orders!A:A,Orders!B:B,"not found")</f>
        <v>BLAUS</v>
      </c>
      <c r="G971" s="13">
        <f>_xlfn.XLOOKUP(OrderDetails[[#This Row],[OrderID]],Orders!A:A,Orders!C:C,"Not Found")</f>
        <v>35640</v>
      </c>
      <c r="H971" s="16">
        <f>(OrderDetails[[#This Row],[UnitPrice]]*OrderDetails[[#This Row],[Quantity]])*(1-OrderDetails[[#This Row],[Discount]])</f>
        <v>90</v>
      </c>
      <c r="I971" s="15" t="str">
        <f>_xlfn.XLOOKUP(OrderDetails[[#This Row],[ProductID]],Product!A:A,Product!G:G,"Not Found")</f>
        <v>Beverages</v>
      </c>
      <c r="J971" s="15" t="str">
        <f>LOOKUP(MONTH(G971),{1,4,7,10},{"Winter","Spring","Summer","Autumn"})</f>
        <v>Summer</v>
      </c>
      <c r="K971" s="15" t="str">
        <f>_xlfn.XLOOKUP(OrderDetails[[#This Row],[ProductID]],Product!A:A,Product!B:B,"Not Found")</f>
        <v>Chartreuse verte</v>
      </c>
    </row>
    <row r="972" spans="1:11">
      <c r="A972" s="1">
        <v>10615</v>
      </c>
      <c r="B972" s="1">
        <v>55</v>
      </c>
      <c r="C972" s="1">
        <v>24</v>
      </c>
      <c r="D972" s="1">
        <v>5</v>
      </c>
      <c r="E972" s="3">
        <v>0</v>
      </c>
      <c r="F972" s="1" t="str">
        <f>_xlfn.XLOOKUP(A972,Orders!A:A,Orders!B:B,"not found")</f>
        <v>WILMK</v>
      </c>
      <c r="G972" s="13">
        <f>_xlfn.XLOOKUP(OrderDetails[[#This Row],[OrderID]],Orders!A:A,Orders!C:C,"Not Found")</f>
        <v>35641</v>
      </c>
      <c r="H972" s="16">
        <f>(OrderDetails[[#This Row],[UnitPrice]]*OrderDetails[[#This Row],[Quantity]])*(1-OrderDetails[[#This Row],[Discount]])</f>
        <v>120</v>
      </c>
      <c r="I972" s="15" t="str">
        <f>_xlfn.XLOOKUP(OrderDetails[[#This Row],[ProductID]],Product!A:A,Product!G:G,"Not Found")</f>
        <v>Meat/Poultry</v>
      </c>
      <c r="J972" s="15" t="str">
        <f>LOOKUP(MONTH(G972),{1,4,7,10},{"Winter","Spring","Summer","Autumn"})</f>
        <v>Summer</v>
      </c>
      <c r="K972" s="15" t="str">
        <f>_xlfn.XLOOKUP(OrderDetails[[#This Row],[ProductID]],Product!A:A,Product!B:B,"Not Found")</f>
        <v>Pâté chinois</v>
      </c>
    </row>
    <row r="973" spans="1:11">
      <c r="A973" s="2">
        <v>10616</v>
      </c>
      <c r="B973" s="2">
        <v>38</v>
      </c>
      <c r="C973" s="2">
        <v>263.5</v>
      </c>
      <c r="D973" s="2">
        <v>15</v>
      </c>
      <c r="E973" s="4">
        <v>5.000000074505806E-2</v>
      </c>
      <c r="F973" s="1" t="str">
        <f>_xlfn.XLOOKUP(A973,Orders!A:A,Orders!B:B,"not found")</f>
        <v>GREAL</v>
      </c>
      <c r="G973" s="13">
        <f>_xlfn.XLOOKUP(OrderDetails[[#This Row],[OrderID]],Orders!A:A,Orders!C:C,"Not Found")</f>
        <v>35642</v>
      </c>
      <c r="H973" s="16">
        <f>(OrderDetails[[#This Row],[UnitPrice]]*OrderDetails[[#This Row],[Quantity]])*(1-OrderDetails[[#This Row],[Discount]])</f>
        <v>3754.874997055158</v>
      </c>
      <c r="I973" s="15" t="str">
        <f>_xlfn.XLOOKUP(OrderDetails[[#This Row],[ProductID]],Product!A:A,Product!G:G,"Not Found")</f>
        <v>Beverages</v>
      </c>
      <c r="J973" s="15" t="str">
        <f>LOOKUP(MONTH(G973),{1,4,7,10},{"Winter","Spring","Summer","Autumn"})</f>
        <v>Summer</v>
      </c>
      <c r="K973" s="15" t="str">
        <f>_xlfn.XLOOKUP(OrderDetails[[#This Row],[ProductID]],Product!A:A,Product!B:B,"Not Found")</f>
        <v>Côte de Blaye</v>
      </c>
    </row>
    <row r="974" spans="1:11">
      <c r="A974" s="1">
        <v>10616</v>
      </c>
      <c r="B974" s="1">
        <v>56</v>
      </c>
      <c r="C974" s="1">
        <v>38</v>
      </c>
      <c r="D974" s="1">
        <v>14</v>
      </c>
      <c r="E974" s="3">
        <v>0</v>
      </c>
      <c r="F974" s="1" t="str">
        <f>_xlfn.XLOOKUP(A974,Orders!A:A,Orders!B:B,"not found")</f>
        <v>GREAL</v>
      </c>
      <c r="G974" s="13">
        <f>_xlfn.XLOOKUP(OrderDetails[[#This Row],[OrderID]],Orders!A:A,Orders!C:C,"Not Found")</f>
        <v>35642</v>
      </c>
      <c r="H974" s="16">
        <f>(OrderDetails[[#This Row],[UnitPrice]]*OrderDetails[[#This Row],[Quantity]])*(1-OrderDetails[[#This Row],[Discount]])</f>
        <v>532</v>
      </c>
      <c r="I974" s="15" t="str">
        <f>_xlfn.XLOOKUP(OrderDetails[[#This Row],[ProductID]],Product!A:A,Product!G:G,"Not Found")</f>
        <v>Grains/Cereals</v>
      </c>
      <c r="J974" s="15" t="str">
        <f>LOOKUP(MONTH(G974),{1,4,7,10},{"Winter","Spring","Summer","Autumn"})</f>
        <v>Summer</v>
      </c>
      <c r="K974" s="15" t="str">
        <f>_xlfn.XLOOKUP(OrderDetails[[#This Row],[ProductID]],Product!A:A,Product!B:B,"Not Found")</f>
        <v>Gnocchi di nonna Alice</v>
      </c>
    </row>
    <row r="975" spans="1:11">
      <c r="A975" s="2">
        <v>10616</v>
      </c>
      <c r="B975" s="2">
        <v>70</v>
      </c>
      <c r="C975" s="2">
        <v>15</v>
      </c>
      <c r="D975" s="2">
        <v>15</v>
      </c>
      <c r="E975" s="4">
        <v>5.000000074505806E-2</v>
      </c>
      <c r="F975" s="1" t="str">
        <f>_xlfn.XLOOKUP(A975,Orders!A:A,Orders!B:B,"not found")</f>
        <v>GREAL</v>
      </c>
      <c r="G975" s="13">
        <f>_xlfn.XLOOKUP(OrderDetails[[#This Row],[OrderID]],Orders!A:A,Orders!C:C,"Not Found")</f>
        <v>35642</v>
      </c>
      <c r="H975" s="16">
        <f>(OrderDetails[[#This Row],[UnitPrice]]*OrderDetails[[#This Row],[Quantity]])*(1-OrderDetails[[#This Row],[Discount]])</f>
        <v>213.74999983236194</v>
      </c>
      <c r="I975" s="15" t="str">
        <f>_xlfn.XLOOKUP(OrderDetails[[#This Row],[ProductID]],Product!A:A,Product!G:G,"Not Found")</f>
        <v>Beverages</v>
      </c>
      <c r="J975" s="15" t="str">
        <f>LOOKUP(MONTH(G975),{1,4,7,10},{"Winter","Spring","Summer","Autumn"})</f>
        <v>Summer</v>
      </c>
      <c r="K975" s="15" t="str">
        <f>_xlfn.XLOOKUP(OrderDetails[[#This Row],[ProductID]],Product!A:A,Product!B:B,"Not Found")</f>
        <v>Outback Lager</v>
      </c>
    </row>
    <row r="976" spans="1:11">
      <c r="A976" s="1">
        <v>10616</v>
      </c>
      <c r="B976" s="1">
        <v>71</v>
      </c>
      <c r="C976" s="1">
        <v>21.5</v>
      </c>
      <c r="D976" s="1">
        <v>15</v>
      </c>
      <c r="E976" s="3">
        <v>5.000000074505806E-2</v>
      </c>
      <c r="F976" s="1" t="str">
        <f>_xlfn.XLOOKUP(A976,Orders!A:A,Orders!B:B,"not found")</f>
        <v>GREAL</v>
      </c>
      <c r="G976" s="13">
        <f>_xlfn.XLOOKUP(OrderDetails[[#This Row],[OrderID]],Orders!A:A,Orders!C:C,"Not Found")</f>
        <v>35642</v>
      </c>
      <c r="H976" s="16">
        <f>(OrderDetails[[#This Row],[UnitPrice]]*OrderDetails[[#This Row],[Quantity]])*(1-OrderDetails[[#This Row],[Discount]])</f>
        <v>306.37499975971878</v>
      </c>
      <c r="I976" s="15" t="str">
        <f>_xlfn.XLOOKUP(OrderDetails[[#This Row],[ProductID]],Product!A:A,Product!G:G,"Not Found")</f>
        <v>Dairy Products</v>
      </c>
      <c r="J976" s="15" t="str">
        <f>LOOKUP(MONTH(G976),{1,4,7,10},{"Winter","Spring","Summer","Autumn"})</f>
        <v>Summer</v>
      </c>
      <c r="K976" s="15" t="str">
        <f>_xlfn.XLOOKUP(OrderDetails[[#This Row],[ProductID]],Product!A:A,Product!B:B,"Not Found")</f>
        <v>Flotemysost</v>
      </c>
    </row>
    <row r="977" spans="1:11">
      <c r="A977" s="2">
        <v>10617</v>
      </c>
      <c r="B977" s="2">
        <v>59</v>
      </c>
      <c r="C977" s="2">
        <v>55</v>
      </c>
      <c r="D977" s="2">
        <v>30</v>
      </c>
      <c r="E977" s="4">
        <v>0.15000000596046448</v>
      </c>
      <c r="F977" s="1" t="str">
        <f>_xlfn.XLOOKUP(A977,Orders!A:A,Orders!B:B,"not found")</f>
        <v>GREAL</v>
      </c>
      <c r="G977" s="13">
        <f>_xlfn.XLOOKUP(OrderDetails[[#This Row],[OrderID]],Orders!A:A,Orders!C:C,"Not Found")</f>
        <v>35642</v>
      </c>
      <c r="H977" s="16">
        <f>(OrderDetails[[#This Row],[UnitPrice]]*OrderDetails[[#This Row],[Quantity]])*(1-OrderDetails[[#This Row],[Discount]])</f>
        <v>1402.4999901652336</v>
      </c>
      <c r="I977" s="15" t="str">
        <f>_xlfn.XLOOKUP(OrderDetails[[#This Row],[ProductID]],Product!A:A,Product!G:G,"Not Found")</f>
        <v>Dairy Products</v>
      </c>
      <c r="J977" s="15" t="str">
        <f>LOOKUP(MONTH(G977),{1,4,7,10},{"Winter","Spring","Summer","Autumn"})</f>
        <v>Summer</v>
      </c>
      <c r="K977" s="15" t="str">
        <f>_xlfn.XLOOKUP(OrderDetails[[#This Row],[ProductID]],Product!A:A,Product!B:B,"Not Found")</f>
        <v>Raclette Courdavault</v>
      </c>
    </row>
    <row r="978" spans="1:11">
      <c r="A978" s="1">
        <v>10618</v>
      </c>
      <c r="B978" s="1">
        <v>6</v>
      </c>
      <c r="C978" s="1">
        <v>25</v>
      </c>
      <c r="D978" s="1">
        <v>70</v>
      </c>
      <c r="E978" s="3">
        <v>0</v>
      </c>
      <c r="F978" s="1" t="str">
        <f>_xlfn.XLOOKUP(A978,Orders!A:A,Orders!B:B,"not found")</f>
        <v>MEREP</v>
      </c>
      <c r="G978" s="13">
        <f>_xlfn.XLOOKUP(OrderDetails[[#This Row],[OrderID]],Orders!A:A,Orders!C:C,"Not Found")</f>
        <v>35643</v>
      </c>
      <c r="H978" s="16">
        <f>(OrderDetails[[#This Row],[UnitPrice]]*OrderDetails[[#This Row],[Quantity]])*(1-OrderDetails[[#This Row],[Discount]])</f>
        <v>1750</v>
      </c>
      <c r="I978" s="15" t="str">
        <f>_xlfn.XLOOKUP(OrderDetails[[#This Row],[ProductID]],Product!A:A,Product!G:G,"Not Found")</f>
        <v>Condiments</v>
      </c>
      <c r="J978" s="15" t="str">
        <f>LOOKUP(MONTH(G978),{1,4,7,10},{"Winter","Spring","Summer","Autumn"})</f>
        <v>Summer</v>
      </c>
      <c r="K978" s="15" t="str">
        <f>_xlfn.XLOOKUP(OrderDetails[[#This Row],[ProductID]],Product!A:A,Product!B:B,"Not Found")</f>
        <v>Grandma's Boysenberry Spread</v>
      </c>
    </row>
    <row r="979" spans="1:11">
      <c r="A979" s="2">
        <v>10618</v>
      </c>
      <c r="B979" s="2">
        <v>56</v>
      </c>
      <c r="C979" s="2">
        <v>38</v>
      </c>
      <c r="D979" s="2">
        <v>20</v>
      </c>
      <c r="E979" s="4">
        <v>0</v>
      </c>
      <c r="F979" s="1" t="str">
        <f>_xlfn.XLOOKUP(A979,Orders!A:A,Orders!B:B,"not found")</f>
        <v>MEREP</v>
      </c>
      <c r="G979" s="13">
        <f>_xlfn.XLOOKUP(OrderDetails[[#This Row],[OrderID]],Orders!A:A,Orders!C:C,"Not Found")</f>
        <v>35643</v>
      </c>
      <c r="H979" s="16">
        <f>(OrderDetails[[#This Row],[UnitPrice]]*OrderDetails[[#This Row],[Quantity]])*(1-OrderDetails[[#This Row],[Discount]])</f>
        <v>760</v>
      </c>
      <c r="I979" s="15" t="str">
        <f>_xlfn.XLOOKUP(OrderDetails[[#This Row],[ProductID]],Product!A:A,Product!G:G,"Not Found")</f>
        <v>Grains/Cereals</v>
      </c>
      <c r="J979" s="15" t="str">
        <f>LOOKUP(MONTH(G979),{1,4,7,10},{"Winter","Spring","Summer","Autumn"})</f>
        <v>Summer</v>
      </c>
      <c r="K979" s="15" t="str">
        <f>_xlfn.XLOOKUP(OrderDetails[[#This Row],[ProductID]],Product!A:A,Product!B:B,"Not Found")</f>
        <v>Gnocchi di nonna Alice</v>
      </c>
    </row>
    <row r="980" spans="1:11">
      <c r="A980" s="1">
        <v>10618</v>
      </c>
      <c r="B980" s="1">
        <v>68</v>
      </c>
      <c r="C980" s="1">
        <v>12.5</v>
      </c>
      <c r="D980" s="1">
        <v>15</v>
      </c>
      <c r="E980" s="3">
        <v>0</v>
      </c>
      <c r="F980" s="1" t="str">
        <f>_xlfn.XLOOKUP(A980,Orders!A:A,Orders!B:B,"not found")</f>
        <v>MEREP</v>
      </c>
      <c r="G980" s="13">
        <f>_xlfn.XLOOKUP(OrderDetails[[#This Row],[OrderID]],Orders!A:A,Orders!C:C,"Not Found")</f>
        <v>35643</v>
      </c>
      <c r="H980" s="16">
        <f>(OrderDetails[[#This Row],[UnitPrice]]*OrderDetails[[#This Row],[Quantity]])*(1-OrderDetails[[#This Row],[Discount]])</f>
        <v>187.5</v>
      </c>
      <c r="I980" s="15" t="str">
        <f>_xlfn.XLOOKUP(OrderDetails[[#This Row],[ProductID]],Product!A:A,Product!G:G,"Not Found")</f>
        <v>Confections</v>
      </c>
      <c r="J980" s="15" t="str">
        <f>LOOKUP(MONTH(G980),{1,4,7,10},{"Winter","Spring","Summer","Autumn"})</f>
        <v>Summer</v>
      </c>
      <c r="K980" s="15" t="str">
        <f>_xlfn.XLOOKUP(OrderDetails[[#This Row],[ProductID]],Product!A:A,Product!B:B,"Not Found")</f>
        <v>Scottish Longbreads</v>
      </c>
    </row>
    <row r="981" spans="1:11">
      <c r="A981" s="2">
        <v>10619</v>
      </c>
      <c r="B981" s="2">
        <v>21</v>
      </c>
      <c r="C981" s="2">
        <v>10</v>
      </c>
      <c r="D981" s="2">
        <v>42</v>
      </c>
      <c r="E981" s="4">
        <v>0</v>
      </c>
      <c r="F981" s="1" t="str">
        <f>_xlfn.XLOOKUP(A981,Orders!A:A,Orders!B:B,"not found")</f>
        <v>MEREP</v>
      </c>
      <c r="G981" s="13">
        <f>_xlfn.XLOOKUP(OrderDetails[[#This Row],[OrderID]],Orders!A:A,Orders!C:C,"Not Found")</f>
        <v>35646</v>
      </c>
      <c r="H981" s="16">
        <f>(OrderDetails[[#This Row],[UnitPrice]]*OrderDetails[[#This Row],[Quantity]])*(1-OrderDetails[[#This Row],[Discount]])</f>
        <v>420</v>
      </c>
      <c r="I981" s="15" t="str">
        <f>_xlfn.XLOOKUP(OrderDetails[[#This Row],[ProductID]],Product!A:A,Product!G:G,"Not Found")</f>
        <v>Confections</v>
      </c>
      <c r="J981" s="15" t="str">
        <f>LOOKUP(MONTH(G981),{1,4,7,10},{"Winter","Spring","Summer","Autumn"})</f>
        <v>Summer</v>
      </c>
      <c r="K981" s="15" t="str">
        <f>_xlfn.XLOOKUP(OrderDetails[[#This Row],[ProductID]],Product!A:A,Product!B:B,"Not Found")</f>
        <v>Sir Rodney's Scones</v>
      </c>
    </row>
    <row r="982" spans="1:11">
      <c r="A982" s="1">
        <v>10619</v>
      </c>
      <c r="B982" s="1">
        <v>22</v>
      </c>
      <c r="C982" s="1">
        <v>21</v>
      </c>
      <c r="D982" s="1">
        <v>40</v>
      </c>
      <c r="E982" s="3">
        <v>0</v>
      </c>
      <c r="F982" s="1" t="str">
        <f>_xlfn.XLOOKUP(A982,Orders!A:A,Orders!B:B,"not found")</f>
        <v>MEREP</v>
      </c>
      <c r="G982" s="13">
        <f>_xlfn.XLOOKUP(OrderDetails[[#This Row],[OrderID]],Orders!A:A,Orders!C:C,"Not Found")</f>
        <v>35646</v>
      </c>
      <c r="H982" s="16">
        <f>(OrderDetails[[#This Row],[UnitPrice]]*OrderDetails[[#This Row],[Quantity]])*(1-OrderDetails[[#This Row],[Discount]])</f>
        <v>840</v>
      </c>
      <c r="I982" s="15" t="str">
        <f>_xlfn.XLOOKUP(OrderDetails[[#This Row],[ProductID]],Product!A:A,Product!G:G,"Not Found")</f>
        <v>Grains/Cereals</v>
      </c>
      <c r="J982" s="15" t="str">
        <f>LOOKUP(MONTH(G982),{1,4,7,10},{"Winter","Spring","Summer","Autumn"})</f>
        <v>Summer</v>
      </c>
      <c r="K982" s="15" t="str">
        <f>_xlfn.XLOOKUP(OrderDetails[[#This Row],[ProductID]],Product!A:A,Product!B:B,"Not Found")</f>
        <v>Gustaf's Knäckebröd</v>
      </c>
    </row>
    <row r="983" spans="1:11">
      <c r="A983" s="2">
        <v>10620</v>
      </c>
      <c r="B983" s="2">
        <v>24</v>
      </c>
      <c r="C983" s="2">
        <v>4.5</v>
      </c>
      <c r="D983" s="2">
        <v>5</v>
      </c>
      <c r="E983" s="4">
        <v>0</v>
      </c>
      <c r="F983" s="1" t="str">
        <f>_xlfn.XLOOKUP(A983,Orders!A:A,Orders!B:B,"not found")</f>
        <v>LAUGB</v>
      </c>
      <c r="G983" s="13">
        <f>_xlfn.XLOOKUP(OrderDetails[[#This Row],[OrderID]],Orders!A:A,Orders!C:C,"Not Found")</f>
        <v>35647</v>
      </c>
      <c r="H983" s="16">
        <f>(OrderDetails[[#This Row],[UnitPrice]]*OrderDetails[[#This Row],[Quantity]])*(1-OrderDetails[[#This Row],[Discount]])</f>
        <v>22.5</v>
      </c>
      <c r="I983" s="15" t="str">
        <f>_xlfn.XLOOKUP(OrderDetails[[#This Row],[ProductID]],Product!A:A,Product!G:G,"Not Found")</f>
        <v>Beverages</v>
      </c>
      <c r="J983" s="15" t="str">
        <f>LOOKUP(MONTH(G983),{1,4,7,10},{"Winter","Spring","Summer","Autumn"})</f>
        <v>Summer</v>
      </c>
      <c r="K983" s="15" t="str">
        <f>_xlfn.XLOOKUP(OrderDetails[[#This Row],[ProductID]],Product!A:A,Product!B:B,"Not Found")</f>
        <v>Guaraná Fantástica</v>
      </c>
    </row>
    <row r="984" spans="1:11">
      <c r="A984" s="1">
        <v>10620</v>
      </c>
      <c r="B984" s="1">
        <v>52</v>
      </c>
      <c r="C984" s="1">
        <v>7</v>
      </c>
      <c r="D984" s="1">
        <v>5</v>
      </c>
      <c r="E984" s="3">
        <v>0</v>
      </c>
      <c r="F984" s="1" t="str">
        <f>_xlfn.XLOOKUP(A984,Orders!A:A,Orders!B:B,"not found")</f>
        <v>LAUGB</v>
      </c>
      <c r="G984" s="13">
        <f>_xlfn.XLOOKUP(OrderDetails[[#This Row],[OrderID]],Orders!A:A,Orders!C:C,"Not Found")</f>
        <v>35647</v>
      </c>
      <c r="H984" s="16">
        <f>(OrderDetails[[#This Row],[UnitPrice]]*OrderDetails[[#This Row],[Quantity]])*(1-OrderDetails[[#This Row],[Discount]])</f>
        <v>35</v>
      </c>
      <c r="I984" s="15" t="str">
        <f>_xlfn.XLOOKUP(OrderDetails[[#This Row],[ProductID]],Product!A:A,Product!G:G,"Not Found")</f>
        <v>Grains/Cereals</v>
      </c>
      <c r="J984" s="15" t="str">
        <f>LOOKUP(MONTH(G984),{1,4,7,10},{"Winter","Spring","Summer","Autumn"})</f>
        <v>Summer</v>
      </c>
      <c r="K984" s="15" t="str">
        <f>_xlfn.XLOOKUP(OrderDetails[[#This Row],[ProductID]],Product!A:A,Product!B:B,"Not Found")</f>
        <v>Filo Mix</v>
      </c>
    </row>
    <row r="985" spans="1:11">
      <c r="A985" s="2">
        <v>10621</v>
      </c>
      <c r="B985" s="2">
        <v>19</v>
      </c>
      <c r="C985" s="2">
        <v>9.1999999999999993</v>
      </c>
      <c r="D985" s="2">
        <v>5</v>
      </c>
      <c r="E985" s="4">
        <v>0</v>
      </c>
      <c r="F985" s="1" t="str">
        <f>_xlfn.XLOOKUP(A985,Orders!A:A,Orders!B:B,"not found")</f>
        <v>ISLAT</v>
      </c>
      <c r="G985" s="13">
        <f>_xlfn.XLOOKUP(OrderDetails[[#This Row],[OrderID]],Orders!A:A,Orders!C:C,"Not Found")</f>
        <v>35647</v>
      </c>
      <c r="H985" s="16">
        <f>(OrderDetails[[#This Row],[UnitPrice]]*OrderDetails[[#This Row],[Quantity]])*(1-OrderDetails[[#This Row],[Discount]])</f>
        <v>46</v>
      </c>
      <c r="I985" s="15" t="str">
        <f>_xlfn.XLOOKUP(OrderDetails[[#This Row],[ProductID]],Product!A:A,Product!G:G,"Not Found")</f>
        <v>Confections</v>
      </c>
      <c r="J985" s="15" t="str">
        <f>LOOKUP(MONTH(G985),{1,4,7,10},{"Winter","Spring","Summer","Autumn"})</f>
        <v>Summer</v>
      </c>
      <c r="K985" s="15" t="str">
        <f>_xlfn.XLOOKUP(OrderDetails[[#This Row],[ProductID]],Product!A:A,Product!B:B,"Not Found")</f>
        <v>Teatime Chocolate Biscuits</v>
      </c>
    </row>
    <row r="986" spans="1:11">
      <c r="A986" s="1">
        <v>10621</v>
      </c>
      <c r="B986" s="1">
        <v>23</v>
      </c>
      <c r="C986" s="1">
        <v>9</v>
      </c>
      <c r="D986" s="1">
        <v>10</v>
      </c>
      <c r="E986" s="3">
        <v>0</v>
      </c>
      <c r="F986" s="1" t="str">
        <f>_xlfn.XLOOKUP(A986,Orders!A:A,Orders!B:B,"not found")</f>
        <v>ISLAT</v>
      </c>
      <c r="G986" s="13">
        <f>_xlfn.XLOOKUP(OrderDetails[[#This Row],[OrderID]],Orders!A:A,Orders!C:C,"Not Found")</f>
        <v>35647</v>
      </c>
      <c r="H986" s="16">
        <f>(OrderDetails[[#This Row],[UnitPrice]]*OrderDetails[[#This Row],[Quantity]])*(1-OrderDetails[[#This Row],[Discount]])</f>
        <v>90</v>
      </c>
      <c r="I986" s="15" t="str">
        <f>_xlfn.XLOOKUP(OrderDetails[[#This Row],[ProductID]],Product!A:A,Product!G:G,"Not Found")</f>
        <v>Grains/Cereals</v>
      </c>
      <c r="J986" s="15" t="str">
        <f>LOOKUP(MONTH(G986),{1,4,7,10},{"Winter","Spring","Summer","Autumn"})</f>
        <v>Summer</v>
      </c>
      <c r="K986" s="15" t="str">
        <f>_xlfn.XLOOKUP(OrderDetails[[#This Row],[ProductID]],Product!A:A,Product!B:B,"Not Found")</f>
        <v>Tunnbröd</v>
      </c>
    </row>
    <row r="987" spans="1:11">
      <c r="A987" s="2">
        <v>10621</v>
      </c>
      <c r="B987" s="2">
        <v>70</v>
      </c>
      <c r="C987" s="2">
        <v>15</v>
      </c>
      <c r="D987" s="2">
        <v>20</v>
      </c>
      <c r="E987" s="4">
        <v>0</v>
      </c>
      <c r="F987" s="1" t="str">
        <f>_xlfn.XLOOKUP(A987,Orders!A:A,Orders!B:B,"not found")</f>
        <v>ISLAT</v>
      </c>
      <c r="G987" s="13">
        <f>_xlfn.XLOOKUP(OrderDetails[[#This Row],[OrderID]],Orders!A:A,Orders!C:C,"Not Found")</f>
        <v>35647</v>
      </c>
      <c r="H987" s="16">
        <f>(OrderDetails[[#This Row],[UnitPrice]]*OrderDetails[[#This Row],[Quantity]])*(1-OrderDetails[[#This Row],[Discount]])</f>
        <v>300</v>
      </c>
      <c r="I987" s="15" t="str">
        <f>_xlfn.XLOOKUP(OrderDetails[[#This Row],[ProductID]],Product!A:A,Product!G:G,"Not Found")</f>
        <v>Beverages</v>
      </c>
      <c r="J987" s="15" t="str">
        <f>LOOKUP(MONTH(G987),{1,4,7,10},{"Winter","Spring","Summer","Autumn"})</f>
        <v>Summer</v>
      </c>
      <c r="K987" s="15" t="str">
        <f>_xlfn.XLOOKUP(OrderDetails[[#This Row],[ProductID]],Product!A:A,Product!B:B,"Not Found")</f>
        <v>Outback Lager</v>
      </c>
    </row>
    <row r="988" spans="1:11">
      <c r="A988" s="1">
        <v>10621</v>
      </c>
      <c r="B988" s="1">
        <v>71</v>
      </c>
      <c r="C988" s="1">
        <v>21.5</v>
      </c>
      <c r="D988" s="1">
        <v>15</v>
      </c>
      <c r="E988" s="3">
        <v>0</v>
      </c>
      <c r="F988" s="1" t="str">
        <f>_xlfn.XLOOKUP(A988,Orders!A:A,Orders!B:B,"not found")</f>
        <v>ISLAT</v>
      </c>
      <c r="G988" s="13">
        <f>_xlfn.XLOOKUP(OrderDetails[[#This Row],[OrderID]],Orders!A:A,Orders!C:C,"Not Found")</f>
        <v>35647</v>
      </c>
      <c r="H988" s="16">
        <f>(OrderDetails[[#This Row],[UnitPrice]]*OrderDetails[[#This Row],[Quantity]])*(1-OrderDetails[[#This Row],[Discount]])</f>
        <v>322.5</v>
      </c>
      <c r="I988" s="15" t="str">
        <f>_xlfn.XLOOKUP(OrderDetails[[#This Row],[ProductID]],Product!A:A,Product!G:G,"Not Found")</f>
        <v>Dairy Products</v>
      </c>
      <c r="J988" s="15" t="str">
        <f>LOOKUP(MONTH(G988),{1,4,7,10},{"Winter","Spring","Summer","Autumn"})</f>
        <v>Summer</v>
      </c>
      <c r="K988" s="15" t="str">
        <f>_xlfn.XLOOKUP(OrderDetails[[#This Row],[ProductID]],Product!A:A,Product!B:B,"Not Found")</f>
        <v>Flotemysost</v>
      </c>
    </row>
    <row r="989" spans="1:11">
      <c r="A989" s="2">
        <v>10622</v>
      </c>
      <c r="B989" s="2">
        <v>2</v>
      </c>
      <c r="C989" s="2">
        <v>19</v>
      </c>
      <c r="D989" s="2">
        <v>20</v>
      </c>
      <c r="E989" s="4">
        <v>0</v>
      </c>
      <c r="F989" s="1" t="str">
        <f>_xlfn.XLOOKUP(A989,Orders!A:A,Orders!B:B,"not found")</f>
        <v>RICAR</v>
      </c>
      <c r="G989" s="13">
        <f>_xlfn.XLOOKUP(OrderDetails[[#This Row],[OrderID]],Orders!A:A,Orders!C:C,"Not Found")</f>
        <v>35648</v>
      </c>
      <c r="H989" s="16">
        <f>(OrderDetails[[#This Row],[UnitPrice]]*OrderDetails[[#This Row],[Quantity]])*(1-OrderDetails[[#This Row],[Discount]])</f>
        <v>380</v>
      </c>
      <c r="I989" s="15" t="str">
        <f>_xlfn.XLOOKUP(OrderDetails[[#This Row],[ProductID]],Product!A:A,Product!G:G,"Not Found")</f>
        <v>Beverages</v>
      </c>
      <c r="J989" s="15" t="str">
        <f>LOOKUP(MONTH(G989),{1,4,7,10},{"Winter","Spring","Summer","Autumn"})</f>
        <v>Summer</v>
      </c>
      <c r="K989" s="15" t="str">
        <f>_xlfn.XLOOKUP(OrderDetails[[#This Row],[ProductID]],Product!A:A,Product!B:B,"Not Found")</f>
        <v>Chang</v>
      </c>
    </row>
    <row r="990" spans="1:11">
      <c r="A990" s="1">
        <v>10622</v>
      </c>
      <c r="B990" s="1">
        <v>68</v>
      </c>
      <c r="C990" s="1">
        <v>12.5</v>
      </c>
      <c r="D990" s="1">
        <v>18</v>
      </c>
      <c r="E990" s="3">
        <v>0.20000000298023224</v>
      </c>
      <c r="F990" s="1" t="str">
        <f>_xlfn.XLOOKUP(A990,Orders!A:A,Orders!B:B,"not found")</f>
        <v>RICAR</v>
      </c>
      <c r="G990" s="13">
        <f>_xlfn.XLOOKUP(OrderDetails[[#This Row],[OrderID]],Orders!A:A,Orders!C:C,"Not Found")</f>
        <v>35648</v>
      </c>
      <c r="H990" s="16">
        <f>(OrderDetails[[#This Row],[UnitPrice]]*OrderDetails[[#This Row],[Quantity]])*(1-OrderDetails[[#This Row],[Discount]])</f>
        <v>179.99999932944775</v>
      </c>
      <c r="I990" s="15" t="str">
        <f>_xlfn.XLOOKUP(OrderDetails[[#This Row],[ProductID]],Product!A:A,Product!G:G,"Not Found")</f>
        <v>Confections</v>
      </c>
      <c r="J990" s="15" t="str">
        <f>LOOKUP(MONTH(G990),{1,4,7,10},{"Winter","Spring","Summer","Autumn"})</f>
        <v>Summer</v>
      </c>
      <c r="K990" s="15" t="str">
        <f>_xlfn.XLOOKUP(OrderDetails[[#This Row],[ProductID]],Product!A:A,Product!B:B,"Not Found")</f>
        <v>Scottish Longbreads</v>
      </c>
    </row>
    <row r="991" spans="1:11">
      <c r="A991" s="2">
        <v>10623</v>
      </c>
      <c r="B991" s="2">
        <v>14</v>
      </c>
      <c r="C991" s="2">
        <v>23.25</v>
      </c>
      <c r="D991" s="2">
        <v>21</v>
      </c>
      <c r="E991" s="4">
        <v>0</v>
      </c>
      <c r="F991" s="1" t="str">
        <f>_xlfn.XLOOKUP(A991,Orders!A:A,Orders!B:B,"not found")</f>
        <v>FRANK</v>
      </c>
      <c r="G991" s="13">
        <f>_xlfn.XLOOKUP(OrderDetails[[#This Row],[OrderID]],Orders!A:A,Orders!C:C,"Not Found")</f>
        <v>35649</v>
      </c>
      <c r="H991" s="16">
        <f>(OrderDetails[[#This Row],[UnitPrice]]*OrderDetails[[#This Row],[Quantity]])*(1-OrderDetails[[#This Row],[Discount]])</f>
        <v>488.25</v>
      </c>
      <c r="I991" s="15" t="str">
        <f>_xlfn.XLOOKUP(OrderDetails[[#This Row],[ProductID]],Product!A:A,Product!G:G,"Not Found")</f>
        <v>Produce</v>
      </c>
      <c r="J991" s="15" t="str">
        <f>LOOKUP(MONTH(G991),{1,4,7,10},{"Winter","Spring","Summer","Autumn"})</f>
        <v>Summer</v>
      </c>
      <c r="K991" s="15" t="str">
        <f>_xlfn.XLOOKUP(OrderDetails[[#This Row],[ProductID]],Product!A:A,Product!B:B,"Not Found")</f>
        <v>Tofu</v>
      </c>
    </row>
    <row r="992" spans="1:11">
      <c r="A992" s="1">
        <v>10623</v>
      </c>
      <c r="B992" s="1">
        <v>19</v>
      </c>
      <c r="C992" s="1">
        <v>9.1999999999999993</v>
      </c>
      <c r="D992" s="1">
        <v>15</v>
      </c>
      <c r="E992" s="3">
        <v>0.10000000149011612</v>
      </c>
      <c r="F992" s="1" t="str">
        <f>_xlfn.XLOOKUP(A992,Orders!A:A,Orders!B:B,"not found")</f>
        <v>FRANK</v>
      </c>
      <c r="G992" s="13">
        <f>_xlfn.XLOOKUP(OrderDetails[[#This Row],[OrderID]],Orders!A:A,Orders!C:C,"Not Found")</f>
        <v>35649</v>
      </c>
      <c r="H992" s="16">
        <f>(OrderDetails[[#This Row],[UnitPrice]]*OrderDetails[[#This Row],[Quantity]])*(1-OrderDetails[[#This Row],[Discount]])</f>
        <v>124.19999979436398</v>
      </c>
      <c r="I992" s="15" t="str">
        <f>_xlfn.XLOOKUP(OrderDetails[[#This Row],[ProductID]],Product!A:A,Product!G:G,"Not Found")</f>
        <v>Confections</v>
      </c>
      <c r="J992" s="15" t="str">
        <f>LOOKUP(MONTH(G992),{1,4,7,10},{"Winter","Spring","Summer","Autumn"})</f>
        <v>Summer</v>
      </c>
      <c r="K992" s="15" t="str">
        <f>_xlfn.XLOOKUP(OrderDetails[[#This Row],[ProductID]],Product!A:A,Product!B:B,"Not Found")</f>
        <v>Teatime Chocolate Biscuits</v>
      </c>
    </row>
    <row r="993" spans="1:11">
      <c r="A993" s="2">
        <v>10623</v>
      </c>
      <c r="B993" s="2">
        <v>21</v>
      </c>
      <c r="C993" s="2">
        <v>10</v>
      </c>
      <c r="D993" s="2">
        <v>25</v>
      </c>
      <c r="E993" s="4">
        <v>0.10000000149011612</v>
      </c>
      <c r="F993" s="1" t="str">
        <f>_xlfn.XLOOKUP(A993,Orders!A:A,Orders!B:B,"not found")</f>
        <v>FRANK</v>
      </c>
      <c r="G993" s="13">
        <f>_xlfn.XLOOKUP(OrderDetails[[#This Row],[OrderID]],Orders!A:A,Orders!C:C,"Not Found")</f>
        <v>35649</v>
      </c>
      <c r="H993" s="16">
        <f>(OrderDetails[[#This Row],[UnitPrice]]*OrderDetails[[#This Row],[Quantity]])*(1-OrderDetails[[#This Row],[Discount]])</f>
        <v>224.99999962747097</v>
      </c>
      <c r="I993" s="15" t="str">
        <f>_xlfn.XLOOKUP(OrderDetails[[#This Row],[ProductID]],Product!A:A,Product!G:G,"Not Found")</f>
        <v>Confections</v>
      </c>
      <c r="J993" s="15" t="str">
        <f>LOOKUP(MONTH(G993),{1,4,7,10},{"Winter","Spring","Summer","Autumn"})</f>
        <v>Summer</v>
      </c>
      <c r="K993" s="15" t="str">
        <f>_xlfn.XLOOKUP(OrderDetails[[#This Row],[ProductID]],Product!A:A,Product!B:B,"Not Found")</f>
        <v>Sir Rodney's Scones</v>
      </c>
    </row>
    <row r="994" spans="1:11">
      <c r="A994" s="1">
        <v>10623</v>
      </c>
      <c r="B994" s="1">
        <v>24</v>
      </c>
      <c r="C994" s="1">
        <v>4.5</v>
      </c>
      <c r="D994" s="1">
        <v>3</v>
      </c>
      <c r="E994" s="3">
        <v>0</v>
      </c>
      <c r="F994" s="1" t="str">
        <f>_xlfn.XLOOKUP(A994,Orders!A:A,Orders!B:B,"not found")</f>
        <v>FRANK</v>
      </c>
      <c r="G994" s="13">
        <f>_xlfn.XLOOKUP(OrderDetails[[#This Row],[OrderID]],Orders!A:A,Orders!C:C,"Not Found")</f>
        <v>35649</v>
      </c>
      <c r="H994" s="16">
        <f>(OrderDetails[[#This Row],[UnitPrice]]*OrderDetails[[#This Row],[Quantity]])*(1-OrderDetails[[#This Row],[Discount]])</f>
        <v>13.5</v>
      </c>
      <c r="I994" s="15" t="str">
        <f>_xlfn.XLOOKUP(OrderDetails[[#This Row],[ProductID]],Product!A:A,Product!G:G,"Not Found")</f>
        <v>Beverages</v>
      </c>
      <c r="J994" s="15" t="str">
        <f>LOOKUP(MONTH(G994),{1,4,7,10},{"Winter","Spring","Summer","Autumn"})</f>
        <v>Summer</v>
      </c>
      <c r="K994" s="15" t="str">
        <f>_xlfn.XLOOKUP(OrderDetails[[#This Row],[ProductID]],Product!A:A,Product!B:B,"Not Found")</f>
        <v>Guaraná Fantástica</v>
      </c>
    </row>
    <row r="995" spans="1:11">
      <c r="A995" s="2">
        <v>10623</v>
      </c>
      <c r="B995" s="2">
        <v>35</v>
      </c>
      <c r="C995" s="2">
        <v>18</v>
      </c>
      <c r="D995" s="2">
        <v>30</v>
      </c>
      <c r="E995" s="4">
        <v>0.10000000149011612</v>
      </c>
      <c r="F995" s="1" t="str">
        <f>_xlfn.XLOOKUP(A995,Orders!A:A,Orders!B:B,"not found")</f>
        <v>FRANK</v>
      </c>
      <c r="G995" s="13">
        <f>_xlfn.XLOOKUP(OrderDetails[[#This Row],[OrderID]],Orders!A:A,Orders!C:C,"Not Found")</f>
        <v>35649</v>
      </c>
      <c r="H995" s="16">
        <f>(OrderDetails[[#This Row],[UnitPrice]]*OrderDetails[[#This Row],[Quantity]])*(1-OrderDetails[[#This Row],[Discount]])</f>
        <v>485.9999991953373</v>
      </c>
      <c r="I995" s="15" t="str">
        <f>_xlfn.XLOOKUP(OrderDetails[[#This Row],[ProductID]],Product!A:A,Product!G:G,"Not Found")</f>
        <v>Beverages</v>
      </c>
      <c r="J995" s="15" t="str">
        <f>LOOKUP(MONTH(G995),{1,4,7,10},{"Winter","Spring","Summer","Autumn"})</f>
        <v>Summer</v>
      </c>
      <c r="K995" s="15" t="str">
        <f>_xlfn.XLOOKUP(OrderDetails[[#This Row],[ProductID]],Product!A:A,Product!B:B,"Not Found")</f>
        <v>Steeleye Stout</v>
      </c>
    </row>
    <row r="996" spans="1:11">
      <c r="A996" s="1">
        <v>10624</v>
      </c>
      <c r="B996" s="1">
        <v>28</v>
      </c>
      <c r="C996" s="1">
        <v>45.6</v>
      </c>
      <c r="D996" s="1">
        <v>10</v>
      </c>
      <c r="E996" s="3">
        <v>0</v>
      </c>
      <c r="F996" s="1" t="str">
        <f>_xlfn.XLOOKUP(A996,Orders!A:A,Orders!B:B,"not found")</f>
        <v>THECR</v>
      </c>
      <c r="G996" s="13">
        <f>_xlfn.XLOOKUP(OrderDetails[[#This Row],[OrderID]],Orders!A:A,Orders!C:C,"Not Found")</f>
        <v>35649</v>
      </c>
      <c r="H996" s="16">
        <f>(OrderDetails[[#This Row],[UnitPrice]]*OrderDetails[[#This Row],[Quantity]])*(1-OrderDetails[[#This Row],[Discount]])</f>
        <v>456</v>
      </c>
      <c r="I996" s="15" t="str">
        <f>_xlfn.XLOOKUP(OrderDetails[[#This Row],[ProductID]],Product!A:A,Product!G:G,"Not Found")</f>
        <v>Produce</v>
      </c>
      <c r="J996" s="15" t="str">
        <f>LOOKUP(MONTH(G996),{1,4,7,10},{"Winter","Spring","Summer","Autumn"})</f>
        <v>Summer</v>
      </c>
      <c r="K996" s="15" t="str">
        <f>_xlfn.XLOOKUP(OrderDetails[[#This Row],[ProductID]],Product!A:A,Product!B:B,"Not Found")</f>
        <v>Rössle Sauerkraut</v>
      </c>
    </row>
    <row r="997" spans="1:11">
      <c r="A997" s="2">
        <v>10624</v>
      </c>
      <c r="B997" s="2">
        <v>29</v>
      </c>
      <c r="C997" s="2">
        <v>123.79</v>
      </c>
      <c r="D997" s="2">
        <v>6</v>
      </c>
      <c r="E997" s="4">
        <v>0</v>
      </c>
      <c r="F997" s="1" t="str">
        <f>_xlfn.XLOOKUP(A997,Orders!A:A,Orders!B:B,"not found")</f>
        <v>THECR</v>
      </c>
      <c r="G997" s="13">
        <f>_xlfn.XLOOKUP(OrderDetails[[#This Row],[OrderID]],Orders!A:A,Orders!C:C,"Not Found")</f>
        <v>35649</v>
      </c>
      <c r="H997" s="16">
        <f>(OrderDetails[[#This Row],[UnitPrice]]*OrderDetails[[#This Row],[Quantity]])*(1-OrderDetails[[#This Row],[Discount]])</f>
        <v>742.74</v>
      </c>
      <c r="I997" s="15" t="str">
        <f>_xlfn.XLOOKUP(OrderDetails[[#This Row],[ProductID]],Product!A:A,Product!G:G,"Not Found")</f>
        <v>Meat/Poultry</v>
      </c>
      <c r="J997" s="15" t="str">
        <f>LOOKUP(MONTH(G997),{1,4,7,10},{"Winter","Spring","Summer","Autumn"})</f>
        <v>Summer</v>
      </c>
      <c r="K997" s="15" t="str">
        <f>_xlfn.XLOOKUP(OrderDetails[[#This Row],[ProductID]],Product!A:A,Product!B:B,"Not Found")</f>
        <v>Thüringer Rostbratwurst</v>
      </c>
    </row>
    <row r="998" spans="1:11">
      <c r="A998" s="1">
        <v>10624</v>
      </c>
      <c r="B998" s="1">
        <v>44</v>
      </c>
      <c r="C998" s="1">
        <v>19.45</v>
      </c>
      <c r="D998" s="1">
        <v>10</v>
      </c>
      <c r="E998" s="3">
        <v>0</v>
      </c>
      <c r="F998" s="1" t="str">
        <f>_xlfn.XLOOKUP(A998,Orders!A:A,Orders!B:B,"not found")</f>
        <v>THECR</v>
      </c>
      <c r="G998" s="13">
        <f>_xlfn.XLOOKUP(OrderDetails[[#This Row],[OrderID]],Orders!A:A,Orders!C:C,"Not Found")</f>
        <v>35649</v>
      </c>
      <c r="H998" s="16">
        <f>(OrderDetails[[#This Row],[UnitPrice]]*OrderDetails[[#This Row],[Quantity]])*(1-OrderDetails[[#This Row],[Discount]])</f>
        <v>194.5</v>
      </c>
      <c r="I998" s="15" t="str">
        <f>_xlfn.XLOOKUP(OrderDetails[[#This Row],[ProductID]],Product!A:A,Product!G:G,"Not Found")</f>
        <v>Condiments</v>
      </c>
      <c r="J998" s="15" t="str">
        <f>LOOKUP(MONTH(G998),{1,4,7,10},{"Winter","Spring","Summer","Autumn"})</f>
        <v>Summer</v>
      </c>
      <c r="K998" s="15" t="str">
        <f>_xlfn.XLOOKUP(OrderDetails[[#This Row],[ProductID]],Product!A:A,Product!B:B,"Not Found")</f>
        <v>Gula Malacca</v>
      </c>
    </row>
    <row r="999" spans="1:11">
      <c r="A999" s="2">
        <v>10625</v>
      </c>
      <c r="B999" s="2">
        <v>14</v>
      </c>
      <c r="C999" s="2">
        <v>23.25</v>
      </c>
      <c r="D999" s="2">
        <v>3</v>
      </c>
      <c r="E999" s="4">
        <v>0</v>
      </c>
      <c r="F999" s="1" t="str">
        <f>_xlfn.XLOOKUP(A999,Orders!A:A,Orders!B:B,"not found")</f>
        <v>ANATR</v>
      </c>
      <c r="G999" s="13">
        <f>_xlfn.XLOOKUP(OrderDetails[[#This Row],[OrderID]],Orders!A:A,Orders!C:C,"Not Found")</f>
        <v>35650</v>
      </c>
      <c r="H999" s="16">
        <f>(OrderDetails[[#This Row],[UnitPrice]]*OrderDetails[[#This Row],[Quantity]])*(1-OrderDetails[[#This Row],[Discount]])</f>
        <v>69.75</v>
      </c>
      <c r="I999" s="15" t="str">
        <f>_xlfn.XLOOKUP(OrderDetails[[#This Row],[ProductID]],Product!A:A,Product!G:G,"Not Found")</f>
        <v>Produce</v>
      </c>
      <c r="J999" s="15" t="str">
        <f>LOOKUP(MONTH(G999),{1,4,7,10},{"Winter","Spring","Summer","Autumn"})</f>
        <v>Summer</v>
      </c>
      <c r="K999" s="15" t="str">
        <f>_xlfn.XLOOKUP(OrderDetails[[#This Row],[ProductID]],Product!A:A,Product!B:B,"Not Found")</f>
        <v>Tofu</v>
      </c>
    </row>
    <row r="1000" spans="1:11">
      <c r="A1000" s="1">
        <v>10625</v>
      </c>
      <c r="B1000" s="1">
        <v>42</v>
      </c>
      <c r="C1000" s="1">
        <v>14</v>
      </c>
      <c r="D1000" s="1">
        <v>5</v>
      </c>
      <c r="E1000" s="3">
        <v>0</v>
      </c>
      <c r="F1000" s="1" t="str">
        <f>_xlfn.XLOOKUP(A1000,Orders!A:A,Orders!B:B,"not found")</f>
        <v>ANATR</v>
      </c>
      <c r="G1000" s="13">
        <f>_xlfn.XLOOKUP(OrderDetails[[#This Row],[OrderID]],Orders!A:A,Orders!C:C,"Not Found")</f>
        <v>35650</v>
      </c>
      <c r="H1000" s="16">
        <f>(OrderDetails[[#This Row],[UnitPrice]]*OrderDetails[[#This Row],[Quantity]])*(1-OrderDetails[[#This Row],[Discount]])</f>
        <v>70</v>
      </c>
      <c r="I1000" s="15" t="str">
        <f>_xlfn.XLOOKUP(OrderDetails[[#This Row],[ProductID]],Product!A:A,Product!G:G,"Not Found")</f>
        <v>Grains/Cereals</v>
      </c>
      <c r="J1000" s="15" t="str">
        <f>LOOKUP(MONTH(G1000),{1,4,7,10},{"Winter","Spring","Summer","Autumn"})</f>
        <v>Summer</v>
      </c>
      <c r="K1000" s="15" t="str">
        <f>_xlfn.XLOOKUP(OrderDetails[[#This Row],[ProductID]],Product!A:A,Product!B:B,"Not Found")</f>
        <v>Singaporean Hokkien Fried Mee</v>
      </c>
    </row>
    <row r="1001" spans="1:11">
      <c r="A1001" s="2">
        <v>10625</v>
      </c>
      <c r="B1001" s="2">
        <v>60</v>
      </c>
      <c r="C1001" s="2">
        <v>34</v>
      </c>
      <c r="D1001" s="2">
        <v>10</v>
      </c>
      <c r="E1001" s="4">
        <v>0</v>
      </c>
      <c r="F1001" s="1" t="str">
        <f>_xlfn.XLOOKUP(A1001,Orders!A:A,Orders!B:B,"not found")</f>
        <v>ANATR</v>
      </c>
      <c r="G1001" s="13">
        <f>_xlfn.XLOOKUP(OrderDetails[[#This Row],[OrderID]],Orders!A:A,Orders!C:C,"Not Found")</f>
        <v>35650</v>
      </c>
      <c r="H1001" s="16">
        <f>(OrderDetails[[#This Row],[UnitPrice]]*OrderDetails[[#This Row],[Quantity]])*(1-OrderDetails[[#This Row],[Discount]])</f>
        <v>340</v>
      </c>
      <c r="I1001" s="15" t="str">
        <f>_xlfn.XLOOKUP(OrderDetails[[#This Row],[ProductID]],Product!A:A,Product!G:G,"Not Found")</f>
        <v>Dairy Products</v>
      </c>
      <c r="J1001" s="15" t="str">
        <f>LOOKUP(MONTH(G1001),{1,4,7,10},{"Winter","Spring","Summer","Autumn"})</f>
        <v>Summer</v>
      </c>
      <c r="K1001" s="15" t="str">
        <f>_xlfn.XLOOKUP(OrderDetails[[#This Row],[ProductID]],Product!A:A,Product!B:B,"Not Found")</f>
        <v>Camembert Pierrot</v>
      </c>
    </row>
    <row r="1002" spans="1:11">
      <c r="A1002" s="1">
        <v>10626</v>
      </c>
      <c r="B1002" s="1">
        <v>53</v>
      </c>
      <c r="C1002" s="1">
        <v>32.799999999999997</v>
      </c>
      <c r="D1002" s="1">
        <v>12</v>
      </c>
      <c r="E1002" s="3">
        <v>0</v>
      </c>
      <c r="F1002" s="1" t="str">
        <f>_xlfn.XLOOKUP(A1002,Orders!A:A,Orders!B:B,"not found")</f>
        <v>BERGS</v>
      </c>
      <c r="G1002" s="13">
        <f>_xlfn.XLOOKUP(OrderDetails[[#This Row],[OrderID]],Orders!A:A,Orders!C:C,"Not Found")</f>
        <v>35653</v>
      </c>
      <c r="H1002" s="16">
        <f>(OrderDetails[[#This Row],[UnitPrice]]*OrderDetails[[#This Row],[Quantity]])*(1-OrderDetails[[#This Row],[Discount]])</f>
        <v>393.59999999999997</v>
      </c>
      <c r="I1002" s="15" t="str">
        <f>_xlfn.XLOOKUP(OrderDetails[[#This Row],[ProductID]],Product!A:A,Product!G:G,"Not Found")</f>
        <v>Meat/Poultry</v>
      </c>
      <c r="J1002" s="15" t="str">
        <f>LOOKUP(MONTH(G1002),{1,4,7,10},{"Winter","Spring","Summer","Autumn"})</f>
        <v>Summer</v>
      </c>
      <c r="K1002" s="15" t="str">
        <f>_xlfn.XLOOKUP(OrderDetails[[#This Row],[ProductID]],Product!A:A,Product!B:B,"Not Found")</f>
        <v>Perth Pasties</v>
      </c>
    </row>
    <row r="1003" spans="1:11">
      <c r="A1003" s="2">
        <v>10626</v>
      </c>
      <c r="B1003" s="2">
        <v>60</v>
      </c>
      <c r="C1003" s="2">
        <v>34</v>
      </c>
      <c r="D1003" s="2">
        <v>20</v>
      </c>
      <c r="E1003" s="4">
        <v>0</v>
      </c>
      <c r="F1003" s="1" t="str">
        <f>_xlfn.XLOOKUP(A1003,Orders!A:A,Orders!B:B,"not found")</f>
        <v>BERGS</v>
      </c>
      <c r="G1003" s="13">
        <f>_xlfn.XLOOKUP(OrderDetails[[#This Row],[OrderID]],Orders!A:A,Orders!C:C,"Not Found")</f>
        <v>35653</v>
      </c>
      <c r="H1003" s="16">
        <f>(OrderDetails[[#This Row],[UnitPrice]]*OrderDetails[[#This Row],[Quantity]])*(1-OrderDetails[[#This Row],[Discount]])</f>
        <v>680</v>
      </c>
      <c r="I1003" s="15" t="str">
        <f>_xlfn.XLOOKUP(OrderDetails[[#This Row],[ProductID]],Product!A:A,Product!G:G,"Not Found")</f>
        <v>Dairy Products</v>
      </c>
      <c r="J1003" s="15" t="str">
        <f>LOOKUP(MONTH(G1003),{1,4,7,10},{"Winter","Spring","Summer","Autumn"})</f>
        <v>Summer</v>
      </c>
      <c r="K1003" s="15" t="str">
        <f>_xlfn.XLOOKUP(OrderDetails[[#This Row],[ProductID]],Product!A:A,Product!B:B,"Not Found")</f>
        <v>Camembert Pierrot</v>
      </c>
    </row>
    <row r="1004" spans="1:11">
      <c r="A1004" s="1">
        <v>10626</v>
      </c>
      <c r="B1004" s="1">
        <v>71</v>
      </c>
      <c r="C1004" s="1">
        <v>21.5</v>
      </c>
      <c r="D1004" s="1">
        <v>20</v>
      </c>
      <c r="E1004" s="3">
        <v>0</v>
      </c>
      <c r="F1004" s="1" t="str">
        <f>_xlfn.XLOOKUP(A1004,Orders!A:A,Orders!B:B,"not found")</f>
        <v>BERGS</v>
      </c>
      <c r="G1004" s="13">
        <f>_xlfn.XLOOKUP(OrderDetails[[#This Row],[OrderID]],Orders!A:A,Orders!C:C,"Not Found")</f>
        <v>35653</v>
      </c>
      <c r="H1004" s="16">
        <f>(OrderDetails[[#This Row],[UnitPrice]]*OrderDetails[[#This Row],[Quantity]])*(1-OrderDetails[[#This Row],[Discount]])</f>
        <v>430</v>
      </c>
      <c r="I1004" s="15" t="str">
        <f>_xlfn.XLOOKUP(OrderDetails[[#This Row],[ProductID]],Product!A:A,Product!G:G,"Not Found")</f>
        <v>Dairy Products</v>
      </c>
      <c r="J1004" s="15" t="str">
        <f>LOOKUP(MONTH(G1004),{1,4,7,10},{"Winter","Spring","Summer","Autumn"})</f>
        <v>Summer</v>
      </c>
      <c r="K1004" s="15" t="str">
        <f>_xlfn.XLOOKUP(OrderDetails[[#This Row],[ProductID]],Product!A:A,Product!B:B,"Not Found")</f>
        <v>Flotemysost</v>
      </c>
    </row>
    <row r="1005" spans="1:11">
      <c r="A1005" s="2">
        <v>10627</v>
      </c>
      <c r="B1005" s="2">
        <v>62</v>
      </c>
      <c r="C1005" s="2">
        <v>49.3</v>
      </c>
      <c r="D1005" s="2">
        <v>15</v>
      </c>
      <c r="E1005" s="4">
        <v>0</v>
      </c>
      <c r="F1005" s="1" t="str">
        <f>_xlfn.XLOOKUP(A1005,Orders!A:A,Orders!B:B,"not found")</f>
        <v>SAVEA</v>
      </c>
      <c r="G1005" s="13">
        <f>_xlfn.XLOOKUP(OrderDetails[[#This Row],[OrderID]],Orders!A:A,Orders!C:C,"Not Found")</f>
        <v>35653</v>
      </c>
      <c r="H1005" s="16">
        <f>(OrderDetails[[#This Row],[UnitPrice]]*OrderDetails[[#This Row],[Quantity]])*(1-OrderDetails[[#This Row],[Discount]])</f>
        <v>739.5</v>
      </c>
      <c r="I1005" s="15" t="str">
        <f>_xlfn.XLOOKUP(OrderDetails[[#This Row],[ProductID]],Product!A:A,Product!G:G,"Not Found")</f>
        <v>Confections</v>
      </c>
      <c r="J1005" s="15" t="str">
        <f>LOOKUP(MONTH(G1005),{1,4,7,10},{"Winter","Spring","Summer","Autumn"})</f>
        <v>Summer</v>
      </c>
      <c r="K1005" s="15" t="str">
        <f>_xlfn.XLOOKUP(OrderDetails[[#This Row],[ProductID]],Product!A:A,Product!B:B,"Not Found")</f>
        <v>Tarte au sucre</v>
      </c>
    </row>
    <row r="1006" spans="1:11">
      <c r="A1006" s="1">
        <v>10627</v>
      </c>
      <c r="B1006" s="1">
        <v>73</v>
      </c>
      <c r="C1006" s="1">
        <v>15</v>
      </c>
      <c r="D1006" s="1">
        <v>35</v>
      </c>
      <c r="E1006" s="3">
        <v>0.15000000596046448</v>
      </c>
      <c r="F1006" s="1" t="str">
        <f>_xlfn.XLOOKUP(A1006,Orders!A:A,Orders!B:B,"not found")</f>
        <v>SAVEA</v>
      </c>
      <c r="G1006" s="13">
        <f>_xlfn.XLOOKUP(OrderDetails[[#This Row],[OrderID]],Orders!A:A,Orders!C:C,"Not Found")</f>
        <v>35653</v>
      </c>
      <c r="H1006" s="16">
        <f>(OrderDetails[[#This Row],[UnitPrice]]*OrderDetails[[#This Row],[Quantity]])*(1-OrderDetails[[#This Row],[Discount]])</f>
        <v>446.24999687075615</v>
      </c>
      <c r="I1006" s="15" t="str">
        <f>_xlfn.XLOOKUP(OrderDetails[[#This Row],[ProductID]],Product!A:A,Product!G:G,"Not Found")</f>
        <v>Seafood</v>
      </c>
      <c r="J1006" s="15" t="str">
        <f>LOOKUP(MONTH(G1006),{1,4,7,10},{"Winter","Spring","Summer","Autumn"})</f>
        <v>Summer</v>
      </c>
      <c r="K1006" s="15" t="str">
        <f>_xlfn.XLOOKUP(OrderDetails[[#This Row],[ProductID]],Product!A:A,Product!B:B,"Not Found")</f>
        <v>Röd Kaviar</v>
      </c>
    </row>
    <row r="1007" spans="1:11">
      <c r="A1007" s="2">
        <v>10628</v>
      </c>
      <c r="B1007" s="2">
        <v>1</v>
      </c>
      <c r="C1007" s="2">
        <v>18</v>
      </c>
      <c r="D1007" s="2">
        <v>25</v>
      </c>
      <c r="E1007" s="4">
        <v>0</v>
      </c>
      <c r="F1007" s="1" t="str">
        <f>_xlfn.XLOOKUP(A1007,Orders!A:A,Orders!B:B,"not found")</f>
        <v>BLONP</v>
      </c>
      <c r="G1007" s="13">
        <f>_xlfn.XLOOKUP(OrderDetails[[#This Row],[OrderID]],Orders!A:A,Orders!C:C,"Not Found")</f>
        <v>35654</v>
      </c>
      <c r="H1007" s="16">
        <f>(OrderDetails[[#This Row],[UnitPrice]]*OrderDetails[[#This Row],[Quantity]])*(1-OrderDetails[[#This Row],[Discount]])</f>
        <v>450</v>
      </c>
      <c r="I1007" s="15" t="str">
        <f>_xlfn.XLOOKUP(OrderDetails[[#This Row],[ProductID]],Product!A:A,Product!G:G,"Not Found")</f>
        <v>Beverages</v>
      </c>
      <c r="J1007" s="15" t="str">
        <f>LOOKUP(MONTH(G1007),{1,4,7,10},{"Winter","Spring","Summer","Autumn"})</f>
        <v>Summer</v>
      </c>
      <c r="K1007" s="15" t="str">
        <f>_xlfn.XLOOKUP(OrderDetails[[#This Row],[ProductID]],Product!A:A,Product!B:B,"Not Found")</f>
        <v>Chai</v>
      </c>
    </row>
    <row r="1008" spans="1:11">
      <c r="A1008" s="1">
        <v>10629</v>
      </c>
      <c r="B1008" s="1">
        <v>29</v>
      </c>
      <c r="C1008" s="1">
        <v>123.79</v>
      </c>
      <c r="D1008" s="1">
        <v>20</v>
      </c>
      <c r="E1008" s="3">
        <v>0</v>
      </c>
      <c r="F1008" s="1" t="str">
        <f>_xlfn.XLOOKUP(A1008,Orders!A:A,Orders!B:B,"not found")</f>
        <v>GODOS</v>
      </c>
      <c r="G1008" s="13">
        <f>_xlfn.XLOOKUP(OrderDetails[[#This Row],[OrderID]],Orders!A:A,Orders!C:C,"Not Found")</f>
        <v>35654</v>
      </c>
      <c r="H1008" s="16">
        <f>(OrderDetails[[#This Row],[UnitPrice]]*OrderDetails[[#This Row],[Quantity]])*(1-OrderDetails[[#This Row],[Discount]])</f>
        <v>2475.8000000000002</v>
      </c>
      <c r="I1008" s="15" t="str">
        <f>_xlfn.XLOOKUP(OrderDetails[[#This Row],[ProductID]],Product!A:A,Product!G:G,"Not Found")</f>
        <v>Meat/Poultry</v>
      </c>
      <c r="J1008" s="15" t="str">
        <f>LOOKUP(MONTH(G1008),{1,4,7,10},{"Winter","Spring","Summer","Autumn"})</f>
        <v>Summer</v>
      </c>
      <c r="K1008" s="15" t="str">
        <f>_xlfn.XLOOKUP(OrderDetails[[#This Row],[ProductID]],Product!A:A,Product!B:B,"Not Found")</f>
        <v>Thüringer Rostbratwurst</v>
      </c>
    </row>
    <row r="1009" spans="1:11">
      <c r="A1009" s="2">
        <v>10629</v>
      </c>
      <c r="B1009" s="2">
        <v>64</v>
      </c>
      <c r="C1009" s="2">
        <v>33.25</v>
      </c>
      <c r="D1009" s="2">
        <v>9</v>
      </c>
      <c r="E1009" s="4">
        <v>0</v>
      </c>
      <c r="F1009" s="1" t="str">
        <f>_xlfn.XLOOKUP(A1009,Orders!A:A,Orders!B:B,"not found")</f>
        <v>GODOS</v>
      </c>
      <c r="G1009" s="13">
        <f>_xlfn.XLOOKUP(OrderDetails[[#This Row],[OrderID]],Orders!A:A,Orders!C:C,"Not Found")</f>
        <v>35654</v>
      </c>
      <c r="H1009" s="16">
        <f>(OrderDetails[[#This Row],[UnitPrice]]*OrderDetails[[#This Row],[Quantity]])*(1-OrderDetails[[#This Row],[Discount]])</f>
        <v>299.25</v>
      </c>
      <c r="I1009" s="15" t="str">
        <f>_xlfn.XLOOKUP(OrderDetails[[#This Row],[ProductID]],Product!A:A,Product!G:G,"Not Found")</f>
        <v>Grains/Cereals</v>
      </c>
      <c r="J1009" s="15" t="str">
        <f>LOOKUP(MONTH(G1009),{1,4,7,10},{"Winter","Spring","Summer","Autumn"})</f>
        <v>Summer</v>
      </c>
      <c r="K1009" s="15" t="str">
        <f>_xlfn.XLOOKUP(OrderDetails[[#This Row],[ProductID]],Product!A:A,Product!B:B,"Not Found")</f>
        <v>Wimmers gute Semmelknödel</v>
      </c>
    </row>
    <row r="1010" spans="1:11">
      <c r="A1010" s="1">
        <v>10630</v>
      </c>
      <c r="B1010" s="1">
        <v>55</v>
      </c>
      <c r="C1010" s="1">
        <v>24</v>
      </c>
      <c r="D1010" s="1">
        <v>12</v>
      </c>
      <c r="E1010" s="3">
        <v>5.000000074505806E-2</v>
      </c>
      <c r="F1010" s="1" t="str">
        <f>_xlfn.XLOOKUP(A1010,Orders!A:A,Orders!B:B,"not found")</f>
        <v>KOENE</v>
      </c>
      <c r="G1010" s="13">
        <f>_xlfn.XLOOKUP(OrderDetails[[#This Row],[OrderID]],Orders!A:A,Orders!C:C,"Not Found")</f>
        <v>35655</v>
      </c>
      <c r="H1010" s="16">
        <f>(OrderDetails[[#This Row],[UnitPrice]]*OrderDetails[[#This Row],[Quantity]])*(1-OrderDetails[[#This Row],[Discount]])</f>
        <v>273.59999978542328</v>
      </c>
      <c r="I1010" s="15" t="str">
        <f>_xlfn.XLOOKUP(OrderDetails[[#This Row],[ProductID]],Product!A:A,Product!G:G,"Not Found")</f>
        <v>Meat/Poultry</v>
      </c>
      <c r="J1010" s="15" t="str">
        <f>LOOKUP(MONTH(G1010),{1,4,7,10},{"Winter","Spring","Summer","Autumn"})</f>
        <v>Summer</v>
      </c>
      <c r="K1010" s="15" t="str">
        <f>_xlfn.XLOOKUP(OrderDetails[[#This Row],[ProductID]],Product!A:A,Product!B:B,"Not Found")</f>
        <v>Pâté chinois</v>
      </c>
    </row>
    <row r="1011" spans="1:11">
      <c r="A1011" s="2">
        <v>10630</v>
      </c>
      <c r="B1011" s="2">
        <v>76</v>
      </c>
      <c r="C1011" s="2">
        <v>18</v>
      </c>
      <c r="D1011" s="2">
        <v>35</v>
      </c>
      <c r="E1011" s="4">
        <v>0</v>
      </c>
      <c r="F1011" s="1" t="str">
        <f>_xlfn.XLOOKUP(A1011,Orders!A:A,Orders!B:B,"not found")</f>
        <v>KOENE</v>
      </c>
      <c r="G1011" s="13">
        <f>_xlfn.XLOOKUP(OrderDetails[[#This Row],[OrderID]],Orders!A:A,Orders!C:C,"Not Found")</f>
        <v>35655</v>
      </c>
      <c r="H1011" s="16">
        <f>(OrderDetails[[#This Row],[UnitPrice]]*OrderDetails[[#This Row],[Quantity]])*(1-OrderDetails[[#This Row],[Discount]])</f>
        <v>630</v>
      </c>
      <c r="I1011" s="15" t="str">
        <f>_xlfn.XLOOKUP(OrderDetails[[#This Row],[ProductID]],Product!A:A,Product!G:G,"Not Found")</f>
        <v>Beverages</v>
      </c>
      <c r="J1011" s="15" t="str">
        <f>LOOKUP(MONTH(G1011),{1,4,7,10},{"Winter","Spring","Summer","Autumn"})</f>
        <v>Summer</v>
      </c>
      <c r="K1011" s="15" t="str">
        <f>_xlfn.XLOOKUP(OrderDetails[[#This Row],[ProductID]],Product!A:A,Product!B:B,"Not Found")</f>
        <v>Lakkalikööri</v>
      </c>
    </row>
    <row r="1012" spans="1:11">
      <c r="A1012" s="1">
        <v>10631</v>
      </c>
      <c r="B1012" s="1">
        <v>75</v>
      </c>
      <c r="C1012" s="1">
        <v>7.75</v>
      </c>
      <c r="D1012" s="1">
        <v>8</v>
      </c>
      <c r="E1012" s="3">
        <v>0.10000000149011612</v>
      </c>
      <c r="F1012" s="1" t="str">
        <f>_xlfn.XLOOKUP(A1012,Orders!A:A,Orders!B:B,"not found")</f>
        <v>LAMAI</v>
      </c>
      <c r="G1012" s="13">
        <f>_xlfn.XLOOKUP(OrderDetails[[#This Row],[OrderID]],Orders!A:A,Orders!C:C,"Not Found")</f>
        <v>35656</v>
      </c>
      <c r="H1012" s="16">
        <f>(OrderDetails[[#This Row],[UnitPrice]]*OrderDetails[[#This Row],[Quantity]])*(1-OrderDetails[[#This Row],[Discount]])</f>
        <v>55.799999907612801</v>
      </c>
      <c r="I1012" s="15" t="str">
        <f>_xlfn.XLOOKUP(OrderDetails[[#This Row],[ProductID]],Product!A:A,Product!G:G,"Not Found")</f>
        <v>Beverages</v>
      </c>
      <c r="J1012" s="15" t="str">
        <f>LOOKUP(MONTH(G1012),{1,4,7,10},{"Winter","Spring","Summer","Autumn"})</f>
        <v>Summer</v>
      </c>
      <c r="K1012" s="15" t="str">
        <f>_xlfn.XLOOKUP(OrderDetails[[#This Row],[ProductID]],Product!A:A,Product!B:B,"Not Found")</f>
        <v>Rhönbräu Klosterbier</v>
      </c>
    </row>
    <row r="1013" spans="1:11">
      <c r="A1013" s="2">
        <v>10632</v>
      </c>
      <c r="B1013" s="2">
        <v>2</v>
      </c>
      <c r="C1013" s="2">
        <v>19</v>
      </c>
      <c r="D1013" s="2">
        <v>30</v>
      </c>
      <c r="E1013" s="4">
        <v>5.000000074505806E-2</v>
      </c>
      <c r="F1013" s="1" t="str">
        <f>_xlfn.XLOOKUP(A1013,Orders!A:A,Orders!B:B,"not found")</f>
        <v>WANDK</v>
      </c>
      <c r="G1013" s="13">
        <f>_xlfn.XLOOKUP(OrderDetails[[#This Row],[OrderID]],Orders!A:A,Orders!C:C,"Not Found")</f>
        <v>35656</v>
      </c>
      <c r="H1013" s="16">
        <f>(OrderDetails[[#This Row],[UnitPrice]]*OrderDetails[[#This Row],[Quantity]])*(1-OrderDetails[[#This Row],[Discount]])</f>
        <v>541.49999957531691</v>
      </c>
      <c r="I1013" s="15" t="str">
        <f>_xlfn.XLOOKUP(OrderDetails[[#This Row],[ProductID]],Product!A:A,Product!G:G,"Not Found")</f>
        <v>Beverages</v>
      </c>
      <c r="J1013" s="15" t="str">
        <f>LOOKUP(MONTH(G1013),{1,4,7,10},{"Winter","Spring","Summer","Autumn"})</f>
        <v>Summer</v>
      </c>
      <c r="K1013" s="15" t="str">
        <f>_xlfn.XLOOKUP(OrderDetails[[#This Row],[ProductID]],Product!A:A,Product!B:B,"Not Found")</f>
        <v>Chang</v>
      </c>
    </row>
    <row r="1014" spans="1:11">
      <c r="A1014" s="1">
        <v>10632</v>
      </c>
      <c r="B1014" s="1">
        <v>33</v>
      </c>
      <c r="C1014" s="1">
        <v>2.5</v>
      </c>
      <c r="D1014" s="1">
        <v>20</v>
      </c>
      <c r="E1014" s="3">
        <v>5.000000074505806E-2</v>
      </c>
      <c r="F1014" s="1" t="str">
        <f>_xlfn.XLOOKUP(A1014,Orders!A:A,Orders!B:B,"not found")</f>
        <v>WANDK</v>
      </c>
      <c r="G1014" s="13">
        <f>_xlfn.XLOOKUP(OrderDetails[[#This Row],[OrderID]],Orders!A:A,Orders!C:C,"Not Found")</f>
        <v>35656</v>
      </c>
      <c r="H1014" s="16">
        <f>(OrderDetails[[#This Row],[UnitPrice]]*OrderDetails[[#This Row],[Quantity]])*(1-OrderDetails[[#This Row],[Discount]])</f>
        <v>47.499999962747097</v>
      </c>
      <c r="I1014" s="15" t="str">
        <f>_xlfn.XLOOKUP(OrderDetails[[#This Row],[ProductID]],Product!A:A,Product!G:G,"Not Found")</f>
        <v>Dairy Products</v>
      </c>
      <c r="J1014" s="15" t="str">
        <f>LOOKUP(MONTH(G1014),{1,4,7,10},{"Winter","Spring","Summer","Autumn"})</f>
        <v>Summer</v>
      </c>
      <c r="K1014" s="15" t="str">
        <f>_xlfn.XLOOKUP(OrderDetails[[#This Row],[ProductID]],Product!A:A,Product!B:B,"Not Found")</f>
        <v>Geitost</v>
      </c>
    </row>
    <row r="1015" spans="1:11">
      <c r="A1015" s="2">
        <v>10633</v>
      </c>
      <c r="B1015" s="2">
        <v>12</v>
      </c>
      <c r="C1015" s="2">
        <v>38</v>
      </c>
      <c r="D1015" s="2">
        <v>36</v>
      </c>
      <c r="E1015" s="4">
        <v>0.15000000596046448</v>
      </c>
      <c r="F1015" s="1" t="str">
        <f>_xlfn.XLOOKUP(A1015,Orders!A:A,Orders!B:B,"not found")</f>
        <v>ERNSH</v>
      </c>
      <c r="G1015" s="13">
        <f>_xlfn.XLOOKUP(OrderDetails[[#This Row],[OrderID]],Orders!A:A,Orders!C:C,"Not Found")</f>
        <v>35657</v>
      </c>
      <c r="H1015" s="16">
        <f>(OrderDetails[[#This Row],[UnitPrice]]*OrderDetails[[#This Row],[Quantity]])*(1-OrderDetails[[#This Row],[Discount]])</f>
        <v>1162.7999918460846</v>
      </c>
      <c r="I1015" s="15" t="str">
        <f>_xlfn.XLOOKUP(OrderDetails[[#This Row],[ProductID]],Product!A:A,Product!G:G,"Not Found")</f>
        <v>Dairy Products</v>
      </c>
      <c r="J1015" s="15" t="str">
        <f>LOOKUP(MONTH(G1015),{1,4,7,10},{"Winter","Spring","Summer","Autumn"})</f>
        <v>Summer</v>
      </c>
      <c r="K1015" s="15" t="str">
        <f>_xlfn.XLOOKUP(OrderDetails[[#This Row],[ProductID]],Product!A:A,Product!B:B,"Not Found")</f>
        <v>Queso Manchego La Pastora</v>
      </c>
    </row>
    <row r="1016" spans="1:11">
      <c r="A1016" s="1">
        <v>10633</v>
      </c>
      <c r="B1016" s="1">
        <v>13</v>
      </c>
      <c r="C1016" s="1">
        <v>6</v>
      </c>
      <c r="D1016" s="1">
        <v>13</v>
      </c>
      <c r="E1016" s="3">
        <v>0.15000000596046448</v>
      </c>
      <c r="F1016" s="1" t="str">
        <f>_xlfn.XLOOKUP(A1016,Orders!A:A,Orders!B:B,"not found")</f>
        <v>ERNSH</v>
      </c>
      <c r="G1016" s="13">
        <f>_xlfn.XLOOKUP(OrderDetails[[#This Row],[OrderID]],Orders!A:A,Orders!C:C,"Not Found")</f>
        <v>35657</v>
      </c>
      <c r="H1016" s="16">
        <f>(OrderDetails[[#This Row],[UnitPrice]]*OrderDetails[[#This Row],[Quantity]])*(1-OrderDetails[[#This Row],[Discount]])</f>
        <v>66.299999535083771</v>
      </c>
      <c r="I1016" s="15" t="str">
        <f>_xlfn.XLOOKUP(OrderDetails[[#This Row],[ProductID]],Product!A:A,Product!G:G,"Not Found")</f>
        <v>Seafood</v>
      </c>
      <c r="J1016" s="15" t="str">
        <f>LOOKUP(MONTH(G1016),{1,4,7,10},{"Winter","Spring","Summer","Autumn"})</f>
        <v>Summer</v>
      </c>
      <c r="K1016" s="15" t="str">
        <f>_xlfn.XLOOKUP(OrderDetails[[#This Row],[ProductID]],Product!A:A,Product!B:B,"Not Found")</f>
        <v>Konbu</v>
      </c>
    </row>
    <row r="1017" spans="1:11">
      <c r="A1017" s="2">
        <v>10633</v>
      </c>
      <c r="B1017" s="2">
        <v>26</v>
      </c>
      <c r="C1017" s="2">
        <v>31.23</v>
      </c>
      <c r="D1017" s="2">
        <v>35</v>
      </c>
      <c r="E1017" s="4">
        <v>0.15000000596046448</v>
      </c>
      <c r="F1017" s="1" t="str">
        <f>_xlfn.XLOOKUP(A1017,Orders!A:A,Orders!B:B,"not found")</f>
        <v>ERNSH</v>
      </c>
      <c r="G1017" s="13">
        <f>_xlfn.XLOOKUP(OrderDetails[[#This Row],[OrderID]],Orders!A:A,Orders!C:C,"Not Found")</f>
        <v>35657</v>
      </c>
      <c r="H1017" s="16">
        <f>(OrderDetails[[#This Row],[UnitPrice]]*OrderDetails[[#This Row],[Quantity]])*(1-OrderDetails[[#This Row],[Discount]])</f>
        <v>929.09249348491426</v>
      </c>
      <c r="I1017" s="15" t="str">
        <f>_xlfn.XLOOKUP(OrderDetails[[#This Row],[ProductID]],Product!A:A,Product!G:G,"Not Found")</f>
        <v>Confections</v>
      </c>
      <c r="J1017" s="15" t="str">
        <f>LOOKUP(MONTH(G1017),{1,4,7,10},{"Winter","Spring","Summer","Autumn"})</f>
        <v>Summer</v>
      </c>
      <c r="K1017" s="15" t="str">
        <f>_xlfn.XLOOKUP(OrderDetails[[#This Row],[ProductID]],Product!A:A,Product!B:B,"Not Found")</f>
        <v>Gumbär Gummibärchen</v>
      </c>
    </row>
    <row r="1018" spans="1:11">
      <c r="A1018" s="1">
        <v>10633</v>
      </c>
      <c r="B1018" s="1">
        <v>62</v>
      </c>
      <c r="C1018" s="1">
        <v>49.3</v>
      </c>
      <c r="D1018" s="1">
        <v>80</v>
      </c>
      <c r="E1018" s="3">
        <v>0.15000000596046448</v>
      </c>
      <c r="F1018" s="1" t="str">
        <f>_xlfn.XLOOKUP(A1018,Orders!A:A,Orders!B:B,"not found")</f>
        <v>ERNSH</v>
      </c>
      <c r="G1018" s="13">
        <f>_xlfn.XLOOKUP(OrderDetails[[#This Row],[OrderID]],Orders!A:A,Orders!C:C,"Not Found")</f>
        <v>35657</v>
      </c>
      <c r="H1018" s="16">
        <f>(OrderDetails[[#This Row],[UnitPrice]]*OrderDetails[[#This Row],[Quantity]])*(1-OrderDetails[[#This Row],[Discount]])</f>
        <v>3352.3999764919281</v>
      </c>
      <c r="I1018" s="15" t="str">
        <f>_xlfn.XLOOKUP(OrderDetails[[#This Row],[ProductID]],Product!A:A,Product!G:G,"Not Found")</f>
        <v>Confections</v>
      </c>
      <c r="J1018" s="15" t="str">
        <f>LOOKUP(MONTH(G1018),{1,4,7,10},{"Winter","Spring","Summer","Autumn"})</f>
        <v>Summer</v>
      </c>
      <c r="K1018" s="15" t="str">
        <f>_xlfn.XLOOKUP(OrderDetails[[#This Row],[ProductID]],Product!A:A,Product!B:B,"Not Found")</f>
        <v>Tarte au sucre</v>
      </c>
    </row>
    <row r="1019" spans="1:11">
      <c r="A1019" s="2">
        <v>10634</v>
      </c>
      <c r="B1019" s="2">
        <v>7</v>
      </c>
      <c r="C1019" s="2">
        <v>30</v>
      </c>
      <c r="D1019" s="2">
        <v>35</v>
      </c>
      <c r="E1019" s="4">
        <v>0</v>
      </c>
      <c r="F1019" s="1" t="str">
        <f>_xlfn.XLOOKUP(A1019,Orders!A:A,Orders!B:B,"not found")</f>
        <v>FOLIG</v>
      </c>
      <c r="G1019" s="13">
        <f>_xlfn.XLOOKUP(OrderDetails[[#This Row],[OrderID]],Orders!A:A,Orders!C:C,"Not Found")</f>
        <v>35657</v>
      </c>
      <c r="H1019" s="16">
        <f>(OrderDetails[[#This Row],[UnitPrice]]*OrderDetails[[#This Row],[Quantity]])*(1-OrderDetails[[#This Row],[Discount]])</f>
        <v>1050</v>
      </c>
      <c r="I1019" s="15" t="str">
        <f>_xlfn.XLOOKUP(OrderDetails[[#This Row],[ProductID]],Product!A:A,Product!G:G,"Not Found")</f>
        <v>Produce</v>
      </c>
      <c r="J1019" s="15" t="str">
        <f>LOOKUP(MONTH(G1019),{1,4,7,10},{"Winter","Spring","Summer","Autumn"})</f>
        <v>Summer</v>
      </c>
      <c r="K1019" s="15" t="str">
        <f>_xlfn.XLOOKUP(OrderDetails[[#This Row],[ProductID]],Product!A:A,Product!B:B,"Not Found")</f>
        <v>Uncle Bob's Organic Dried Pears</v>
      </c>
    </row>
    <row r="1020" spans="1:11">
      <c r="A1020" s="1">
        <v>10634</v>
      </c>
      <c r="B1020" s="1">
        <v>18</v>
      </c>
      <c r="C1020" s="1">
        <v>62.5</v>
      </c>
      <c r="D1020" s="1">
        <v>50</v>
      </c>
      <c r="E1020" s="3">
        <v>0</v>
      </c>
      <c r="F1020" s="1" t="str">
        <f>_xlfn.XLOOKUP(A1020,Orders!A:A,Orders!B:B,"not found")</f>
        <v>FOLIG</v>
      </c>
      <c r="G1020" s="13">
        <f>_xlfn.XLOOKUP(OrderDetails[[#This Row],[OrderID]],Orders!A:A,Orders!C:C,"Not Found")</f>
        <v>35657</v>
      </c>
      <c r="H1020" s="16">
        <f>(OrderDetails[[#This Row],[UnitPrice]]*OrderDetails[[#This Row],[Quantity]])*(1-OrderDetails[[#This Row],[Discount]])</f>
        <v>3125</v>
      </c>
      <c r="I1020" s="15" t="str">
        <f>_xlfn.XLOOKUP(OrderDetails[[#This Row],[ProductID]],Product!A:A,Product!G:G,"Not Found")</f>
        <v>Seafood</v>
      </c>
      <c r="J1020" s="15" t="str">
        <f>LOOKUP(MONTH(G1020),{1,4,7,10},{"Winter","Spring","Summer","Autumn"})</f>
        <v>Summer</v>
      </c>
      <c r="K1020" s="15" t="str">
        <f>_xlfn.XLOOKUP(OrderDetails[[#This Row],[ProductID]],Product!A:A,Product!B:B,"Not Found")</f>
        <v>Carnarvon Tigers</v>
      </c>
    </row>
    <row r="1021" spans="1:11">
      <c r="A1021" s="2">
        <v>10634</v>
      </c>
      <c r="B1021" s="2">
        <v>51</v>
      </c>
      <c r="C1021" s="2">
        <v>53</v>
      </c>
      <c r="D1021" s="2">
        <v>15</v>
      </c>
      <c r="E1021" s="4">
        <v>0</v>
      </c>
      <c r="F1021" s="1" t="str">
        <f>_xlfn.XLOOKUP(A1021,Orders!A:A,Orders!B:B,"not found")</f>
        <v>FOLIG</v>
      </c>
      <c r="G1021" s="13">
        <f>_xlfn.XLOOKUP(OrderDetails[[#This Row],[OrderID]],Orders!A:A,Orders!C:C,"Not Found")</f>
        <v>35657</v>
      </c>
      <c r="H1021" s="16">
        <f>(OrderDetails[[#This Row],[UnitPrice]]*OrderDetails[[#This Row],[Quantity]])*(1-OrderDetails[[#This Row],[Discount]])</f>
        <v>795</v>
      </c>
      <c r="I1021" s="15" t="str">
        <f>_xlfn.XLOOKUP(OrderDetails[[#This Row],[ProductID]],Product!A:A,Product!G:G,"Not Found")</f>
        <v>Produce</v>
      </c>
      <c r="J1021" s="15" t="str">
        <f>LOOKUP(MONTH(G1021),{1,4,7,10},{"Winter","Spring","Summer","Autumn"})</f>
        <v>Summer</v>
      </c>
      <c r="K1021" s="15" t="str">
        <f>_xlfn.XLOOKUP(OrderDetails[[#This Row],[ProductID]],Product!A:A,Product!B:B,"Not Found")</f>
        <v>Manjimup Dried Apples</v>
      </c>
    </row>
    <row r="1022" spans="1:11">
      <c r="A1022" s="1">
        <v>10634</v>
      </c>
      <c r="B1022" s="1">
        <v>75</v>
      </c>
      <c r="C1022" s="1">
        <v>7.75</v>
      </c>
      <c r="D1022" s="1">
        <v>2</v>
      </c>
      <c r="E1022" s="3">
        <v>0</v>
      </c>
      <c r="F1022" s="1" t="str">
        <f>_xlfn.XLOOKUP(A1022,Orders!A:A,Orders!B:B,"not found")</f>
        <v>FOLIG</v>
      </c>
      <c r="G1022" s="13">
        <f>_xlfn.XLOOKUP(OrderDetails[[#This Row],[OrderID]],Orders!A:A,Orders!C:C,"Not Found")</f>
        <v>35657</v>
      </c>
      <c r="H1022" s="16">
        <f>(OrderDetails[[#This Row],[UnitPrice]]*OrderDetails[[#This Row],[Quantity]])*(1-OrderDetails[[#This Row],[Discount]])</f>
        <v>15.5</v>
      </c>
      <c r="I1022" s="15" t="str">
        <f>_xlfn.XLOOKUP(OrderDetails[[#This Row],[ProductID]],Product!A:A,Product!G:G,"Not Found")</f>
        <v>Beverages</v>
      </c>
      <c r="J1022" s="15" t="str">
        <f>LOOKUP(MONTH(G1022),{1,4,7,10},{"Winter","Spring","Summer","Autumn"})</f>
        <v>Summer</v>
      </c>
      <c r="K1022" s="15" t="str">
        <f>_xlfn.XLOOKUP(OrderDetails[[#This Row],[ProductID]],Product!A:A,Product!B:B,"Not Found")</f>
        <v>Rhönbräu Klosterbier</v>
      </c>
    </row>
    <row r="1023" spans="1:11">
      <c r="A1023" s="2">
        <v>10635</v>
      </c>
      <c r="B1023" s="2">
        <v>4</v>
      </c>
      <c r="C1023" s="2">
        <v>22</v>
      </c>
      <c r="D1023" s="2">
        <v>10</v>
      </c>
      <c r="E1023" s="4">
        <v>0.10000000149011612</v>
      </c>
      <c r="F1023" s="1" t="str">
        <f>_xlfn.XLOOKUP(A1023,Orders!A:A,Orders!B:B,"not found")</f>
        <v>MAGAA</v>
      </c>
      <c r="G1023" s="13">
        <f>_xlfn.XLOOKUP(OrderDetails[[#This Row],[OrderID]],Orders!A:A,Orders!C:C,"Not Found")</f>
        <v>35660</v>
      </c>
      <c r="H1023" s="16">
        <f>(OrderDetails[[#This Row],[UnitPrice]]*OrderDetails[[#This Row],[Quantity]])*(1-OrderDetails[[#This Row],[Discount]])</f>
        <v>197.99999967217445</v>
      </c>
      <c r="I1023" s="15" t="str">
        <f>_xlfn.XLOOKUP(OrderDetails[[#This Row],[ProductID]],Product!A:A,Product!G:G,"Not Found")</f>
        <v>Condiments</v>
      </c>
      <c r="J1023" s="15" t="str">
        <f>LOOKUP(MONTH(G1023),{1,4,7,10},{"Winter","Spring","Summer","Autumn"})</f>
        <v>Summer</v>
      </c>
      <c r="K1023" s="15" t="str">
        <f>_xlfn.XLOOKUP(OrderDetails[[#This Row],[ProductID]],Product!A:A,Product!B:B,"Not Found")</f>
        <v>Chef Anton's Cajun Seasoning</v>
      </c>
    </row>
    <row r="1024" spans="1:11">
      <c r="A1024" s="1">
        <v>10635</v>
      </c>
      <c r="B1024" s="1">
        <v>5</v>
      </c>
      <c r="C1024" s="1">
        <v>21.35</v>
      </c>
      <c r="D1024" s="1">
        <v>15</v>
      </c>
      <c r="E1024" s="3">
        <v>0.10000000149011612</v>
      </c>
      <c r="F1024" s="1" t="str">
        <f>_xlfn.XLOOKUP(A1024,Orders!A:A,Orders!B:B,"not found")</f>
        <v>MAGAA</v>
      </c>
      <c r="G1024" s="13">
        <f>_xlfn.XLOOKUP(OrderDetails[[#This Row],[OrderID]],Orders!A:A,Orders!C:C,"Not Found")</f>
        <v>35660</v>
      </c>
      <c r="H1024" s="16">
        <f>(OrderDetails[[#This Row],[UnitPrice]]*OrderDetails[[#This Row],[Quantity]])*(1-OrderDetails[[#This Row],[Discount]])</f>
        <v>288.22499952279031</v>
      </c>
      <c r="I1024" s="15" t="str">
        <f>_xlfn.XLOOKUP(OrderDetails[[#This Row],[ProductID]],Product!A:A,Product!G:G,"Not Found")</f>
        <v>Condiments</v>
      </c>
      <c r="J1024" s="15" t="str">
        <f>LOOKUP(MONTH(G1024),{1,4,7,10},{"Winter","Spring","Summer","Autumn"})</f>
        <v>Summer</v>
      </c>
      <c r="K1024" s="15" t="str">
        <f>_xlfn.XLOOKUP(OrderDetails[[#This Row],[ProductID]],Product!A:A,Product!B:B,"Not Found")</f>
        <v>Chef Anton's Gumbo Mix</v>
      </c>
    </row>
    <row r="1025" spans="1:11">
      <c r="A1025" s="2">
        <v>10635</v>
      </c>
      <c r="B1025" s="2">
        <v>22</v>
      </c>
      <c r="C1025" s="2">
        <v>21</v>
      </c>
      <c r="D1025" s="2">
        <v>40</v>
      </c>
      <c r="E1025" s="4">
        <v>0</v>
      </c>
      <c r="F1025" s="1" t="str">
        <f>_xlfn.XLOOKUP(A1025,Orders!A:A,Orders!B:B,"not found")</f>
        <v>MAGAA</v>
      </c>
      <c r="G1025" s="13">
        <f>_xlfn.XLOOKUP(OrderDetails[[#This Row],[OrderID]],Orders!A:A,Orders!C:C,"Not Found")</f>
        <v>35660</v>
      </c>
      <c r="H1025" s="16">
        <f>(OrderDetails[[#This Row],[UnitPrice]]*OrderDetails[[#This Row],[Quantity]])*(1-OrderDetails[[#This Row],[Discount]])</f>
        <v>840</v>
      </c>
      <c r="I1025" s="15" t="str">
        <f>_xlfn.XLOOKUP(OrderDetails[[#This Row],[ProductID]],Product!A:A,Product!G:G,"Not Found")</f>
        <v>Grains/Cereals</v>
      </c>
      <c r="J1025" s="15" t="str">
        <f>LOOKUP(MONTH(G1025),{1,4,7,10},{"Winter","Spring","Summer","Autumn"})</f>
        <v>Summer</v>
      </c>
      <c r="K1025" s="15" t="str">
        <f>_xlfn.XLOOKUP(OrderDetails[[#This Row],[ProductID]],Product!A:A,Product!B:B,"Not Found")</f>
        <v>Gustaf's Knäckebröd</v>
      </c>
    </row>
    <row r="1026" spans="1:11">
      <c r="A1026" s="1">
        <v>10636</v>
      </c>
      <c r="B1026" s="1">
        <v>4</v>
      </c>
      <c r="C1026" s="1">
        <v>22</v>
      </c>
      <c r="D1026" s="1">
        <v>25</v>
      </c>
      <c r="E1026" s="3">
        <v>0</v>
      </c>
      <c r="F1026" s="1" t="str">
        <f>_xlfn.XLOOKUP(A1026,Orders!A:A,Orders!B:B,"not found")</f>
        <v>WARTH</v>
      </c>
      <c r="G1026" s="13">
        <f>_xlfn.XLOOKUP(OrderDetails[[#This Row],[OrderID]],Orders!A:A,Orders!C:C,"Not Found")</f>
        <v>35661</v>
      </c>
      <c r="H1026" s="16">
        <f>(OrderDetails[[#This Row],[UnitPrice]]*OrderDetails[[#This Row],[Quantity]])*(1-OrderDetails[[#This Row],[Discount]])</f>
        <v>550</v>
      </c>
      <c r="I1026" s="15" t="str">
        <f>_xlfn.XLOOKUP(OrderDetails[[#This Row],[ProductID]],Product!A:A,Product!G:G,"Not Found")</f>
        <v>Condiments</v>
      </c>
      <c r="J1026" s="15" t="str">
        <f>LOOKUP(MONTH(G1026),{1,4,7,10},{"Winter","Spring","Summer","Autumn"})</f>
        <v>Summer</v>
      </c>
      <c r="K1026" s="15" t="str">
        <f>_xlfn.XLOOKUP(OrderDetails[[#This Row],[ProductID]],Product!A:A,Product!B:B,"Not Found")</f>
        <v>Chef Anton's Cajun Seasoning</v>
      </c>
    </row>
    <row r="1027" spans="1:11">
      <c r="A1027" s="2">
        <v>10636</v>
      </c>
      <c r="B1027" s="2">
        <v>58</v>
      </c>
      <c r="C1027" s="2">
        <v>13.25</v>
      </c>
      <c r="D1027" s="2">
        <v>6</v>
      </c>
      <c r="E1027" s="4">
        <v>0</v>
      </c>
      <c r="F1027" s="1" t="str">
        <f>_xlfn.XLOOKUP(A1027,Orders!A:A,Orders!B:B,"not found")</f>
        <v>WARTH</v>
      </c>
      <c r="G1027" s="13">
        <f>_xlfn.XLOOKUP(OrderDetails[[#This Row],[OrderID]],Orders!A:A,Orders!C:C,"Not Found")</f>
        <v>35661</v>
      </c>
      <c r="H1027" s="16">
        <f>(OrderDetails[[#This Row],[UnitPrice]]*OrderDetails[[#This Row],[Quantity]])*(1-OrderDetails[[#This Row],[Discount]])</f>
        <v>79.5</v>
      </c>
      <c r="I1027" s="15" t="str">
        <f>_xlfn.XLOOKUP(OrderDetails[[#This Row],[ProductID]],Product!A:A,Product!G:G,"Not Found")</f>
        <v>Seafood</v>
      </c>
      <c r="J1027" s="15" t="str">
        <f>LOOKUP(MONTH(G1027),{1,4,7,10},{"Winter","Spring","Summer","Autumn"})</f>
        <v>Summer</v>
      </c>
      <c r="K1027" s="15" t="str">
        <f>_xlfn.XLOOKUP(OrderDetails[[#This Row],[ProductID]],Product!A:A,Product!B:B,"Not Found")</f>
        <v>Escargots de Bourgogne</v>
      </c>
    </row>
    <row r="1028" spans="1:11">
      <c r="A1028" s="1">
        <v>10637</v>
      </c>
      <c r="B1028" s="1">
        <v>11</v>
      </c>
      <c r="C1028" s="1">
        <v>21</v>
      </c>
      <c r="D1028" s="1">
        <v>10</v>
      </c>
      <c r="E1028" s="3">
        <v>0</v>
      </c>
      <c r="F1028" s="1" t="str">
        <f>_xlfn.XLOOKUP(A1028,Orders!A:A,Orders!B:B,"not found")</f>
        <v>QUEEN</v>
      </c>
      <c r="G1028" s="13">
        <f>_xlfn.XLOOKUP(OrderDetails[[#This Row],[OrderID]],Orders!A:A,Orders!C:C,"Not Found")</f>
        <v>35661</v>
      </c>
      <c r="H1028" s="16">
        <f>(OrderDetails[[#This Row],[UnitPrice]]*OrderDetails[[#This Row],[Quantity]])*(1-OrderDetails[[#This Row],[Discount]])</f>
        <v>210</v>
      </c>
      <c r="I1028" s="15" t="str">
        <f>_xlfn.XLOOKUP(OrderDetails[[#This Row],[ProductID]],Product!A:A,Product!G:G,"Not Found")</f>
        <v>Dairy Products</v>
      </c>
      <c r="J1028" s="15" t="str">
        <f>LOOKUP(MONTH(G1028),{1,4,7,10},{"Winter","Spring","Summer","Autumn"})</f>
        <v>Summer</v>
      </c>
      <c r="K1028" s="15" t="str">
        <f>_xlfn.XLOOKUP(OrderDetails[[#This Row],[ProductID]],Product!A:A,Product!B:B,"Not Found")</f>
        <v>Queso Cabrales</v>
      </c>
    </row>
    <row r="1029" spans="1:11">
      <c r="A1029" s="2">
        <v>10637</v>
      </c>
      <c r="B1029" s="2">
        <v>50</v>
      </c>
      <c r="C1029" s="2">
        <v>16.25</v>
      </c>
      <c r="D1029" s="2">
        <v>25</v>
      </c>
      <c r="E1029" s="4">
        <v>5.000000074505806E-2</v>
      </c>
      <c r="F1029" s="1" t="str">
        <f>_xlfn.XLOOKUP(A1029,Orders!A:A,Orders!B:B,"not found")</f>
        <v>QUEEN</v>
      </c>
      <c r="G1029" s="13">
        <f>_xlfn.XLOOKUP(OrderDetails[[#This Row],[OrderID]],Orders!A:A,Orders!C:C,"Not Found")</f>
        <v>35661</v>
      </c>
      <c r="H1029" s="16">
        <f>(OrderDetails[[#This Row],[UnitPrice]]*OrderDetails[[#This Row],[Quantity]])*(1-OrderDetails[[#This Row],[Discount]])</f>
        <v>385.93749969732016</v>
      </c>
      <c r="I1029" s="15" t="str">
        <f>_xlfn.XLOOKUP(OrderDetails[[#This Row],[ProductID]],Product!A:A,Product!G:G,"Not Found")</f>
        <v>Confections</v>
      </c>
      <c r="J1029" s="15" t="str">
        <f>LOOKUP(MONTH(G1029),{1,4,7,10},{"Winter","Spring","Summer","Autumn"})</f>
        <v>Summer</v>
      </c>
      <c r="K1029" s="15" t="str">
        <f>_xlfn.XLOOKUP(OrderDetails[[#This Row],[ProductID]],Product!A:A,Product!B:B,"Not Found")</f>
        <v>Valkoinen suklaa</v>
      </c>
    </row>
    <row r="1030" spans="1:11">
      <c r="A1030" s="1">
        <v>10637</v>
      </c>
      <c r="B1030" s="1">
        <v>56</v>
      </c>
      <c r="C1030" s="1">
        <v>38</v>
      </c>
      <c r="D1030" s="1">
        <v>60</v>
      </c>
      <c r="E1030" s="3">
        <v>5.000000074505806E-2</v>
      </c>
      <c r="F1030" s="1" t="str">
        <f>_xlfn.XLOOKUP(A1030,Orders!A:A,Orders!B:B,"not found")</f>
        <v>QUEEN</v>
      </c>
      <c r="G1030" s="13">
        <f>_xlfn.XLOOKUP(OrderDetails[[#This Row],[OrderID]],Orders!A:A,Orders!C:C,"Not Found")</f>
        <v>35661</v>
      </c>
      <c r="H1030" s="16">
        <f>(OrderDetails[[#This Row],[UnitPrice]]*OrderDetails[[#This Row],[Quantity]])*(1-OrderDetails[[#This Row],[Discount]])</f>
        <v>2165.9999983012676</v>
      </c>
      <c r="I1030" s="15" t="str">
        <f>_xlfn.XLOOKUP(OrderDetails[[#This Row],[ProductID]],Product!A:A,Product!G:G,"Not Found")</f>
        <v>Grains/Cereals</v>
      </c>
      <c r="J1030" s="15" t="str">
        <f>LOOKUP(MONTH(G1030),{1,4,7,10},{"Winter","Spring","Summer","Autumn"})</f>
        <v>Summer</v>
      </c>
      <c r="K1030" s="15" t="str">
        <f>_xlfn.XLOOKUP(OrderDetails[[#This Row],[ProductID]],Product!A:A,Product!B:B,"Not Found")</f>
        <v>Gnocchi di nonna Alice</v>
      </c>
    </row>
    <row r="1031" spans="1:11">
      <c r="A1031" s="2">
        <v>10638</v>
      </c>
      <c r="B1031" s="2">
        <v>45</v>
      </c>
      <c r="C1031" s="2">
        <v>9.5</v>
      </c>
      <c r="D1031" s="2">
        <v>20</v>
      </c>
      <c r="E1031" s="4">
        <v>0</v>
      </c>
      <c r="F1031" s="1" t="str">
        <f>_xlfn.XLOOKUP(A1031,Orders!A:A,Orders!B:B,"not found")</f>
        <v>LINOD</v>
      </c>
      <c r="G1031" s="13">
        <f>_xlfn.XLOOKUP(OrderDetails[[#This Row],[OrderID]],Orders!A:A,Orders!C:C,"Not Found")</f>
        <v>35662</v>
      </c>
      <c r="H1031" s="16">
        <f>(OrderDetails[[#This Row],[UnitPrice]]*OrderDetails[[#This Row],[Quantity]])*(1-OrderDetails[[#This Row],[Discount]])</f>
        <v>190</v>
      </c>
      <c r="I1031" s="15" t="str">
        <f>_xlfn.XLOOKUP(OrderDetails[[#This Row],[ProductID]],Product!A:A,Product!G:G,"Not Found")</f>
        <v>Seafood</v>
      </c>
      <c r="J1031" s="15" t="str">
        <f>LOOKUP(MONTH(G1031),{1,4,7,10},{"Winter","Spring","Summer","Autumn"})</f>
        <v>Summer</v>
      </c>
      <c r="K1031" s="15" t="str">
        <f>_xlfn.XLOOKUP(OrderDetails[[#This Row],[ProductID]],Product!A:A,Product!B:B,"Not Found")</f>
        <v>Rogede sild</v>
      </c>
    </row>
    <row r="1032" spans="1:11">
      <c r="A1032" s="1">
        <v>10638</v>
      </c>
      <c r="B1032" s="1">
        <v>65</v>
      </c>
      <c r="C1032" s="1">
        <v>21.05</v>
      </c>
      <c r="D1032" s="1">
        <v>21</v>
      </c>
      <c r="E1032" s="3">
        <v>0</v>
      </c>
      <c r="F1032" s="1" t="str">
        <f>_xlfn.XLOOKUP(A1032,Orders!A:A,Orders!B:B,"not found")</f>
        <v>LINOD</v>
      </c>
      <c r="G1032" s="13">
        <f>_xlfn.XLOOKUP(OrderDetails[[#This Row],[OrderID]],Orders!A:A,Orders!C:C,"Not Found")</f>
        <v>35662</v>
      </c>
      <c r="H1032" s="16">
        <f>(OrderDetails[[#This Row],[UnitPrice]]*OrderDetails[[#This Row],[Quantity]])*(1-OrderDetails[[#This Row],[Discount]])</f>
        <v>442.05</v>
      </c>
      <c r="I1032" s="15" t="str">
        <f>_xlfn.XLOOKUP(OrderDetails[[#This Row],[ProductID]],Product!A:A,Product!G:G,"Not Found")</f>
        <v>Condiments</v>
      </c>
      <c r="J1032" s="15" t="str">
        <f>LOOKUP(MONTH(G1032),{1,4,7,10},{"Winter","Spring","Summer","Autumn"})</f>
        <v>Summer</v>
      </c>
      <c r="K1032" s="15" t="str">
        <f>_xlfn.XLOOKUP(OrderDetails[[#This Row],[ProductID]],Product!A:A,Product!B:B,"Not Found")</f>
        <v>Louisiana Fiery Hot Pepper Sauce</v>
      </c>
    </row>
    <row r="1033" spans="1:11">
      <c r="A1033" s="2">
        <v>10638</v>
      </c>
      <c r="B1033" s="2">
        <v>72</v>
      </c>
      <c r="C1033" s="2">
        <v>34.799999999999997</v>
      </c>
      <c r="D1033" s="2">
        <v>60</v>
      </c>
      <c r="E1033" s="4">
        <v>0</v>
      </c>
      <c r="F1033" s="1" t="str">
        <f>_xlfn.XLOOKUP(A1033,Orders!A:A,Orders!B:B,"not found")</f>
        <v>LINOD</v>
      </c>
      <c r="G1033" s="13">
        <f>_xlfn.XLOOKUP(OrderDetails[[#This Row],[OrderID]],Orders!A:A,Orders!C:C,"Not Found")</f>
        <v>35662</v>
      </c>
      <c r="H1033" s="16">
        <f>(OrderDetails[[#This Row],[UnitPrice]]*OrderDetails[[#This Row],[Quantity]])*(1-OrderDetails[[#This Row],[Discount]])</f>
        <v>2088</v>
      </c>
      <c r="I1033" s="15" t="str">
        <f>_xlfn.XLOOKUP(OrderDetails[[#This Row],[ProductID]],Product!A:A,Product!G:G,"Not Found")</f>
        <v>Dairy Products</v>
      </c>
      <c r="J1033" s="15" t="str">
        <f>LOOKUP(MONTH(G1033),{1,4,7,10},{"Winter","Spring","Summer","Autumn"})</f>
        <v>Summer</v>
      </c>
      <c r="K1033" s="15" t="str">
        <f>_xlfn.XLOOKUP(OrderDetails[[#This Row],[ProductID]],Product!A:A,Product!B:B,"Not Found")</f>
        <v>Mozzarella di Giovanni</v>
      </c>
    </row>
    <row r="1034" spans="1:11">
      <c r="A1034" s="1">
        <v>10639</v>
      </c>
      <c r="B1034" s="1">
        <v>18</v>
      </c>
      <c r="C1034" s="1">
        <v>62.5</v>
      </c>
      <c r="D1034" s="1">
        <v>8</v>
      </c>
      <c r="E1034" s="3">
        <v>0</v>
      </c>
      <c r="F1034" s="1" t="str">
        <f>_xlfn.XLOOKUP(A1034,Orders!A:A,Orders!B:B,"not found")</f>
        <v>SANTG</v>
      </c>
      <c r="G1034" s="13">
        <f>_xlfn.XLOOKUP(OrderDetails[[#This Row],[OrderID]],Orders!A:A,Orders!C:C,"Not Found")</f>
        <v>35662</v>
      </c>
      <c r="H1034" s="16">
        <f>(OrderDetails[[#This Row],[UnitPrice]]*OrderDetails[[#This Row],[Quantity]])*(1-OrderDetails[[#This Row],[Discount]])</f>
        <v>500</v>
      </c>
      <c r="I1034" s="15" t="str">
        <f>_xlfn.XLOOKUP(OrderDetails[[#This Row],[ProductID]],Product!A:A,Product!G:G,"Not Found")</f>
        <v>Seafood</v>
      </c>
      <c r="J1034" s="15" t="str">
        <f>LOOKUP(MONTH(G1034),{1,4,7,10},{"Winter","Spring","Summer","Autumn"})</f>
        <v>Summer</v>
      </c>
      <c r="K1034" s="15" t="str">
        <f>_xlfn.XLOOKUP(OrderDetails[[#This Row],[ProductID]],Product!A:A,Product!B:B,"Not Found")</f>
        <v>Carnarvon Tigers</v>
      </c>
    </row>
    <row r="1035" spans="1:11">
      <c r="A1035" s="2">
        <v>10640</v>
      </c>
      <c r="B1035" s="2">
        <v>69</v>
      </c>
      <c r="C1035" s="2">
        <v>36</v>
      </c>
      <c r="D1035" s="2">
        <v>20</v>
      </c>
      <c r="E1035" s="4">
        <v>0.25</v>
      </c>
      <c r="F1035" s="1" t="str">
        <f>_xlfn.XLOOKUP(A1035,Orders!A:A,Orders!B:B,"not found")</f>
        <v>WANDK</v>
      </c>
      <c r="G1035" s="13">
        <f>_xlfn.XLOOKUP(OrderDetails[[#This Row],[OrderID]],Orders!A:A,Orders!C:C,"Not Found")</f>
        <v>35663</v>
      </c>
      <c r="H1035" s="16">
        <f>(OrderDetails[[#This Row],[UnitPrice]]*OrderDetails[[#This Row],[Quantity]])*(1-OrderDetails[[#This Row],[Discount]])</f>
        <v>540</v>
      </c>
      <c r="I1035" s="15" t="str">
        <f>_xlfn.XLOOKUP(OrderDetails[[#This Row],[ProductID]],Product!A:A,Product!G:G,"Not Found")</f>
        <v>Dairy Products</v>
      </c>
      <c r="J1035" s="15" t="str">
        <f>LOOKUP(MONTH(G1035),{1,4,7,10},{"Winter","Spring","Summer","Autumn"})</f>
        <v>Summer</v>
      </c>
      <c r="K1035" s="15" t="str">
        <f>_xlfn.XLOOKUP(OrderDetails[[#This Row],[ProductID]],Product!A:A,Product!B:B,"Not Found")</f>
        <v>Gudbrandsdalsost</v>
      </c>
    </row>
    <row r="1036" spans="1:11">
      <c r="A1036" s="1">
        <v>10640</v>
      </c>
      <c r="B1036" s="1">
        <v>70</v>
      </c>
      <c r="C1036" s="1">
        <v>15</v>
      </c>
      <c r="D1036" s="1">
        <v>15</v>
      </c>
      <c r="E1036" s="3">
        <v>0.25</v>
      </c>
      <c r="F1036" s="1" t="str">
        <f>_xlfn.XLOOKUP(A1036,Orders!A:A,Orders!B:B,"not found")</f>
        <v>WANDK</v>
      </c>
      <c r="G1036" s="13">
        <f>_xlfn.XLOOKUP(OrderDetails[[#This Row],[OrderID]],Orders!A:A,Orders!C:C,"Not Found")</f>
        <v>35663</v>
      </c>
      <c r="H1036" s="16">
        <f>(OrderDetails[[#This Row],[UnitPrice]]*OrderDetails[[#This Row],[Quantity]])*(1-OrderDetails[[#This Row],[Discount]])</f>
        <v>168.75</v>
      </c>
      <c r="I1036" s="15" t="str">
        <f>_xlfn.XLOOKUP(OrderDetails[[#This Row],[ProductID]],Product!A:A,Product!G:G,"Not Found")</f>
        <v>Beverages</v>
      </c>
      <c r="J1036" s="15" t="str">
        <f>LOOKUP(MONTH(G1036),{1,4,7,10},{"Winter","Spring","Summer","Autumn"})</f>
        <v>Summer</v>
      </c>
      <c r="K1036" s="15" t="str">
        <f>_xlfn.XLOOKUP(OrderDetails[[#This Row],[ProductID]],Product!A:A,Product!B:B,"Not Found")</f>
        <v>Outback Lager</v>
      </c>
    </row>
    <row r="1037" spans="1:11">
      <c r="A1037" s="2">
        <v>10641</v>
      </c>
      <c r="B1037" s="2">
        <v>2</v>
      </c>
      <c r="C1037" s="2">
        <v>19</v>
      </c>
      <c r="D1037" s="2">
        <v>50</v>
      </c>
      <c r="E1037" s="4">
        <v>0</v>
      </c>
      <c r="F1037" s="1" t="str">
        <f>_xlfn.XLOOKUP(A1037,Orders!A:A,Orders!B:B,"not found")</f>
        <v>HILAA</v>
      </c>
      <c r="G1037" s="13">
        <f>_xlfn.XLOOKUP(OrderDetails[[#This Row],[OrderID]],Orders!A:A,Orders!C:C,"Not Found")</f>
        <v>35664</v>
      </c>
      <c r="H1037" s="16">
        <f>(OrderDetails[[#This Row],[UnitPrice]]*OrderDetails[[#This Row],[Quantity]])*(1-OrderDetails[[#This Row],[Discount]])</f>
        <v>950</v>
      </c>
      <c r="I1037" s="15" t="str">
        <f>_xlfn.XLOOKUP(OrderDetails[[#This Row],[ProductID]],Product!A:A,Product!G:G,"Not Found")</f>
        <v>Beverages</v>
      </c>
      <c r="J1037" s="15" t="str">
        <f>LOOKUP(MONTH(G1037),{1,4,7,10},{"Winter","Spring","Summer","Autumn"})</f>
        <v>Summer</v>
      </c>
      <c r="K1037" s="15" t="str">
        <f>_xlfn.XLOOKUP(OrderDetails[[#This Row],[ProductID]],Product!A:A,Product!B:B,"Not Found")</f>
        <v>Chang</v>
      </c>
    </row>
    <row r="1038" spans="1:11">
      <c r="A1038" s="1">
        <v>10641</v>
      </c>
      <c r="B1038" s="1">
        <v>40</v>
      </c>
      <c r="C1038" s="1">
        <v>18.399999999999999</v>
      </c>
      <c r="D1038" s="1">
        <v>60</v>
      </c>
      <c r="E1038" s="3">
        <v>0</v>
      </c>
      <c r="F1038" s="1" t="str">
        <f>_xlfn.XLOOKUP(A1038,Orders!A:A,Orders!B:B,"not found")</f>
        <v>HILAA</v>
      </c>
      <c r="G1038" s="13">
        <f>_xlfn.XLOOKUP(OrderDetails[[#This Row],[OrderID]],Orders!A:A,Orders!C:C,"Not Found")</f>
        <v>35664</v>
      </c>
      <c r="H1038" s="16">
        <f>(OrderDetails[[#This Row],[UnitPrice]]*OrderDetails[[#This Row],[Quantity]])*(1-OrderDetails[[#This Row],[Discount]])</f>
        <v>1104</v>
      </c>
      <c r="I1038" s="15" t="str">
        <f>_xlfn.XLOOKUP(OrderDetails[[#This Row],[ProductID]],Product!A:A,Product!G:G,"Not Found")</f>
        <v>Seafood</v>
      </c>
      <c r="J1038" s="15" t="str">
        <f>LOOKUP(MONTH(G1038),{1,4,7,10},{"Winter","Spring","Summer","Autumn"})</f>
        <v>Summer</v>
      </c>
      <c r="K1038" s="15" t="str">
        <f>_xlfn.XLOOKUP(OrderDetails[[#This Row],[ProductID]],Product!A:A,Product!B:B,"Not Found")</f>
        <v>Boston Crab Meat</v>
      </c>
    </row>
    <row r="1039" spans="1:11">
      <c r="A1039" s="2">
        <v>10642</v>
      </c>
      <c r="B1039" s="2">
        <v>21</v>
      </c>
      <c r="C1039" s="2">
        <v>10</v>
      </c>
      <c r="D1039" s="2">
        <v>30</v>
      </c>
      <c r="E1039" s="4">
        <v>0.20000000298023224</v>
      </c>
      <c r="F1039" s="1" t="str">
        <f>_xlfn.XLOOKUP(A1039,Orders!A:A,Orders!B:B,"not found")</f>
        <v>SIMOB</v>
      </c>
      <c r="G1039" s="13">
        <f>_xlfn.XLOOKUP(OrderDetails[[#This Row],[OrderID]],Orders!A:A,Orders!C:C,"Not Found")</f>
        <v>35664</v>
      </c>
      <c r="H1039" s="16">
        <f>(OrderDetails[[#This Row],[UnitPrice]]*OrderDetails[[#This Row],[Quantity]])*(1-OrderDetails[[#This Row],[Discount]])</f>
        <v>239.99999910593033</v>
      </c>
      <c r="I1039" s="15" t="str">
        <f>_xlfn.XLOOKUP(OrderDetails[[#This Row],[ProductID]],Product!A:A,Product!G:G,"Not Found")</f>
        <v>Confections</v>
      </c>
      <c r="J1039" s="15" t="str">
        <f>LOOKUP(MONTH(G1039),{1,4,7,10},{"Winter","Spring","Summer","Autumn"})</f>
        <v>Summer</v>
      </c>
      <c r="K1039" s="15" t="str">
        <f>_xlfn.XLOOKUP(OrderDetails[[#This Row],[ProductID]],Product!A:A,Product!B:B,"Not Found")</f>
        <v>Sir Rodney's Scones</v>
      </c>
    </row>
    <row r="1040" spans="1:11">
      <c r="A1040" s="1">
        <v>10642</v>
      </c>
      <c r="B1040" s="1">
        <v>61</v>
      </c>
      <c r="C1040" s="1">
        <v>28.5</v>
      </c>
      <c r="D1040" s="1">
        <v>20</v>
      </c>
      <c r="E1040" s="3">
        <v>0.20000000298023224</v>
      </c>
      <c r="F1040" s="1" t="str">
        <f>_xlfn.XLOOKUP(A1040,Orders!A:A,Orders!B:B,"not found")</f>
        <v>SIMOB</v>
      </c>
      <c r="G1040" s="13">
        <f>_xlfn.XLOOKUP(OrderDetails[[#This Row],[OrderID]],Orders!A:A,Orders!C:C,"Not Found")</f>
        <v>35664</v>
      </c>
      <c r="H1040" s="16">
        <f>(OrderDetails[[#This Row],[UnitPrice]]*OrderDetails[[#This Row],[Quantity]])*(1-OrderDetails[[#This Row],[Discount]])</f>
        <v>455.99999830126762</v>
      </c>
      <c r="I1040" s="15" t="str">
        <f>_xlfn.XLOOKUP(OrderDetails[[#This Row],[ProductID]],Product!A:A,Product!G:G,"Not Found")</f>
        <v>Condiments</v>
      </c>
      <c r="J1040" s="15" t="str">
        <f>LOOKUP(MONTH(G1040),{1,4,7,10},{"Winter","Spring","Summer","Autumn"})</f>
        <v>Summer</v>
      </c>
      <c r="K1040" s="15" t="str">
        <f>_xlfn.XLOOKUP(OrderDetails[[#This Row],[ProductID]],Product!A:A,Product!B:B,"Not Found")</f>
        <v>Sirop d'érable</v>
      </c>
    </row>
    <row r="1041" spans="1:11">
      <c r="A1041" s="2">
        <v>10643</v>
      </c>
      <c r="B1041" s="2">
        <v>28</v>
      </c>
      <c r="C1041" s="2">
        <v>45.6</v>
      </c>
      <c r="D1041" s="2">
        <v>15</v>
      </c>
      <c r="E1041" s="4">
        <v>0.25</v>
      </c>
      <c r="F1041" s="1" t="str">
        <f>_xlfn.XLOOKUP(A1041,Orders!A:A,Orders!B:B,"not found")</f>
        <v>ALFKI</v>
      </c>
      <c r="G1041" s="13">
        <f>_xlfn.XLOOKUP(OrderDetails[[#This Row],[OrderID]],Orders!A:A,Orders!C:C,"Not Found")</f>
        <v>35667</v>
      </c>
      <c r="H1041" s="16">
        <f>(OrderDetails[[#This Row],[UnitPrice]]*OrderDetails[[#This Row],[Quantity]])*(1-OrderDetails[[#This Row],[Discount]])</f>
        <v>513</v>
      </c>
      <c r="I1041" s="15" t="str">
        <f>_xlfn.XLOOKUP(OrderDetails[[#This Row],[ProductID]],Product!A:A,Product!G:G,"Not Found")</f>
        <v>Produce</v>
      </c>
      <c r="J1041" s="15" t="str">
        <f>LOOKUP(MONTH(G1041),{1,4,7,10},{"Winter","Spring","Summer","Autumn"})</f>
        <v>Summer</v>
      </c>
      <c r="K1041" s="15" t="str">
        <f>_xlfn.XLOOKUP(OrderDetails[[#This Row],[ProductID]],Product!A:A,Product!B:B,"Not Found")</f>
        <v>Rössle Sauerkraut</v>
      </c>
    </row>
    <row r="1042" spans="1:11">
      <c r="A1042" s="1">
        <v>10643</v>
      </c>
      <c r="B1042" s="1">
        <v>39</v>
      </c>
      <c r="C1042" s="1">
        <v>18</v>
      </c>
      <c r="D1042" s="1">
        <v>21</v>
      </c>
      <c r="E1042" s="3">
        <v>0.25</v>
      </c>
      <c r="F1042" s="1" t="str">
        <f>_xlfn.XLOOKUP(A1042,Orders!A:A,Orders!B:B,"not found")</f>
        <v>ALFKI</v>
      </c>
      <c r="G1042" s="13">
        <f>_xlfn.XLOOKUP(OrderDetails[[#This Row],[OrderID]],Orders!A:A,Orders!C:C,"Not Found")</f>
        <v>35667</v>
      </c>
      <c r="H1042" s="16">
        <f>(OrderDetails[[#This Row],[UnitPrice]]*OrderDetails[[#This Row],[Quantity]])*(1-OrderDetails[[#This Row],[Discount]])</f>
        <v>283.5</v>
      </c>
      <c r="I1042" s="15" t="str">
        <f>_xlfn.XLOOKUP(OrderDetails[[#This Row],[ProductID]],Product!A:A,Product!G:G,"Not Found")</f>
        <v>Beverages</v>
      </c>
      <c r="J1042" s="15" t="str">
        <f>LOOKUP(MONTH(G1042),{1,4,7,10},{"Winter","Spring","Summer","Autumn"})</f>
        <v>Summer</v>
      </c>
      <c r="K1042" s="15" t="str">
        <f>_xlfn.XLOOKUP(OrderDetails[[#This Row],[ProductID]],Product!A:A,Product!B:B,"Not Found")</f>
        <v>Chartreuse verte</v>
      </c>
    </row>
    <row r="1043" spans="1:11">
      <c r="A1043" s="2">
        <v>10643</v>
      </c>
      <c r="B1043" s="2">
        <v>46</v>
      </c>
      <c r="C1043" s="2">
        <v>12</v>
      </c>
      <c r="D1043" s="2">
        <v>2</v>
      </c>
      <c r="E1043" s="4">
        <v>0.25</v>
      </c>
      <c r="F1043" s="1" t="str">
        <f>_xlfn.XLOOKUP(A1043,Orders!A:A,Orders!B:B,"not found")</f>
        <v>ALFKI</v>
      </c>
      <c r="G1043" s="13">
        <f>_xlfn.XLOOKUP(OrderDetails[[#This Row],[OrderID]],Orders!A:A,Orders!C:C,"Not Found")</f>
        <v>35667</v>
      </c>
      <c r="H1043" s="16">
        <f>(OrderDetails[[#This Row],[UnitPrice]]*OrderDetails[[#This Row],[Quantity]])*(1-OrderDetails[[#This Row],[Discount]])</f>
        <v>18</v>
      </c>
      <c r="I1043" s="15" t="str">
        <f>_xlfn.XLOOKUP(OrderDetails[[#This Row],[ProductID]],Product!A:A,Product!G:G,"Not Found")</f>
        <v>Seafood</v>
      </c>
      <c r="J1043" s="15" t="str">
        <f>LOOKUP(MONTH(G1043),{1,4,7,10},{"Winter","Spring","Summer","Autumn"})</f>
        <v>Summer</v>
      </c>
      <c r="K1043" s="15" t="str">
        <f>_xlfn.XLOOKUP(OrderDetails[[#This Row],[ProductID]],Product!A:A,Product!B:B,"Not Found")</f>
        <v>Spegesild</v>
      </c>
    </row>
    <row r="1044" spans="1:11">
      <c r="A1044" s="1">
        <v>10644</v>
      </c>
      <c r="B1044" s="1">
        <v>18</v>
      </c>
      <c r="C1044" s="1">
        <v>62.5</v>
      </c>
      <c r="D1044" s="1">
        <v>4</v>
      </c>
      <c r="E1044" s="3">
        <v>0.10000000149011612</v>
      </c>
      <c r="F1044" s="1" t="str">
        <f>_xlfn.XLOOKUP(A1044,Orders!A:A,Orders!B:B,"not found")</f>
        <v>WELLI</v>
      </c>
      <c r="G1044" s="13">
        <f>_xlfn.XLOOKUP(OrderDetails[[#This Row],[OrderID]],Orders!A:A,Orders!C:C,"Not Found")</f>
        <v>35667</v>
      </c>
      <c r="H1044" s="16">
        <f>(OrderDetails[[#This Row],[UnitPrice]]*OrderDetails[[#This Row],[Quantity]])*(1-OrderDetails[[#This Row],[Discount]])</f>
        <v>224.99999962747097</v>
      </c>
      <c r="I1044" s="15" t="str">
        <f>_xlfn.XLOOKUP(OrderDetails[[#This Row],[ProductID]],Product!A:A,Product!G:G,"Not Found")</f>
        <v>Seafood</v>
      </c>
      <c r="J1044" s="15" t="str">
        <f>LOOKUP(MONTH(G1044),{1,4,7,10},{"Winter","Spring","Summer","Autumn"})</f>
        <v>Summer</v>
      </c>
      <c r="K1044" s="15" t="str">
        <f>_xlfn.XLOOKUP(OrderDetails[[#This Row],[ProductID]],Product!A:A,Product!B:B,"Not Found")</f>
        <v>Carnarvon Tigers</v>
      </c>
    </row>
    <row r="1045" spans="1:11">
      <c r="A1045" s="2">
        <v>10644</v>
      </c>
      <c r="B1045" s="2">
        <v>43</v>
      </c>
      <c r="C1045" s="2">
        <v>46</v>
      </c>
      <c r="D1045" s="2">
        <v>20</v>
      </c>
      <c r="E1045" s="4">
        <v>0</v>
      </c>
      <c r="F1045" s="1" t="str">
        <f>_xlfn.XLOOKUP(A1045,Orders!A:A,Orders!B:B,"not found")</f>
        <v>WELLI</v>
      </c>
      <c r="G1045" s="13">
        <f>_xlfn.XLOOKUP(OrderDetails[[#This Row],[OrderID]],Orders!A:A,Orders!C:C,"Not Found")</f>
        <v>35667</v>
      </c>
      <c r="H1045" s="16">
        <f>(OrderDetails[[#This Row],[UnitPrice]]*OrderDetails[[#This Row],[Quantity]])*(1-OrderDetails[[#This Row],[Discount]])</f>
        <v>920</v>
      </c>
      <c r="I1045" s="15" t="str">
        <f>_xlfn.XLOOKUP(OrderDetails[[#This Row],[ProductID]],Product!A:A,Product!G:G,"Not Found")</f>
        <v>Beverages</v>
      </c>
      <c r="J1045" s="15" t="str">
        <f>LOOKUP(MONTH(G1045),{1,4,7,10},{"Winter","Spring","Summer","Autumn"})</f>
        <v>Summer</v>
      </c>
      <c r="K1045" s="15" t="str">
        <f>_xlfn.XLOOKUP(OrderDetails[[#This Row],[ProductID]],Product!A:A,Product!B:B,"Not Found")</f>
        <v>Ipoh Coffee</v>
      </c>
    </row>
    <row r="1046" spans="1:11">
      <c r="A1046" s="1">
        <v>10644</v>
      </c>
      <c r="B1046" s="1">
        <v>46</v>
      </c>
      <c r="C1046" s="1">
        <v>12</v>
      </c>
      <c r="D1046" s="1">
        <v>21</v>
      </c>
      <c r="E1046" s="3">
        <v>0.10000000149011612</v>
      </c>
      <c r="F1046" s="1" t="str">
        <f>_xlfn.XLOOKUP(A1046,Orders!A:A,Orders!B:B,"not found")</f>
        <v>WELLI</v>
      </c>
      <c r="G1046" s="13">
        <f>_xlfn.XLOOKUP(OrderDetails[[#This Row],[OrderID]],Orders!A:A,Orders!C:C,"Not Found")</f>
        <v>35667</v>
      </c>
      <c r="H1046" s="16">
        <f>(OrderDetails[[#This Row],[UnitPrice]]*OrderDetails[[#This Row],[Quantity]])*(1-OrderDetails[[#This Row],[Discount]])</f>
        <v>226.79999962449074</v>
      </c>
      <c r="I1046" s="15" t="str">
        <f>_xlfn.XLOOKUP(OrderDetails[[#This Row],[ProductID]],Product!A:A,Product!G:G,"Not Found")</f>
        <v>Seafood</v>
      </c>
      <c r="J1046" s="15" t="str">
        <f>LOOKUP(MONTH(G1046),{1,4,7,10},{"Winter","Spring","Summer","Autumn"})</f>
        <v>Summer</v>
      </c>
      <c r="K1046" s="15" t="str">
        <f>_xlfn.XLOOKUP(OrderDetails[[#This Row],[ProductID]],Product!A:A,Product!B:B,"Not Found")</f>
        <v>Spegesild</v>
      </c>
    </row>
    <row r="1047" spans="1:11">
      <c r="A1047" s="2">
        <v>10645</v>
      </c>
      <c r="B1047" s="2">
        <v>18</v>
      </c>
      <c r="C1047" s="2">
        <v>62.5</v>
      </c>
      <c r="D1047" s="2">
        <v>20</v>
      </c>
      <c r="E1047" s="4">
        <v>0</v>
      </c>
      <c r="F1047" s="1" t="str">
        <f>_xlfn.XLOOKUP(A1047,Orders!A:A,Orders!B:B,"not found")</f>
        <v>HANAR</v>
      </c>
      <c r="G1047" s="13">
        <f>_xlfn.XLOOKUP(OrderDetails[[#This Row],[OrderID]],Orders!A:A,Orders!C:C,"Not Found")</f>
        <v>35668</v>
      </c>
      <c r="H1047" s="16">
        <f>(OrderDetails[[#This Row],[UnitPrice]]*OrderDetails[[#This Row],[Quantity]])*(1-OrderDetails[[#This Row],[Discount]])</f>
        <v>1250</v>
      </c>
      <c r="I1047" s="15" t="str">
        <f>_xlfn.XLOOKUP(OrderDetails[[#This Row],[ProductID]],Product!A:A,Product!G:G,"Not Found")</f>
        <v>Seafood</v>
      </c>
      <c r="J1047" s="15" t="str">
        <f>LOOKUP(MONTH(G1047),{1,4,7,10},{"Winter","Spring","Summer","Autumn"})</f>
        <v>Summer</v>
      </c>
      <c r="K1047" s="15" t="str">
        <f>_xlfn.XLOOKUP(OrderDetails[[#This Row],[ProductID]],Product!A:A,Product!B:B,"Not Found")</f>
        <v>Carnarvon Tigers</v>
      </c>
    </row>
    <row r="1048" spans="1:11">
      <c r="A1048" s="1">
        <v>10645</v>
      </c>
      <c r="B1048" s="1">
        <v>36</v>
      </c>
      <c r="C1048" s="1">
        <v>19</v>
      </c>
      <c r="D1048" s="1">
        <v>15</v>
      </c>
      <c r="E1048" s="3">
        <v>0</v>
      </c>
      <c r="F1048" s="1" t="str">
        <f>_xlfn.XLOOKUP(A1048,Orders!A:A,Orders!B:B,"not found")</f>
        <v>HANAR</v>
      </c>
      <c r="G1048" s="13">
        <f>_xlfn.XLOOKUP(OrderDetails[[#This Row],[OrderID]],Orders!A:A,Orders!C:C,"Not Found")</f>
        <v>35668</v>
      </c>
      <c r="H1048" s="16">
        <f>(OrderDetails[[#This Row],[UnitPrice]]*OrderDetails[[#This Row],[Quantity]])*(1-OrderDetails[[#This Row],[Discount]])</f>
        <v>285</v>
      </c>
      <c r="I1048" s="15" t="str">
        <f>_xlfn.XLOOKUP(OrderDetails[[#This Row],[ProductID]],Product!A:A,Product!G:G,"Not Found")</f>
        <v>Seafood</v>
      </c>
      <c r="J1048" s="15" t="str">
        <f>LOOKUP(MONTH(G1048),{1,4,7,10},{"Winter","Spring","Summer","Autumn"})</f>
        <v>Summer</v>
      </c>
      <c r="K1048" s="15" t="str">
        <f>_xlfn.XLOOKUP(OrderDetails[[#This Row],[ProductID]],Product!A:A,Product!B:B,"Not Found")</f>
        <v>Inlagd Sill</v>
      </c>
    </row>
    <row r="1049" spans="1:11">
      <c r="A1049" s="2">
        <v>10646</v>
      </c>
      <c r="B1049" s="2">
        <v>1</v>
      </c>
      <c r="C1049" s="2">
        <v>18</v>
      </c>
      <c r="D1049" s="2">
        <v>15</v>
      </c>
      <c r="E1049" s="4">
        <v>0.25</v>
      </c>
      <c r="F1049" s="1" t="str">
        <f>_xlfn.XLOOKUP(A1049,Orders!A:A,Orders!B:B,"not found")</f>
        <v>HUNGO</v>
      </c>
      <c r="G1049" s="13">
        <f>_xlfn.XLOOKUP(OrderDetails[[#This Row],[OrderID]],Orders!A:A,Orders!C:C,"Not Found")</f>
        <v>35669</v>
      </c>
      <c r="H1049" s="16">
        <f>(OrderDetails[[#This Row],[UnitPrice]]*OrderDetails[[#This Row],[Quantity]])*(1-OrderDetails[[#This Row],[Discount]])</f>
        <v>202.5</v>
      </c>
      <c r="I1049" s="15" t="str">
        <f>_xlfn.XLOOKUP(OrderDetails[[#This Row],[ProductID]],Product!A:A,Product!G:G,"Not Found")</f>
        <v>Beverages</v>
      </c>
      <c r="J1049" s="15" t="str">
        <f>LOOKUP(MONTH(G1049),{1,4,7,10},{"Winter","Spring","Summer","Autumn"})</f>
        <v>Summer</v>
      </c>
      <c r="K1049" s="15" t="str">
        <f>_xlfn.XLOOKUP(OrderDetails[[#This Row],[ProductID]],Product!A:A,Product!B:B,"Not Found")</f>
        <v>Chai</v>
      </c>
    </row>
    <row r="1050" spans="1:11">
      <c r="A1050" s="1">
        <v>10646</v>
      </c>
      <c r="B1050" s="1">
        <v>10</v>
      </c>
      <c r="C1050" s="1">
        <v>31</v>
      </c>
      <c r="D1050" s="1">
        <v>18</v>
      </c>
      <c r="E1050" s="3">
        <v>0.25</v>
      </c>
      <c r="F1050" s="1" t="str">
        <f>_xlfn.XLOOKUP(A1050,Orders!A:A,Orders!B:B,"not found")</f>
        <v>HUNGO</v>
      </c>
      <c r="G1050" s="13">
        <f>_xlfn.XLOOKUP(OrderDetails[[#This Row],[OrderID]],Orders!A:A,Orders!C:C,"Not Found")</f>
        <v>35669</v>
      </c>
      <c r="H1050" s="16">
        <f>(OrderDetails[[#This Row],[UnitPrice]]*OrderDetails[[#This Row],[Quantity]])*(1-OrderDetails[[#This Row],[Discount]])</f>
        <v>418.5</v>
      </c>
      <c r="I1050" s="15" t="str">
        <f>_xlfn.XLOOKUP(OrderDetails[[#This Row],[ProductID]],Product!A:A,Product!G:G,"Not Found")</f>
        <v>Seafood</v>
      </c>
      <c r="J1050" s="15" t="str">
        <f>LOOKUP(MONTH(G1050),{1,4,7,10},{"Winter","Spring","Summer","Autumn"})</f>
        <v>Summer</v>
      </c>
      <c r="K1050" s="15" t="str">
        <f>_xlfn.XLOOKUP(OrderDetails[[#This Row],[ProductID]],Product!A:A,Product!B:B,"Not Found")</f>
        <v>Ikura</v>
      </c>
    </row>
    <row r="1051" spans="1:11">
      <c r="A1051" s="2">
        <v>10646</v>
      </c>
      <c r="B1051" s="2">
        <v>71</v>
      </c>
      <c r="C1051" s="2">
        <v>21.5</v>
      </c>
      <c r="D1051" s="2">
        <v>30</v>
      </c>
      <c r="E1051" s="4">
        <v>0.25</v>
      </c>
      <c r="F1051" s="1" t="str">
        <f>_xlfn.XLOOKUP(A1051,Orders!A:A,Orders!B:B,"not found")</f>
        <v>HUNGO</v>
      </c>
      <c r="G1051" s="13">
        <f>_xlfn.XLOOKUP(OrderDetails[[#This Row],[OrderID]],Orders!A:A,Orders!C:C,"Not Found")</f>
        <v>35669</v>
      </c>
      <c r="H1051" s="16">
        <f>(OrderDetails[[#This Row],[UnitPrice]]*OrderDetails[[#This Row],[Quantity]])*(1-OrderDetails[[#This Row],[Discount]])</f>
        <v>483.75</v>
      </c>
      <c r="I1051" s="15" t="str">
        <f>_xlfn.XLOOKUP(OrderDetails[[#This Row],[ProductID]],Product!A:A,Product!G:G,"Not Found")</f>
        <v>Dairy Products</v>
      </c>
      <c r="J1051" s="15" t="str">
        <f>LOOKUP(MONTH(G1051),{1,4,7,10},{"Winter","Spring","Summer","Autumn"})</f>
        <v>Summer</v>
      </c>
      <c r="K1051" s="15" t="str">
        <f>_xlfn.XLOOKUP(OrderDetails[[#This Row],[ProductID]],Product!A:A,Product!B:B,"Not Found")</f>
        <v>Flotemysost</v>
      </c>
    </row>
    <row r="1052" spans="1:11">
      <c r="A1052" s="1">
        <v>10646</v>
      </c>
      <c r="B1052" s="1">
        <v>77</v>
      </c>
      <c r="C1052" s="1">
        <v>13</v>
      </c>
      <c r="D1052" s="1">
        <v>35</v>
      </c>
      <c r="E1052" s="3">
        <v>0.25</v>
      </c>
      <c r="F1052" s="1" t="str">
        <f>_xlfn.XLOOKUP(A1052,Orders!A:A,Orders!B:B,"not found")</f>
        <v>HUNGO</v>
      </c>
      <c r="G1052" s="13">
        <f>_xlfn.XLOOKUP(OrderDetails[[#This Row],[OrderID]],Orders!A:A,Orders!C:C,"Not Found")</f>
        <v>35669</v>
      </c>
      <c r="H1052" s="16">
        <f>(OrderDetails[[#This Row],[UnitPrice]]*OrderDetails[[#This Row],[Quantity]])*(1-OrderDetails[[#This Row],[Discount]])</f>
        <v>341.25</v>
      </c>
      <c r="I1052" s="15" t="str">
        <f>_xlfn.XLOOKUP(OrderDetails[[#This Row],[ProductID]],Product!A:A,Product!G:G,"Not Found")</f>
        <v>Condiments</v>
      </c>
      <c r="J1052" s="15" t="str">
        <f>LOOKUP(MONTH(G1052),{1,4,7,10},{"Winter","Spring","Summer","Autumn"})</f>
        <v>Summer</v>
      </c>
      <c r="K1052" s="15" t="str">
        <f>_xlfn.XLOOKUP(OrderDetails[[#This Row],[ProductID]],Product!A:A,Product!B:B,"Not Found")</f>
        <v>Original Frankfurter grüne Soße</v>
      </c>
    </row>
    <row r="1053" spans="1:11">
      <c r="A1053" s="2">
        <v>10647</v>
      </c>
      <c r="B1053" s="2">
        <v>19</v>
      </c>
      <c r="C1053" s="2">
        <v>9.1999999999999993</v>
      </c>
      <c r="D1053" s="2">
        <v>30</v>
      </c>
      <c r="E1053" s="4">
        <v>0</v>
      </c>
      <c r="F1053" s="1" t="str">
        <f>_xlfn.XLOOKUP(A1053,Orders!A:A,Orders!B:B,"not found")</f>
        <v>QUEDE</v>
      </c>
      <c r="G1053" s="13">
        <f>_xlfn.XLOOKUP(OrderDetails[[#This Row],[OrderID]],Orders!A:A,Orders!C:C,"Not Found")</f>
        <v>35669</v>
      </c>
      <c r="H1053" s="16">
        <f>(OrderDetails[[#This Row],[UnitPrice]]*OrderDetails[[#This Row],[Quantity]])*(1-OrderDetails[[#This Row],[Discount]])</f>
        <v>276</v>
      </c>
      <c r="I1053" s="15" t="str">
        <f>_xlfn.XLOOKUP(OrderDetails[[#This Row],[ProductID]],Product!A:A,Product!G:G,"Not Found")</f>
        <v>Confections</v>
      </c>
      <c r="J1053" s="15" t="str">
        <f>LOOKUP(MONTH(G1053),{1,4,7,10},{"Winter","Spring","Summer","Autumn"})</f>
        <v>Summer</v>
      </c>
      <c r="K1053" s="15" t="str">
        <f>_xlfn.XLOOKUP(OrderDetails[[#This Row],[ProductID]],Product!A:A,Product!B:B,"Not Found")</f>
        <v>Teatime Chocolate Biscuits</v>
      </c>
    </row>
    <row r="1054" spans="1:11">
      <c r="A1054" s="1">
        <v>10647</v>
      </c>
      <c r="B1054" s="1">
        <v>39</v>
      </c>
      <c r="C1054" s="1">
        <v>18</v>
      </c>
      <c r="D1054" s="1">
        <v>20</v>
      </c>
      <c r="E1054" s="3">
        <v>0</v>
      </c>
      <c r="F1054" s="1" t="str">
        <f>_xlfn.XLOOKUP(A1054,Orders!A:A,Orders!B:B,"not found")</f>
        <v>QUEDE</v>
      </c>
      <c r="G1054" s="13">
        <f>_xlfn.XLOOKUP(OrderDetails[[#This Row],[OrderID]],Orders!A:A,Orders!C:C,"Not Found")</f>
        <v>35669</v>
      </c>
      <c r="H1054" s="16">
        <f>(OrderDetails[[#This Row],[UnitPrice]]*OrderDetails[[#This Row],[Quantity]])*(1-OrderDetails[[#This Row],[Discount]])</f>
        <v>360</v>
      </c>
      <c r="I1054" s="15" t="str">
        <f>_xlfn.XLOOKUP(OrderDetails[[#This Row],[ProductID]],Product!A:A,Product!G:G,"Not Found")</f>
        <v>Beverages</v>
      </c>
      <c r="J1054" s="15" t="str">
        <f>LOOKUP(MONTH(G1054),{1,4,7,10},{"Winter","Spring","Summer","Autumn"})</f>
        <v>Summer</v>
      </c>
      <c r="K1054" s="15" t="str">
        <f>_xlfn.XLOOKUP(OrderDetails[[#This Row],[ProductID]],Product!A:A,Product!B:B,"Not Found")</f>
        <v>Chartreuse verte</v>
      </c>
    </row>
    <row r="1055" spans="1:11">
      <c r="A1055" s="2">
        <v>10648</v>
      </c>
      <c r="B1055" s="2">
        <v>22</v>
      </c>
      <c r="C1055" s="2">
        <v>21</v>
      </c>
      <c r="D1055" s="2">
        <v>15</v>
      </c>
      <c r="E1055" s="4">
        <v>0</v>
      </c>
      <c r="F1055" s="1" t="str">
        <f>_xlfn.XLOOKUP(A1055,Orders!A:A,Orders!B:B,"not found")</f>
        <v>RICAR</v>
      </c>
      <c r="G1055" s="13">
        <f>_xlfn.XLOOKUP(OrderDetails[[#This Row],[OrderID]],Orders!A:A,Orders!C:C,"Not Found")</f>
        <v>35670</v>
      </c>
      <c r="H1055" s="16">
        <f>(OrderDetails[[#This Row],[UnitPrice]]*OrderDetails[[#This Row],[Quantity]])*(1-OrderDetails[[#This Row],[Discount]])</f>
        <v>315</v>
      </c>
      <c r="I1055" s="15" t="str">
        <f>_xlfn.XLOOKUP(OrderDetails[[#This Row],[ProductID]],Product!A:A,Product!G:G,"Not Found")</f>
        <v>Grains/Cereals</v>
      </c>
      <c r="J1055" s="15" t="str">
        <f>LOOKUP(MONTH(G1055),{1,4,7,10},{"Winter","Spring","Summer","Autumn"})</f>
        <v>Summer</v>
      </c>
      <c r="K1055" s="15" t="str">
        <f>_xlfn.XLOOKUP(OrderDetails[[#This Row],[ProductID]],Product!A:A,Product!B:B,"Not Found")</f>
        <v>Gustaf's Knäckebröd</v>
      </c>
    </row>
    <row r="1056" spans="1:11">
      <c r="A1056" s="1">
        <v>10648</v>
      </c>
      <c r="B1056" s="1">
        <v>24</v>
      </c>
      <c r="C1056" s="1">
        <v>4.5</v>
      </c>
      <c r="D1056" s="1">
        <v>15</v>
      </c>
      <c r="E1056" s="3">
        <v>0.15000000596046448</v>
      </c>
      <c r="F1056" s="1" t="str">
        <f>_xlfn.XLOOKUP(A1056,Orders!A:A,Orders!B:B,"not found")</f>
        <v>RICAR</v>
      </c>
      <c r="G1056" s="13">
        <f>_xlfn.XLOOKUP(OrderDetails[[#This Row],[OrderID]],Orders!A:A,Orders!C:C,"Not Found")</f>
        <v>35670</v>
      </c>
      <c r="H1056" s="16">
        <f>(OrderDetails[[#This Row],[UnitPrice]]*OrderDetails[[#This Row],[Quantity]])*(1-OrderDetails[[#This Row],[Discount]])</f>
        <v>57.374999597668648</v>
      </c>
      <c r="I1056" s="15" t="str">
        <f>_xlfn.XLOOKUP(OrderDetails[[#This Row],[ProductID]],Product!A:A,Product!G:G,"Not Found")</f>
        <v>Beverages</v>
      </c>
      <c r="J1056" s="15" t="str">
        <f>LOOKUP(MONTH(G1056),{1,4,7,10},{"Winter","Spring","Summer","Autumn"})</f>
        <v>Summer</v>
      </c>
      <c r="K1056" s="15" t="str">
        <f>_xlfn.XLOOKUP(OrderDetails[[#This Row],[ProductID]],Product!A:A,Product!B:B,"Not Found")</f>
        <v>Guaraná Fantástica</v>
      </c>
    </row>
    <row r="1057" spans="1:11">
      <c r="A1057" s="2">
        <v>10649</v>
      </c>
      <c r="B1057" s="2">
        <v>28</v>
      </c>
      <c r="C1057" s="2">
        <v>45.6</v>
      </c>
      <c r="D1057" s="2">
        <v>20</v>
      </c>
      <c r="E1057" s="4">
        <v>0</v>
      </c>
      <c r="F1057" s="1" t="str">
        <f>_xlfn.XLOOKUP(A1057,Orders!A:A,Orders!B:B,"not found")</f>
        <v>MAISD</v>
      </c>
      <c r="G1057" s="13">
        <f>_xlfn.XLOOKUP(OrderDetails[[#This Row],[OrderID]],Orders!A:A,Orders!C:C,"Not Found")</f>
        <v>35670</v>
      </c>
      <c r="H1057" s="16">
        <f>(OrderDetails[[#This Row],[UnitPrice]]*OrderDetails[[#This Row],[Quantity]])*(1-OrderDetails[[#This Row],[Discount]])</f>
        <v>912</v>
      </c>
      <c r="I1057" s="15" t="str">
        <f>_xlfn.XLOOKUP(OrderDetails[[#This Row],[ProductID]],Product!A:A,Product!G:G,"Not Found")</f>
        <v>Produce</v>
      </c>
      <c r="J1057" s="15" t="str">
        <f>LOOKUP(MONTH(G1057),{1,4,7,10},{"Winter","Spring","Summer","Autumn"})</f>
        <v>Summer</v>
      </c>
      <c r="K1057" s="15" t="str">
        <f>_xlfn.XLOOKUP(OrderDetails[[#This Row],[ProductID]],Product!A:A,Product!B:B,"Not Found")</f>
        <v>Rössle Sauerkraut</v>
      </c>
    </row>
    <row r="1058" spans="1:11">
      <c r="A1058" s="1">
        <v>10649</v>
      </c>
      <c r="B1058" s="1">
        <v>72</v>
      </c>
      <c r="C1058" s="1">
        <v>34.799999999999997</v>
      </c>
      <c r="D1058" s="1">
        <v>15</v>
      </c>
      <c r="E1058" s="3">
        <v>0</v>
      </c>
      <c r="F1058" s="1" t="str">
        <f>_xlfn.XLOOKUP(A1058,Orders!A:A,Orders!B:B,"not found")</f>
        <v>MAISD</v>
      </c>
      <c r="G1058" s="13">
        <f>_xlfn.XLOOKUP(OrderDetails[[#This Row],[OrderID]],Orders!A:A,Orders!C:C,"Not Found")</f>
        <v>35670</v>
      </c>
      <c r="H1058" s="16">
        <f>(OrderDetails[[#This Row],[UnitPrice]]*OrderDetails[[#This Row],[Quantity]])*(1-OrderDetails[[#This Row],[Discount]])</f>
        <v>522</v>
      </c>
      <c r="I1058" s="15" t="str">
        <f>_xlfn.XLOOKUP(OrderDetails[[#This Row],[ProductID]],Product!A:A,Product!G:G,"Not Found")</f>
        <v>Dairy Products</v>
      </c>
      <c r="J1058" s="15" t="str">
        <f>LOOKUP(MONTH(G1058),{1,4,7,10},{"Winter","Spring","Summer","Autumn"})</f>
        <v>Summer</v>
      </c>
      <c r="K1058" s="15" t="str">
        <f>_xlfn.XLOOKUP(OrderDetails[[#This Row],[ProductID]],Product!A:A,Product!B:B,"Not Found")</f>
        <v>Mozzarella di Giovanni</v>
      </c>
    </row>
    <row r="1059" spans="1:11">
      <c r="A1059" s="2">
        <v>10650</v>
      </c>
      <c r="B1059" s="2">
        <v>30</v>
      </c>
      <c r="C1059" s="2">
        <v>25.89</v>
      </c>
      <c r="D1059" s="2">
        <v>30</v>
      </c>
      <c r="E1059" s="4">
        <v>0</v>
      </c>
      <c r="F1059" s="1" t="str">
        <f>_xlfn.XLOOKUP(A1059,Orders!A:A,Orders!B:B,"not found")</f>
        <v>FAMIA</v>
      </c>
      <c r="G1059" s="13">
        <f>_xlfn.XLOOKUP(OrderDetails[[#This Row],[OrderID]],Orders!A:A,Orders!C:C,"Not Found")</f>
        <v>35671</v>
      </c>
      <c r="H1059" s="16">
        <f>(OrderDetails[[#This Row],[UnitPrice]]*OrderDetails[[#This Row],[Quantity]])*(1-OrderDetails[[#This Row],[Discount]])</f>
        <v>776.7</v>
      </c>
      <c r="I1059" s="15" t="str">
        <f>_xlfn.XLOOKUP(OrderDetails[[#This Row],[ProductID]],Product!A:A,Product!G:G,"Not Found")</f>
        <v>Seafood</v>
      </c>
      <c r="J1059" s="15" t="str">
        <f>LOOKUP(MONTH(G1059),{1,4,7,10},{"Winter","Spring","Summer","Autumn"})</f>
        <v>Summer</v>
      </c>
      <c r="K1059" s="15" t="str">
        <f>_xlfn.XLOOKUP(OrderDetails[[#This Row],[ProductID]],Product!A:A,Product!B:B,"Not Found")</f>
        <v>Nord-Ost Matjeshering</v>
      </c>
    </row>
    <row r="1060" spans="1:11">
      <c r="A1060" s="1">
        <v>10650</v>
      </c>
      <c r="B1060" s="1">
        <v>53</v>
      </c>
      <c r="C1060" s="1">
        <v>32.799999999999997</v>
      </c>
      <c r="D1060" s="1">
        <v>25</v>
      </c>
      <c r="E1060" s="3">
        <v>5.000000074505806E-2</v>
      </c>
      <c r="F1060" s="1" t="str">
        <f>_xlfn.XLOOKUP(A1060,Orders!A:A,Orders!B:B,"not found")</f>
        <v>FAMIA</v>
      </c>
      <c r="G1060" s="13">
        <f>_xlfn.XLOOKUP(OrderDetails[[#This Row],[OrderID]],Orders!A:A,Orders!C:C,"Not Found")</f>
        <v>35671</v>
      </c>
      <c r="H1060" s="16">
        <f>(OrderDetails[[#This Row],[UnitPrice]]*OrderDetails[[#This Row],[Quantity]])*(1-OrderDetails[[#This Row],[Discount]])</f>
        <v>778.99999938905228</v>
      </c>
      <c r="I1060" s="15" t="str">
        <f>_xlfn.XLOOKUP(OrderDetails[[#This Row],[ProductID]],Product!A:A,Product!G:G,"Not Found")</f>
        <v>Meat/Poultry</v>
      </c>
      <c r="J1060" s="15" t="str">
        <f>LOOKUP(MONTH(G1060),{1,4,7,10},{"Winter","Spring","Summer","Autumn"})</f>
        <v>Summer</v>
      </c>
      <c r="K1060" s="15" t="str">
        <f>_xlfn.XLOOKUP(OrderDetails[[#This Row],[ProductID]],Product!A:A,Product!B:B,"Not Found")</f>
        <v>Perth Pasties</v>
      </c>
    </row>
    <row r="1061" spans="1:11">
      <c r="A1061" s="2">
        <v>10650</v>
      </c>
      <c r="B1061" s="2">
        <v>54</v>
      </c>
      <c r="C1061" s="2">
        <v>7.45</v>
      </c>
      <c r="D1061" s="2">
        <v>30</v>
      </c>
      <c r="E1061" s="4">
        <v>0</v>
      </c>
      <c r="F1061" s="1" t="str">
        <f>_xlfn.XLOOKUP(A1061,Orders!A:A,Orders!B:B,"not found")</f>
        <v>FAMIA</v>
      </c>
      <c r="G1061" s="13">
        <f>_xlfn.XLOOKUP(OrderDetails[[#This Row],[OrderID]],Orders!A:A,Orders!C:C,"Not Found")</f>
        <v>35671</v>
      </c>
      <c r="H1061" s="16">
        <f>(OrderDetails[[#This Row],[UnitPrice]]*OrderDetails[[#This Row],[Quantity]])*(1-OrderDetails[[#This Row],[Discount]])</f>
        <v>223.5</v>
      </c>
      <c r="I1061" s="15" t="str">
        <f>_xlfn.XLOOKUP(OrderDetails[[#This Row],[ProductID]],Product!A:A,Product!G:G,"Not Found")</f>
        <v>Meat/Poultry</v>
      </c>
      <c r="J1061" s="15" t="str">
        <f>LOOKUP(MONTH(G1061),{1,4,7,10},{"Winter","Spring","Summer","Autumn"})</f>
        <v>Summer</v>
      </c>
      <c r="K1061" s="15" t="str">
        <f>_xlfn.XLOOKUP(OrderDetails[[#This Row],[ProductID]],Product!A:A,Product!B:B,"Not Found")</f>
        <v>Tourtière</v>
      </c>
    </row>
    <row r="1062" spans="1:11">
      <c r="A1062" s="1">
        <v>10651</v>
      </c>
      <c r="B1062" s="1">
        <v>19</v>
      </c>
      <c r="C1062" s="1">
        <v>9.1999999999999993</v>
      </c>
      <c r="D1062" s="1">
        <v>12</v>
      </c>
      <c r="E1062" s="3">
        <v>0.25</v>
      </c>
      <c r="F1062" s="1" t="str">
        <f>_xlfn.XLOOKUP(A1062,Orders!A:A,Orders!B:B,"not found")</f>
        <v>WANDK</v>
      </c>
      <c r="G1062" s="13">
        <f>_xlfn.XLOOKUP(OrderDetails[[#This Row],[OrderID]],Orders!A:A,Orders!C:C,"Not Found")</f>
        <v>35674</v>
      </c>
      <c r="H1062" s="16">
        <f>(OrderDetails[[#This Row],[UnitPrice]]*OrderDetails[[#This Row],[Quantity]])*(1-OrderDetails[[#This Row],[Discount]])</f>
        <v>82.8</v>
      </c>
      <c r="I1062" s="15" t="str">
        <f>_xlfn.XLOOKUP(OrderDetails[[#This Row],[ProductID]],Product!A:A,Product!G:G,"Not Found")</f>
        <v>Confections</v>
      </c>
      <c r="J1062" s="15" t="str">
        <f>LOOKUP(MONTH(G1062),{1,4,7,10},{"Winter","Spring","Summer","Autumn"})</f>
        <v>Summer</v>
      </c>
      <c r="K1062" s="15" t="str">
        <f>_xlfn.XLOOKUP(OrderDetails[[#This Row],[ProductID]],Product!A:A,Product!B:B,"Not Found")</f>
        <v>Teatime Chocolate Biscuits</v>
      </c>
    </row>
    <row r="1063" spans="1:11">
      <c r="A1063" s="2">
        <v>10651</v>
      </c>
      <c r="B1063" s="2">
        <v>22</v>
      </c>
      <c r="C1063" s="2">
        <v>21</v>
      </c>
      <c r="D1063" s="2">
        <v>20</v>
      </c>
      <c r="E1063" s="4">
        <v>0.25</v>
      </c>
      <c r="F1063" s="1" t="str">
        <f>_xlfn.XLOOKUP(A1063,Orders!A:A,Orders!B:B,"not found")</f>
        <v>WANDK</v>
      </c>
      <c r="G1063" s="13">
        <f>_xlfn.XLOOKUP(OrderDetails[[#This Row],[OrderID]],Orders!A:A,Orders!C:C,"Not Found")</f>
        <v>35674</v>
      </c>
      <c r="H1063" s="16">
        <f>(OrderDetails[[#This Row],[UnitPrice]]*OrderDetails[[#This Row],[Quantity]])*(1-OrderDetails[[#This Row],[Discount]])</f>
        <v>315</v>
      </c>
      <c r="I1063" s="15" t="str">
        <f>_xlfn.XLOOKUP(OrderDetails[[#This Row],[ProductID]],Product!A:A,Product!G:G,"Not Found")</f>
        <v>Grains/Cereals</v>
      </c>
      <c r="J1063" s="15" t="str">
        <f>LOOKUP(MONTH(G1063),{1,4,7,10},{"Winter","Spring","Summer","Autumn"})</f>
        <v>Summer</v>
      </c>
      <c r="K1063" s="15" t="str">
        <f>_xlfn.XLOOKUP(OrderDetails[[#This Row],[ProductID]],Product!A:A,Product!B:B,"Not Found")</f>
        <v>Gustaf's Knäckebröd</v>
      </c>
    </row>
    <row r="1064" spans="1:11">
      <c r="A1064" s="1">
        <v>10652</v>
      </c>
      <c r="B1064" s="1">
        <v>30</v>
      </c>
      <c r="C1064" s="1">
        <v>25.89</v>
      </c>
      <c r="D1064" s="1">
        <v>2</v>
      </c>
      <c r="E1064" s="3">
        <v>0.25</v>
      </c>
      <c r="F1064" s="1" t="str">
        <f>_xlfn.XLOOKUP(A1064,Orders!A:A,Orders!B:B,"not found")</f>
        <v>GOURL</v>
      </c>
      <c r="G1064" s="13">
        <f>_xlfn.XLOOKUP(OrderDetails[[#This Row],[OrderID]],Orders!A:A,Orders!C:C,"Not Found")</f>
        <v>35674</v>
      </c>
      <c r="H1064" s="16">
        <f>(OrderDetails[[#This Row],[UnitPrice]]*OrderDetails[[#This Row],[Quantity]])*(1-OrderDetails[[#This Row],[Discount]])</f>
        <v>38.835000000000001</v>
      </c>
      <c r="I1064" s="15" t="str">
        <f>_xlfn.XLOOKUP(OrderDetails[[#This Row],[ProductID]],Product!A:A,Product!G:G,"Not Found")</f>
        <v>Seafood</v>
      </c>
      <c r="J1064" s="15" t="str">
        <f>LOOKUP(MONTH(G1064),{1,4,7,10},{"Winter","Spring","Summer","Autumn"})</f>
        <v>Summer</v>
      </c>
      <c r="K1064" s="15" t="str">
        <f>_xlfn.XLOOKUP(OrderDetails[[#This Row],[ProductID]],Product!A:A,Product!B:B,"Not Found")</f>
        <v>Nord-Ost Matjeshering</v>
      </c>
    </row>
    <row r="1065" spans="1:11">
      <c r="A1065" s="2">
        <v>10652</v>
      </c>
      <c r="B1065" s="2">
        <v>42</v>
      </c>
      <c r="C1065" s="2">
        <v>14</v>
      </c>
      <c r="D1065" s="2">
        <v>20</v>
      </c>
      <c r="E1065" s="4">
        <v>0</v>
      </c>
      <c r="F1065" s="1" t="str">
        <f>_xlfn.XLOOKUP(A1065,Orders!A:A,Orders!B:B,"not found")</f>
        <v>GOURL</v>
      </c>
      <c r="G1065" s="13">
        <f>_xlfn.XLOOKUP(OrderDetails[[#This Row],[OrderID]],Orders!A:A,Orders!C:C,"Not Found")</f>
        <v>35674</v>
      </c>
      <c r="H1065" s="16">
        <f>(OrderDetails[[#This Row],[UnitPrice]]*OrderDetails[[#This Row],[Quantity]])*(1-OrderDetails[[#This Row],[Discount]])</f>
        <v>280</v>
      </c>
      <c r="I1065" s="15" t="str">
        <f>_xlfn.XLOOKUP(OrderDetails[[#This Row],[ProductID]],Product!A:A,Product!G:G,"Not Found")</f>
        <v>Grains/Cereals</v>
      </c>
      <c r="J1065" s="15" t="str">
        <f>LOOKUP(MONTH(G1065),{1,4,7,10},{"Winter","Spring","Summer","Autumn"})</f>
        <v>Summer</v>
      </c>
      <c r="K1065" s="15" t="str">
        <f>_xlfn.XLOOKUP(OrderDetails[[#This Row],[ProductID]],Product!A:A,Product!B:B,"Not Found")</f>
        <v>Singaporean Hokkien Fried Mee</v>
      </c>
    </row>
    <row r="1066" spans="1:11">
      <c r="A1066" s="1">
        <v>10653</v>
      </c>
      <c r="B1066" s="1">
        <v>16</v>
      </c>
      <c r="C1066" s="1">
        <v>17.45</v>
      </c>
      <c r="D1066" s="1">
        <v>30</v>
      </c>
      <c r="E1066" s="3">
        <v>0.10000000149011612</v>
      </c>
      <c r="F1066" s="1" t="str">
        <f>_xlfn.XLOOKUP(A1066,Orders!A:A,Orders!B:B,"not found")</f>
        <v>FRANK</v>
      </c>
      <c r="G1066" s="13">
        <f>_xlfn.XLOOKUP(OrderDetails[[#This Row],[OrderID]],Orders!A:A,Orders!C:C,"Not Found")</f>
        <v>35675</v>
      </c>
      <c r="H1066" s="16">
        <f>(OrderDetails[[#This Row],[UnitPrice]]*OrderDetails[[#This Row],[Quantity]])*(1-OrderDetails[[#This Row],[Discount]])</f>
        <v>471.14999921992421</v>
      </c>
      <c r="I1066" s="15" t="str">
        <f>_xlfn.XLOOKUP(OrderDetails[[#This Row],[ProductID]],Product!A:A,Product!G:G,"Not Found")</f>
        <v>Confections</v>
      </c>
      <c r="J1066" s="15" t="str">
        <f>LOOKUP(MONTH(G1066),{1,4,7,10},{"Winter","Spring","Summer","Autumn"})</f>
        <v>Summer</v>
      </c>
      <c r="K1066" s="15" t="str">
        <f>_xlfn.XLOOKUP(OrderDetails[[#This Row],[ProductID]],Product!A:A,Product!B:B,"Not Found")</f>
        <v>Pavlova</v>
      </c>
    </row>
    <row r="1067" spans="1:11">
      <c r="A1067" s="2">
        <v>10653</v>
      </c>
      <c r="B1067" s="2">
        <v>60</v>
      </c>
      <c r="C1067" s="2">
        <v>34</v>
      </c>
      <c r="D1067" s="2">
        <v>20</v>
      </c>
      <c r="E1067" s="4">
        <v>0.10000000149011612</v>
      </c>
      <c r="F1067" s="1" t="str">
        <f>_xlfn.XLOOKUP(A1067,Orders!A:A,Orders!B:B,"not found")</f>
        <v>FRANK</v>
      </c>
      <c r="G1067" s="13">
        <f>_xlfn.XLOOKUP(OrderDetails[[#This Row],[OrderID]],Orders!A:A,Orders!C:C,"Not Found")</f>
        <v>35675</v>
      </c>
      <c r="H1067" s="16">
        <f>(OrderDetails[[#This Row],[UnitPrice]]*OrderDetails[[#This Row],[Quantity]])*(1-OrderDetails[[#This Row],[Discount]])</f>
        <v>611.99999898672104</v>
      </c>
      <c r="I1067" s="15" t="str">
        <f>_xlfn.XLOOKUP(OrderDetails[[#This Row],[ProductID]],Product!A:A,Product!G:G,"Not Found")</f>
        <v>Dairy Products</v>
      </c>
      <c r="J1067" s="15" t="str">
        <f>LOOKUP(MONTH(G1067),{1,4,7,10},{"Winter","Spring","Summer","Autumn"})</f>
        <v>Summer</v>
      </c>
      <c r="K1067" s="15" t="str">
        <f>_xlfn.XLOOKUP(OrderDetails[[#This Row],[ProductID]],Product!A:A,Product!B:B,"Not Found")</f>
        <v>Camembert Pierrot</v>
      </c>
    </row>
    <row r="1068" spans="1:11">
      <c r="A1068" s="1">
        <v>10654</v>
      </c>
      <c r="B1068" s="1">
        <v>4</v>
      </c>
      <c r="C1068" s="1">
        <v>22</v>
      </c>
      <c r="D1068" s="1">
        <v>12</v>
      </c>
      <c r="E1068" s="3">
        <v>0.10000000149011612</v>
      </c>
      <c r="F1068" s="1" t="str">
        <f>_xlfn.XLOOKUP(A1068,Orders!A:A,Orders!B:B,"not found")</f>
        <v>BERGS</v>
      </c>
      <c r="G1068" s="13">
        <f>_xlfn.XLOOKUP(OrderDetails[[#This Row],[OrderID]],Orders!A:A,Orders!C:C,"Not Found")</f>
        <v>35675</v>
      </c>
      <c r="H1068" s="16">
        <f>(OrderDetails[[#This Row],[UnitPrice]]*OrderDetails[[#This Row],[Quantity]])*(1-OrderDetails[[#This Row],[Discount]])</f>
        <v>237.59999960660934</v>
      </c>
      <c r="I1068" s="15" t="str">
        <f>_xlfn.XLOOKUP(OrderDetails[[#This Row],[ProductID]],Product!A:A,Product!G:G,"Not Found")</f>
        <v>Condiments</v>
      </c>
      <c r="J1068" s="15" t="str">
        <f>LOOKUP(MONTH(G1068),{1,4,7,10},{"Winter","Spring","Summer","Autumn"})</f>
        <v>Summer</v>
      </c>
      <c r="K1068" s="15" t="str">
        <f>_xlfn.XLOOKUP(OrderDetails[[#This Row],[ProductID]],Product!A:A,Product!B:B,"Not Found")</f>
        <v>Chef Anton's Cajun Seasoning</v>
      </c>
    </row>
    <row r="1069" spans="1:11">
      <c r="A1069" s="2">
        <v>10654</v>
      </c>
      <c r="B1069" s="2">
        <v>39</v>
      </c>
      <c r="C1069" s="2">
        <v>18</v>
      </c>
      <c r="D1069" s="2">
        <v>20</v>
      </c>
      <c r="E1069" s="4">
        <v>0.10000000149011612</v>
      </c>
      <c r="F1069" s="1" t="str">
        <f>_xlfn.XLOOKUP(A1069,Orders!A:A,Orders!B:B,"not found")</f>
        <v>BERGS</v>
      </c>
      <c r="G1069" s="13">
        <f>_xlfn.XLOOKUP(OrderDetails[[#This Row],[OrderID]],Orders!A:A,Orders!C:C,"Not Found")</f>
        <v>35675</v>
      </c>
      <c r="H1069" s="16">
        <f>(OrderDetails[[#This Row],[UnitPrice]]*OrderDetails[[#This Row],[Quantity]])*(1-OrderDetails[[#This Row],[Discount]])</f>
        <v>323.9999994635582</v>
      </c>
      <c r="I1069" s="15" t="str">
        <f>_xlfn.XLOOKUP(OrderDetails[[#This Row],[ProductID]],Product!A:A,Product!G:G,"Not Found")</f>
        <v>Beverages</v>
      </c>
      <c r="J1069" s="15" t="str">
        <f>LOOKUP(MONTH(G1069),{1,4,7,10},{"Winter","Spring","Summer","Autumn"})</f>
        <v>Summer</v>
      </c>
      <c r="K1069" s="15" t="str">
        <f>_xlfn.XLOOKUP(OrderDetails[[#This Row],[ProductID]],Product!A:A,Product!B:B,"Not Found")</f>
        <v>Chartreuse verte</v>
      </c>
    </row>
    <row r="1070" spans="1:11">
      <c r="A1070" s="1">
        <v>10654</v>
      </c>
      <c r="B1070" s="1">
        <v>54</v>
      </c>
      <c r="C1070" s="1">
        <v>7.45</v>
      </c>
      <c r="D1070" s="1">
        <v>6</v>
      </c>
      <c r="E1070" s="3">
        <v>0.10000000149011612</v>
      </c>
      <c r="F1070" s="1" t="str">
        <f>_xlfn.XLOOKUP(A1070,Orders!A:A,Orders!B:B,"not found")</f>
        <v>BERGS</v>
      </c>
      <c r="G1070" s="13">
        <f>_xlfn.XLOOKUP(OrderDetails[[#This Row],[OrderID]],Orders!A:A,Orders!C:C,"Not Found")</f>
        <v>35675</v>
      </c>
      <c r="H1070" s="16">
        <f>(OrderDetails[[#This Row],[UnitPrice]]*OrderDetails[[#This Row],[Quantity]])*(1-OrderDetails[[#This Row],[Discount]])</f>
        <v>40.229999933391809</v>
      </c>
      <c r="I1070" s="15" t="str">
        <f>_xlfn.XLOOKUP(OrderDetails[[#This Row],[ProductID]],Product!A:A,Product!G:G,"Not Found")</f>
        <v>Meat/Poultry</v>
      </c>
      <c r="J1070" s="15" t="str">
        <f>LOOKUP(MONTH(G1070),{1,4,7,10},{"Winter","Spring","Summer","Autumn"})</f>
        <v>Summer</v>
      </c>
      <c r="K1070" s="15" t="str">
        <f>_xlfn.XLOOKUP(OrderDetails[[#This Row],[ProductID]],Product!A:A,Product!B:B,"Not Found")</f>
        <v>Tourtière</v>
      </c>
    </row>
    <row r="1071" spans="1:11">
      <c r="A1071" s="2">
        <v>10655</v>
      </c>
      <c r="B1071" s="2">
        <v>41</v>
      </c>
      <c r="C1071" s="2">
        <v>9.65</v>
      </c>
      <c r="D1071" s="2">
        <v>20</v>
      </c>
      <c r="E1071" s="4">
        <v>0.20000000298023224</v>
      </c>
      <c r="F1071" s="1" t="str">
        <f>_xlfn.XLOOKUP(A1071,Orders!A:A,Orders!B:B,"not found")</f>
        <v>REGGC</v>
      </c>
      <c r="G1071" s="13">
        <f>_xlfn.XLOOKUP(OrderDetails[[#This Row],[OrderID]],Orders!A:A,Orders!C:C,"Not Found")</f>
        <v>35676</v>
      </c>
      <c r="H1071" s="16">
        <f>(OrderDetails[[#This Row],[UnitPrice]]*OrderDetails[[#This Row],[Quantity]])*(1-OrderDetails[[#This Row],[Discount]])</f>
        <v>154.39999942481518</v>
      </c>
      <c r="I1071" s="15" t="str">
        <f>_xlfn.XLOOKUP(OrderDetails[[#This Row],[ProductID]],Product!A:A,Product!G:G,"Not Found")</f>
        <v>Seafood</v>
      </c>
      <c r="J1071" s="15" t="str">
        <f>LOOKUP(MONTH(G1071),{1,4,7,10},{"Winter","Spring","Summer","Autumn"})</f>
        <v>Summer</v>
      </c>
      <c r="K1071" s="15" t="str">
        <f>_xlfn.XLOOKUP(OrderDetails[[#This Row],[ProductID]],Product!A:A,Product!B:B,"Not Found")</f>
        <v>Jack's New England Clam Chowder</v>
      </c>
    </row>
    <row r="1072" spans="1:11">
      <c r="A1072" s="1">
        <v>10656</v>
      </c>
      <c r="B1072" s="1">
        <v>14</v>
      </c>
      <c r="C1072" s="1">
        <v>23.25</v>
      </c>
      <c r="D1072" s="1">
        <v>3</v>
      </c>
      <c r="E1072" s="3">
        <v>0.10000000149011612</v>
      </c>
      <c r="F1072" s="1" t="str">
        <f>_xlfn.XLOOKUP(A1072,Orders!A:A,Orders!B:B,"not found")</f>
        <v>GREAL</v>
      </c>
      <c r="G1072" s="13">
        <f>_xlfn.XLOOKUP(OrderDetails[[#This Row],[OrderID]],Orders!A:A,Orders!C:C,"Not Found")</f>
        <v>35677</v>
      </c>
      <c r="H1072" s="16">
        <f>(OrderDetails[[#This Row],[UnitPrice]]*OrderDetails[[#This Row],[Quantity]])*(1-OrderDetails[[#This Row],[Discount]])</f>
        <v>62.774999896064401</v>
      </c>
      <c r="I1072" s="15" t="str">
        <f>_xlfn.XLOOKUP(OrderDetails[[#This Row],[ProductID]],Product!A:A,Product!G:G,"Not Found")</f>
        <v>Produce</v>
      </c>
      <c r="J1072" s="15" t="str">
        <f>LOOKUP(MONTH(G1072),{1,4,7,10},{"Winter","Spring","Summer","Autumn"})</f>
        <v>Summer</v>
      </c>
      <c r="K1072" s="15" t="str">
        <f>_xlfn.XLOOKUP(OrderDetails[[#This Row],[ProductID]],Product!A:A,Product!B:B,"Not Found")</f>
        <v>Tofu</v>
      </c>
    </row>
    <row r="1073" spans="1:11">
      <c r="A1073" s="2">
        <v>10656</v>
      </c>
      <c r="B1073" s="2">
        <v>44</v>
      </c>
      <c r="C1073" s="2">
        <v>19.45</v>
      </c>
      <c r="D1073" s="2">
        <v>28</v>
      </c>
      <c r="E1073" s="4">
        <v>0.10000000149011612</v>
      </c>
      <c r="F1073" s="1" t="str">
        <f>_xlfn.XLOOKUP(A1073,Orders!A:A,Orders!B:B,"not found")</f>
        <v>GREAL</v>
      </c>
      <c r="G1073" s="13">
        <f>_xlfn.XLOOKUP(OrderDetails[[#This Row],[OrderID]],Orders!A:A,Orders!C:C,"Not Found")</f>
        <v>35677</v>
      </c>
      <c r="H1073" s="16">
        <f>(OrderDetails[[#This Row],[UnitPrice]]*OrderDetails[[#This Row],[Quantity]])*(1-OrderDetails[[#This Row],[Discount]])</f>
        <v>490.13999918848276</v>
      </c>
      <c r="I1073" s="15" t="str">
        <f>_xlfn.XLOOKUP(OrderDetails[[#This Row],[ProductID]],Product!A:A,Product!G:G,"Not Found")</f>
        <v>Condiments</v>
      </c>
      <c r="J1073" s="15" t="str">
        <f>LOOKUP(MONTH(G1073),{1,4,7,10},{"Winter","Spring","Summer","Autumn"})</f>
        <v>Summer</v>
      </c>
      <c r="K1073" s="15" t="str">
        <f>_xlfn.XLOOKUP(OrderDetails[[#This Row],[ProductID]],Product!A:A,Product!B:B,"Not Found")</f>
        <v>Gula Malacca</v>
      </c>
    </row>
    <row r="1074" spans="1:11">
      <c r="A1074" s="1">
        <v>10656</v>
      </c>
      <c r="B1074" s="1">
        <v>47</v>
      </c>
      <c r="C1074" s="1">
        <v>9.5</v>
      </c>
      <c r="D1074" s="1">
        <v>6</v>
      </c>
      <c r="E1074" s="3">
        <v>0.10000000149011612</v>
      </c>
      <c r="F1074" s="1" t="str">
        <f>_xlfn.XLOOKUP(A1074,Orders!A:A,Orders!B:B,"not found")</f>
        <v>GREAL</v>
      </c>
      <c r="G1074" s="13">
        <f>_xlfn.XLOOKUP(OrderDetails[[#This Row],[OrderID]],Orders!A:A,Orders!C:C,"Not Found")</f>
        <v>35677</v>
      </c>
      <c r="H1074" s="16">
        <f>(OrderDetails[[#This Row],[UnitPrice]]*OrderDetails[[#This Row],[Quantity]])*(1-OrderDetails[[#This Row],[Discount]])</f>
        <v>51.299999915063381</v>
      </c>
      <c r="I1074" s="15" t="str">
        <f>_xlfn.XLOOKUP(OrderDetails[[#This Row],[ProductID]],Product!A:A,Product!G:G,"Not Found")</f>
        <v>Confections</v>
      </c>
      <c r="J1074" s="15" t="str">
        <f>LOOKUP(MONTH(G1074),{1,4,7,10},{"Winter","Spring","Summer","Autumn"})</f>
        <v>Summer</v>
      </c>
      <c r="K1074" s="15" t="str">
        <f>_xlfn.XLOOKUP(OrderDetails[[#This Row],[ProductID]],Product!A:A,Product!B:B,"Not Found")</f>
        <v>Zaanse koeken</v>
      </c>
    </row>
    <row r="1075" spans="1:11">
      <c r="A1075" s="2">
        <v>10657</v>
      </c>
      <c r="B1075" s="2">
        <v>15</v>
      </c>
      <c r="C1075" s="2">
        <v>15.5</v>
      </c>
      <c r="D1075" s="2">
        <v>50</v>
      </c>
      <c r="E1075" s="4">
        <v>0</v>
      </c>
      <c r="F1075" s="1" t="str">
        <f>_xlfn.XLOOKUP(A1075,Orders!A:A,Orders!B:B,"not found")</f>
        <v>SAVEA</v>
      </c>
      <c r="G1075" s="13">
        <f>_xlfn.XLOOKUP(OrderDetails[[#This Row],[OrderID]],Orders!A:A,Orders!C:C,"Not Found")</f>
        <v>35677</v>
      </c>
      <c r="H1075" s="16">
        <f>(OrderDetails[[#This Row],[UnitPrice]]*OrderDetails[[#This Row],[Quantity]])*(1-OrderDetails[[#This Row],[Discount]])</f>
        <v>775</v>
      </c>
      <c r="I1075" s="15" t="str">
        <f>_xlfn.XLOOKUP(OrderDetails[[#This Row],[ProductID]],Product!A:A,Product!G:G,"Not Found")</f>
        <v>Condiments</v>
      </c>
      <c r="J1075" s="15" t="str">
        <f>LOOKUP(MONTH(G1075),{1,4,7,10},{"Winter","Spring","Summer","Autumn"})</f>
        <v>Summer</v>
      </c>
      <c r="K1075" s="15" t="str">
        <f>_xlfn.XLOOKUP(OrderDetails[[#This Row],[ProductID]],Product!A:A,Product!B:B,"Not Found")</f>
        <v>Genen Shouyu</v>
      </c>
    </row>
    <row r="1076" spans="1:11">
      <c r="A1076" s="1">
        <v>10657</v>
      </c>
      <c r="B1076" s="1">
        <v>41</v>
      </c>
      <c r="C1076" s="1">
        <v>9.65</v>
      </c>
      <c r="D1076" s="1">
        <v>24</v>
      </c>
      <c r="E1076" s="3">
        <v>0</v>
      </c>
      <c r="F1076" s="1" t="str">
        <f>_xlfn.XLOOKUP(A1076,Orders!A:A,Orders!B:B,"not found")</f>
        <v>SAVEA</v>
      </c>
      <c r="G1076" s="13">
        <f>_xlfn.XLOOKUP(OrderDetails[[#This Row],[OrderID]],Orders!A:A,Orders!C:C,"Not Found")</f>
        <v>35677</v>
      </c>
      <c r="H1076" s="16">
        <f>(OrderDetails[[#This Row],[UnitPrice]]*OrderDetails[[#This Row],[Quantity]])*(1-OrderDetails[[#This Row],[Discount]])</f>
        <v>231.60000000000002</v>
      </c>
      <c r="I1076" s="15" t="str">
        <f>_xlfn.XLOOKUP(OrderDetails[[#This Row],[ProductID]],Product!A:A,Product!G:G,"Not Found")</f>
        <v>Seafood</v>
      </c>
      <c r="J1076" s="15" t="str">
        <f>LOOKUP(MONTH(G1076),{1,4,7,10},{"Winter","Spring","Summer","Autumn"})</f>
        <v>Summer</v>
      </c>
      <c r="K1076" s="15" t="str">
        <f>_xlfn.XLOOKUP(OrderDetails[[#This Row],[ProductID]],Product!A:A,Product!B:B,"Not Found")</f>
        <v>Jack's New England Clam Chowder</v>
      </c>
    </row>
    <row r="1077" spans="1:11">
      <c r="A1077" s="2">
        <v>10657</v>
      </c>
      <c r="B1077" s="2">
        <v>46</v>
      </c>
      <c r="C1077" s="2">
        <v>12</v>
      </c>
      <c r="D1077" s="2">
        <v>45</v>
      </c>
      <c r="E1077" s="4">
        <v>0</v>
      </c>
      <c r="F1077" s="1" t="str">
        <f>_xlfn.XLOOKUP(A1077,Orders!A:A,Orders!B:B,"not found")</f>
        <v>SAVEA</v>
      </c>
      <c r="G1077" s="13">
        <f>_xlfn.XLOOKUP(OrderDetails[[#This Row],[OrderID]],Orders!A:A,Orders!C:C,"Not Found")</f>
        <v>35677</v>
      </c>
      <c r="H1077" s="16">
        <f>(OrderDetails[[#This Row],[UnitPrice]]*OrderDetails[[#This Row],[Quantity]])*(1-OrderDetails[[#This Row],[Discount]])</f>
        <v>540</v>
      </c>
      <c r="I1077" s="15" t="str">
        <f>_xlfn.XLOOKUP(OrderDetails[[#This Row],[ProductID]],Product!A:A,Product!G:G,"Not Found")</f>
        <v>Seafood</v>
      </c>
      <c r="J1077" s="15" t="str">
        <f>LOOKUP(MONTH(G1077),{1,4,7,10},{"Winter","Spring","Summer","Autumn"})</f>
        <v>Summer</v>
      </c>
      <c r="K1077" s="15" t="str">
        <f>_xlfn.XLOOKUP(OrderDetails[[#This Row],[ProductID]],Product!A:A,Product!B:B,"Not Found")</f>
        <v>Spegesild</v>
      </c>
    </row>
    <row r="1078" spans="1:11">
      <c r="A1078" s="1">
        <v>10657</v>
      </c>
      <c r="B1078" s="1">
        <v>47</v>
      </c>
      <c r="C1078" s="1">
        <v>9.5</v>
      </c>
      <c r="D1078" s="1">
        <v>10</v>
      </c>
      <c r="E1078" s="3">
        <v>0</v>
      </c>
      <c r="F1078" s="1" t="str">
        <f>_xlfn.XLOOKUP(A1078,Orders!A:A,Orders!B:B,"not found")</f>
        <v>SAVEA</v>
      </c>
      <c r="G1078" s="13">
        <f>_xlfn.XLOOKUP(OrderDetails[[#This Row],[OrderID]],Orders!A:A,Orders!C:C,"Not Found")</f>
        <v>35677</v>
      </c>
      <c r="H1078" s="16">
        <f>(OrderDetails[[#This Row],[UnitPrice]]*OrderDetails[[#This Row],[Quantity]])*(1-OrderDetails[[#This Row],[Discount]])</f>
        <v>95</v>
      </c>
      <c r="I1078" s="15" t="str">
        <f>_xlfn.XLOOKUP(OrderDetails[[#This Row],[ProductID]],Product!A:A,Product!G:G,"Not Found")</f>
        <v>Confections</v>
      </c>
      <c r="J1078" s="15" t="str">
        <f>LOOKUP(MONTH(G1078),{1,4,7,10},{"Winter","Spring","Summer","Autumn"})</f>
        <v>Summer</v>
      </c>
      <c r="K1078" s="15" t="str">
        <f>_xlfn.XLOOKUP(OrderDetails[[#This Row],[ProductID]],Product!A:A,Product!B:B,"Not Found")</f>
        <v>Zaanse koeken</v>
      </c>
    </row>
    <row r="1079" spans="1:11">
      <c r="A1079" s="2">
        <v>10657</v>
      </c>
      <c r="B1079" s="2">
        <v>56</v>
      </c>
      <c r="C1079" s="2">
        <v>38</v>
      </c>
      <c r="D1079" s="2">
        <v>45</v>
      </c>
      <c r="E1079" s="4">
        <v>0</v>
      </c>
      <c r="F1079" s="1" t="str">
        <f>_xlfn.XLOOKUP(A1079,Orders!A:A,Orders!B:B,"not found")</f>
        <v>SAVEA</v>
      </c>
      <c r="G1079" s="13">
        <f>_xlfn.XLOOKUP(OrderDetails[[#This Row],[OrderID]],Orders!A:A,Orders!C:C,"Not Found")</f>
        <v>35677</v>
      </c>
      <c r="H1079" s="16">
        <f>(OrderDetails[[#This Row],[UnitPrice]]*OrderDetails[[#This Row],[Quantity]])*(1-OrderDetails[[#This Row],[Discount]])</f>
        <v>1710</v>
      </c>
      <c r="I1079" s="15" t="str">
        <f>_xlfn.XLOOKUP(OrderDetails[[#This Row],[ProductID]],Product!A:A,Product!G:G,"Not Found")</f>
        <v>Grains/Cereals</v>
      </c>
      <c r="J1079" s="15" t="str">
        <f>LOOKUP(MONTH(G1079),{1,4,7,10},{"Winter","Spring","Summer","Autumn"})</f>
        <v>Summer</v>
      </c>
      <c r="K1079" s="15" t="str">
        <f>_xlfn.XLOOKUP(OrderDetails[[#This Row],[ProductID]],Product!A:A,Product!B:B,"Not Found")</f>
        <v>Gnocchi di nonna Alice</v>
      </c>
    </row>
    <row r="1080" spans="1:11">
      <c r="A1080" s="1">
        <v>10657</v>
      </c>
      <c r="B1080" s="1">
        <v>60</v>
      </c>
      <c r="C1080" s="1">
        <v>34</v>
      </c>
      <c r="D1080" s="1">
        <v>30</v>
      </c>
      <c r="E1080" s="3">
        <v>0</v>
      </c>
      <c r="F1080" s="1" t="str">
        <f>_xlfn.XLOOKUP(A1080,Orders!A:A,Orders!B:B,"not found")</f>
        <v>SAVEA</v>
      </c>
      <c r="G1080" s="13">
        <f>_xlfn.XLOOKUP(OrderDetails[[#This Row],[OrderID]],Orders!A:A,Orders!C:C,"Not Found")</f>
        <v>35677</v>
      </c>
      <c r="H1080" s="16">
        <f>(OrderDetails[[#This Row],[UnitPrice]]*OrderDetails[[#This Row],[Quantity]])*(1-OrderDetails[[#This Row],[Discount]])</f>
        <v>1020</v>
      </c>
      <c r="I1080" s="15" t="str">
        <f>_xlfn.XLOOKUP(OrderDetails[[#This Row],[ProductID]],Product!A:A,Product!G:G,"Not Found")</f>
        <v>Dairy Products</v>
      </c>
      <c r="J1080" s="15" t="str">
        <f>LOOKUP(MONTH(G1080),{1,4,7,10},{"Winter","Spring","Summer","Autumn"})</f>
        <v>Summer</v>
      </c>
      <c r="K1080" s="15" t="str">
        <f>_xlfn.XLOOKUP(OrderDetails[[#This Row],[ProductID]],Product!A:A,Product!B:B,"Not Found")</f>
        <v>Camembert Pierrot</v>
      </c>
    </row>
    <row r="1081" spans="1:11">
      <c r="A1081" s="2">
        <v>10658</v>
      </c>
      <c r="B1081" s="2">
        <v>21</v>
      </c>
      <c r="C1081" s="2">
        <v>10</v>
      </c>
      <c r="D1081" s="2">
        <v>60</v>
      </c>
      <c r="E1081" s="4">
        <v>0</v>
      </c>
      <c r="F1081" s="1" t="str">
        <f>_xlfn.XLOOKUP(A1081,Orders!A:A,Orders!B:B,"not found")</f>
        <v>QUICK</v>
      </c>
      <c r="G1081" s="13">
        <f>_xlfn.XLOOKUP(OrderDetails[[#This Row],[OrderID]],Orders!A:A,Orders!C:C,"Not Found")</f>
        <v>35678</v>
      </c>
      <c r="H1081" s="16">
        <f>(OrderDetails[[#This Row],[UnitPrice]]*OrderDetails[[#This Row],[Quantity]])*(1-OrderDetails[[#This Row],[Discount]])</f>
        <v>600</v>
      </c>
      <c r="I1081" s="15" t="str">
        <f>_xlfn.XLOOKUP(OrderDetails[[#This Row],[ProductID]],Product!A:A,Product!G:G,"Not Found")</f>
        <v>Confections</v>
      </c>
      <c r="J1081" s="15" t="str">
        <f>LOOKUP(MONTH(G1081),{1,4,7,10},{"Winter","Spring","Summer","Autumn"})</f>
        <v>Summer</v>
      </c>
      <c r="K1081" s="15" t="str">
        <f>_xlfn.XLOOKUP(OrderDetails[[#This Row],[ProductID]],Product!A:A,Product!B:B,"Not Found")</f>
        <v>Sir Rodney's Scones</v>
      </c>
    </row>
    <row r="1082" spans="1:11">
      <c r="A1082" s="1">
        <v>10658</v>
      </c>
      <c r="B1082" s="1">
        <v>40</v>
      </c>
      <c r="C1082" s="1">
        <v>18.399999999999999</v>
      </c>
      <c r="D1082" s="1">
        <v>70</v>
      </c>
      <c r="E1082" s="3">
        <v>5.000000074505806E-2</v>
      </c>
      <c r="F1082" s="1" t="str">
        <f>_xlfn.XLOOKUP(A1082,Orders!A:A,Orders!B:B,"not found")</f>
        <v>QUICK</v>
      </c>
      <c r="G1082" s="13">
        <f>_xlfn.XLOOKUP(OrderDetails[[#This Row],[OrderID]],Orders!A:A,Orders!C:C,"Not Found")</f>
        <v>35678</v>
      </c>
      <c r="H1082" s="16">
        <f>(OrderDetails[[#This Row],[UnitPrice]]*OrderDetails[[#This Row],[Quantity]])*(1-OrderDetails[[#This Row],[Discount]])</f>
        <v>1223.5999990403652</v>
      </c>
      <c r="I1082" s="15" t="str">
        <f>_xlfn.XLOOKUP(OrderDetails[[#This Row],[ProductID]],Product!A:A,Product!G:G,"Not Found")</f>
        <v>Seafood</v>
      </c>
      <c r="J1082" s="15" t="str">
        <f>LOOKUP(MONTH(G1082),{1,4,7,10},{"Winter","Spring","Summer","Autumn"})</f>
        <v>Summer</v>
      </c>
      <c r="K1082" s="15" t="str">
        <f>_xlfn.XLOOKUP(OrderDetails[[#This Row],[ProductID]],Product!A:A,Product!B:B,"Not Found")</f>
        <v>Boston Crab Meat</v>
      </c>
    </row>
    <row r="1083" spans="1:11">
      <c r="A1083" s="2">
        <v>10658</v>
      </c>
      <c r="B1083" s="2">
        <v>60</v>
      </c>
      <c r="C1083" s="2">
        <v>34</v>
      </c>
      <c r="D1083" s="2">
        <v>55</v>
      </c>
      <c r="E1083" s="4">
        <v>5.000000074505806E-2</v>
      </c>
      <c r="F1083" s="1" t="str">
        <f>_xlfn.XLOOKUP(A1083,Orders!A:A,Orders!B:B,"not found")</f>
        <v>QUICK</v>
      </c>
      <c r="G1083" s="13">
        <f>_xlfn.XLOOKUP(OrderDetails[[#This Row],[OrderID]],Orders!A:A,Orders!C:C,"Not Found")</f>
        <v>35678</v>
      </c>
      <c r="H1083" s="16">
        <f>(OrderDetails[[#This Row],[UnitPrice]]*OrderDetails[[#This Row],[Quantity]])*(1-OrderDetails[[#This Row],[Discount]])</f>
        <v>1776.4999986067414</v>
      </c>
      <c r="I1083" s="15" t="str">
        <f>_xlfn.XLOOKUP(OrderDetails[[#This Row],[ProductID]],Product!A:A,Product!G:G,"Not Found")</f>
        <v>Dairy Products</v>
      </c>
      <c r="J1083" s="15" t="str">
        <f>LOOKUP(MONTH(G1083),{1,4,7,10},{"Winter","Spring","Summer","Autumn"})</f>
        <v>Summer</v>
      </c>
      <c r="K1083" s="15" t="str">
        <f>_xlfn.XLOOKUP(OrderDetails[[#This Row],[ProductID]],Product!A:A,Product!B:B,"Not Found")</f>
        <v>Camembert Pierrot</v>
      </c>
    </row>
    <row r="1084" spans="1:11">
      <c r="A1084" s="1">
        <v>10658</v>
      </c>
      <c r="B1084" s="1">
        <v>77</v>
      </c>
      <c r="C1084" s="1">
        <v>13</v>
      </c>
      <c r="D1084" s="1">
        <v>70</v>
      </c>
      <c r="E1084" s="3">
        <v>5.000000074505806E-2</v>
      </c>
      <c r="F1084" s="1" t="str">
        <f>_xlfn.XLOOKUP(A1084,Orders!A:A,Orders!B:B,"not found")</f>
        <v>QUICK</v>
      </c>
      <c r="G1084" s="13">
        <f>_xlfn.XLOOKUP(OrderDetails[[#This Row],[OrderID]],Orders!A:A,Orders!C:C,"Not Found")</f>
        <v>35678</v>
      </c>
      <c r="H1084" s="16">
        <f>(OrderDetails[[#This Row],[UnitPrice]]*OrderDetails[[#This Row],[Quantity]])*(1-OrderDetails[[#This Row],[Discount]])</f>
        <v>864.49999932199717</v>
      </c>
      <c r="I1084" s="15" t="str">
        <f>_xlfn.XLOOKUP(OrderDetails[[#This Row],[ProductID]],Product!A:A,Product!G:G,"Not Found")</f>
        <v>Condiments</v>
      </c>
      <c r="J1084" s="15" t="str">
        <f>LOOKUP(MONTH(G1084),{1,4,7,10},{"Winter","Spring","Summer","Autumn"})</f>
        <v>Summer</v>
      </c>
      <c r="K1084" s="15" t="str">
        <f>_xlfn.XLOOKUP(OrderDetails[[#This Row],[ProductID]],Product!A:A,Product!B:B,"Not Found")</f>
        <v>Original Frankfurter grüne Soße</v>
      </c>
    </row>
    <row r="1085" spans="1:11">
      <c r="A1085" s="2">
        <v>10659</v>
      </c>
      <c r="B1085" s="2">
        <v>31</v>
      </c>
      <c r="C1085" s="2">
        <v>12.5</v>
      </c>
      <c r="D1085" s="2">
        <v>20</v>
      </c>
      <c r="E1085" s="4">
        <v>5.000000074505806E-2</v>
      </c>
      <c r="F1085" s="1" t="str">
        <f>_xlfn.XLOOKUP(A1085,Orders!A:A,Orders!B:B,"not found")</f>
        <v>QUEEN</v>
      </c>
      <c r="G1085" s="13">
        <f>_xlfn.XLOOKUP(OrderDetails[[#This Row],[OrderID]],Orders!A:A,Orders!C:C,"Not Found")</f>
        <v>35678</v>
      </c>
      <c r="H1085" s="16">
        <f>(OrderDetails[[#This Row],[UnitPrice]]*OrderDetails[[#This Row],[Quantity]])*(1-OrderDetails[[#This Row],[Discount]])</f>
        <v>237.49999981373549</v>
      </c>
      <c r="I1085" s="15" t="str">
        <f>_xlfn.XLOOKUP(OrderDetails[[#This Row],[ProductID]],Product!A:A,Product!G:G,"Not Found")</f>
        <v>Dairy Products</v>
      </c>
      <c r="J1085" s="15" t="str">
        <f>LOOKUP(MONTH(G1085),{1,4,7,10},{"Winter","Spring","Summer","Autumn"})</f>
        <v>Summer</v>
      </c>
      <c r="K1085" s="15" t="str">
        <f>_xlfn.XLOOKUP(OrderDetails[[#This Row],[ProductID]],Product!A:A,Product!B:B,"Not Found")</f>
        <v>Gorgonzola Telino</v>
      </c>
    </row>
    <row r="1086" spans="1:11">
      <c r="A1086" s="1">
        <v>10659</v>
      </c>
      <c r="B1086" s="1">
        <v>40</v>
      </c>
      <c r="C1086" s="1">
        <v>18.399999999999999</v>
      </c>
      <c r="D1086" s="1">
        <v>24</v>
      </c>
      <c r="E1086" s="3">
        <v>5.000000074505806E-2</v>
      </c>
      <c r="F1086" s="1" t="str">
        <f>_xlfn.XLOOKUP(A1086,Orders!A:A,Orders!B:B,"not found")</f>
        <v>QUEEN</v>
      </c>
      <c r="G1086" s="13">
        <f>_xlfn.XLOOKUP(OrderDetails[[#This Row],[OrderID]],Orders!A:A,Orders!C:C,"Not Found")</f>
        <v>35678</v>
      </c>
      <c r="H1086" s="16">
        <f>(OrderDetails[[#This Row],[UnitPrice]]*OrderDetails[[#This Row],[Quantity]])*(1-OrderDetails[[#This Row],[Discount]])</f>
        <v>419.51999967098232</v>
      </c>
      <c r="I1086" s="15" t="str">
        <f>_xlfn.XLOOKUP(OrderDetails[[#This Row],[ProductID]],Product!A:A,Product!G:G,"Not Found")</f>
        <v>Seafood</v>
      </c>
      <c r="J1086" s="15" t="str">
        <f>LOOKUP(MONTH(G1086),{1,4,7,10},{"Winter","Spring","Summer","Autumn"})</f>
        <v>Summer</v>
      </c>
      <c r="K1086" s="15" t="str">
        <f>_xlfn.XLOOKUP(OrderDetails[[#This Row],[ProductID]],Product!A:A,Product!B:B,"Not Found")</f>
        <v>Boston Crab Meat</v>
      </c>
    </row>
    <row r="1087" spans="1:11">
      <c r="A1087" s="2">
        <v>10659</v>
      </c>
      <c r="B1087" s="2">
        <v>70</v>
      </c>
      <c r="C1087" s="2">
        <v>15</v>
      </c>
      <c r="D1087" s="2">
        <v>40</v>
      </c>
      <c r="E1087" s="4">
        <v>5.000000074505806E-2</v>
      </c>
      <c r="F1087" s="1" t="str">
        <f>_xlfn.XLOOKUP(A1087,Orders!A:A,Orders!B:B,"not found")</f>
        <v>QUEEN</v>
      </c>
      <c r="G1087" s="13">
        <f>_xlfn.XLOOKUP(OrderDetails[[#This Row],[OrderID]],Orders!A:A,Orders!C:C,"Not Found")</f>
        <v>35678</v>
      </c>
      <c r="H1087" s="16">
        <f>(OrderDetails[[#This Row],[UnitPrice]]*OrderDetails[[#This Row],[Quantity]])*(1-OrderDetails[[#This Row],[Discount]])</f>
        <v>569.99999955296516</v>
      </c>
      <c r="I1087" s="15" t="str">
        <f>_xlfn.XLOOKUP(OrderDetails[[#This Row],[ProductID]],Product!A:A,Product!G:G,"Not Found")</f>
        <v>Beverages</v>
      </c>
      <c r="J1087" s="15" t="str">
        <f>LOOKUP(MONTH(G1087),{1,4,7,10},{"Winter","Spring","Summer","Autumn"})</f>
        <v>Summer</v>
      </c>
      <c r="K1087" s="15" t="str">
        <f>_xlfn.XLOOKUP(OrderDetails[[#This Row],[ProductID]],Product!A:A,Product!B:B,"Not Found")</f>
        <v>Outback Lager</v>
      </c>
    </row>
    <row r="1088" spans="1:11">
      <c r="A1088" s="1">
        <v>10660</v>
      </c>
      <c r="B1088" s="1">
        <v>20</v>
      </c>
      <c r="C1088" s="1">
        <v>81</v>
      </c>
      <c r="D1088" s="1">
        <v>21</v>
      </c>
      <c r="E1088" s="3">
        <v>0</v>
      </c>
      <c r="F1088" s="1" t="str">
        <f>_xlfn.XLOOKUP(A1088,Orders!A:A,Orders!B:B,"not found")</f>
        <v>HUNGC</v>
      </c>
      <c r="G1088" s="13">
        <f>_xlfn.XLOOKUP(OrderDetails[[#This Row],[OrderID]],Orders!A:A,Orders!C:C,"Not Found")</f>
        <v>35681</v>
      </c>
      <c r="H1088" s="16">
        <f>(OrderDetails[[#This Row],[UnitPrice]]*OrderDetails[[#This Row],[Quantity]])*(1-OrderDetails[[#This Row],[Discount]])</f>
        <v>1701</v>
      </c>
      <c r="I1088" s="15" t="str">
        <f>_xlfn.XLOOKUP(OrderDetails[[#This Row],[ProductID]],Product!A:A,Product!G:G,"Not Found")</f>
        <v>Confections</v>
      </c>
      <c r="J1088" s="15" t="str">
        <f>LOOKUP(MONTH(G1088),{1,4,7,10},{"Winter","Spring","Summer","Autumn"})</f>
        <v>Summer</v>
      </c>
      <c r="K1088" s="15" t="str">
        <f>_xlfn.XLOOKUP(OrderDetails[[#This Row],[ProductID]],Product!A:A,Product!B:B,"Not Found")</f>
        <v>Sir Rodney's Marmalade</v>
      </c>
    </row>
    <row r="1089" spans="1:11">
      <c r="A1089" s="2">
        <v>10661</v>
      </c>
      <c r="B1089" s="2">
        <v>39</v>
      </c>
      <c r="C1089" s="2">
        <v>18</v>
      </c>
      <c r="D1089" s="2">
        <v>3</v>
      </c>
      <c r="E1089" s="4">
        <v>0.20000000298023224</v>
      </c>
      <c r="F1089" s="1" t="str">
        <f>_xlfn.XLOOKUP(A1089,Orders!A:A,Orders!B:B,"not found")</f>
        <v>HUNGO</v>
      </c>
      <c r="G1089" s="13">
        <f>_xlfn.XLOOKUP(OrderDetails[[#This Row],[OrderID]],Orders!A:A,Orders!C:C,"Not Found")</f>
        <v>35682</v>
      </c>
      <c r="H1089" s="16">
        <f>(OrderDetails[[#This Row],[UnitPrice]]*OrderDetails[[#This Row],[Quantity]])*(1-OrderDetails[[#This Row],[Discount]])</f>
        <v>43.199999839067459</v>
      </c>
      <c r="I1089" s="15" t="str">
        <f>_xlfn.XLOOKUP(OrderDetails[[#This Row],[ProductID]],Product!A:A,Product!G:G,"Not Found")</f>
        <v>Beverages</v>
      </c>
      <c r="J1089" s="15" t="str">
        <f>LOOKUP(MONTH(G1089),{1,4,7,10},{"Winter","Spring","Summer","Autumn"})</f>
        <v>Summer</v>
      </c>
      <c r="K1089" s="15" t="str">
        <f>_xlfn.XLOOKUP(OrderDetails[[#This Row],[ProductID]],Product!A:A,Product!B:B,"Not Found")</f>
        <v>Chartreuse verte</v>
      </c>
    </row>
    <row r="1090" spans="1:11">
      <c r="A1090" s="1">
        <v>10661</v>
      </c>
      <c r="B1090" s="1">
        <v>58</v>
      </c>
      <c r="C1090" s="1">
        <v>13.25</v>
      </c>
      <c r="D1090" s="1">
        <v>49</v>
      </c>
      <c r="E1090" s="3">
        <v>0.20000000298023224</v>
      </c>
      <c r="F1090" s="1" t="str">
        <f>_xlfn.XLOOKUP(A1090,Orders!A:A,Orders!B:B,"not found")</f>
        <v>HUNGO</v>
      </c>
      <c r="G1090" s="13">
        <f>_xlfn.XLOOKUP(OrderDetails[[#This Row],[OrderID]],Orders!A:A,Orders!C:C,"Not Found")</f>
        <v>35682</v>
      </c>
      <c r="H1090" s="16">
        <f>(OrderDetails[[#This Row],[UnitPrice]]*OrderDetails[[#This Row],[Quantity]])*(1-OrderDetails[[#This Row],[Discount]])</f>
        <v>519.39999806508422</v>
      </c>
      <c r="I1090" s="15" t="str">
        <f>_xlfn.XLOOKUP(OrderDetails[[#This Row],[ProductID]],Product!A:A,Product!G:G,"Not Found")</f>
        <v>Seafood</v>
      </c>
      <c r="J1090" s="15" t="str">
        <f>LOOKUP(MONTH(G1090),{1,4,7,10},{"Winter","Spring","Summer","Autumn"})</f>
        <v>Summer</v>
      </c>
      <c r="K1090" s="15" t="str">
        <f>_xlfn.XLOOKUP(OrderDetails[[#This Row],[ProductID]],Product!A:A,Product!B:B,"Not Found")</f>
        <v>Escargots de Bourgogne</v>
      </c>
    </row>
    <row r="1091" spans="1:11">
      <c r="A1091" s="2">
        <v>10662</v>
      </c>
      <c r="B1091" s="2">
        <v>68</v>
      </c>
      <c r="C1091" s="2">
        <v>12.5</v>
      </c>
      <c r="D1091" s="2">
        <v>10</v>
      </c>
      <c r="E1091" s="4">
        <v>0</v>
      </c>
      <c r="F1091" s="1" t="str">
        <f>_xlfn.XLOOKUP(A1091,Orders!A:A,Orders!B:B,"not found")</f>
        <v>LONEP</v>
      </c>
      <c r="G1091" s="13">
        <f>_xlfn.XLOOKUP(OrderDetails[[#This Row],[OrderID]],Orders!A:A,Orders!C:C,"Not Found")</f>
        <v>35682</v>
      </c>
      <c r="H1091" s="16">
        <f>(OrderDetails[[#This Row],[UnitPrice]]*OrderDetails[[#This Row],[Quantity]])*(1-OrderDetails[[#This Row],[Discount]])</f>
        <v>125</v>
      </c>
      <c r="I1091" s="15" t="str">
        <f>_xlfn.XLOOKUP(OrderDetails[[#This Row],[ProductID]],Product!A:A,Product!G:G,"Not Found")</f>
        <v>Confections</v>
      </c>
      <c r="J1091" s="15" t="str">
        <f>LOOKUP(MONTH(G1091),{1,4,7,10},{"Winter","Spring","Summer","Autumn"})</f>
        <v>Summer</v>
      </c>
      <c r="K1091" s="15" t="str">
        <f>_xlfn.XLOOKUP(OrderDetails[[#This Row],[ProductID]],Product!A:A,Product!B:B,"Not Found")</f>
        <v>Scottish Longbreads</v>
      </c>
    </row>
    <row r="1092" spans="1:11">
      <c r="A1092" s="1">
        <v>10663</v>
      </c>
      <c r="B1092" s="1">
        <v>40</v>
      </c>
      <c r="C1092" s="1">
        <v>18.399999999999999</v>
      </c>
      <c r="D1092" s="1">
        <v>30</v>
      </c>
      <c r="E1092" s="3">
        <v>5.000000074505806E-2</v>
      </c>
      <c r="F1092" s="1" t="str">
        <f>_xlfn.XLOOKUP(A1092,Orders!A:A,Orders!B:B,"not found")</f>
        <v>BONAP</v>
      </c>
      <c r="G1092" s="13">
        <f>_xlfn.XLOOKUP(OrderDetails[[#This Row],[OrderID]],Orders!A:A,Orders!C:C,"Not Found")</f>
        <v>35683</v>
      </c>
      <c r="H1092" s="16">
        <f>(OrderDetails[[#This Row],[UnitPrice]]*OrderDetails[[#This Row],[Quantity]])*(1-OrderDetails[[#This Row],[Discount]])</f>
        <v>524.39999958872795</v>
      </c>
      <c r="I1092" s="15" t="str">
        <f>_xlfn.XLOOKUP(OrderDetails[[#This Row],[ProductID]],Product!A:A,Product!G:G,"Not Found")</f>
        <v>Seafood</v>
      </c>
      <c r="J1092" s="15" t="str">
        <f>LOOKUP(MONTH(G1092),{1,4,7,10},{"Winter","Spring","Summer","Autumn"})</f>
        <v>Summer</v>
      </c>
      <c r="K1092" s="15" t="str">
        <f>_xlfn.XLOOKUP(OrderDetails[[#This Row],[ProductID]],Product!A:A,Product!B:B,"Not Found")</f>
        <v>Boston Crab Meat</v>
      </c>
    </row>
    <row r="1093" spans="1:11">
      <c r="A1093" s="2">
        <v>10663</v>
      </c>
      <c r="B1093" s="2">
        <v>42</v>
      </c>
      <c r="C1093" s="2">
        <v>14</v>
      </c>
      <c r="D1093" s="2">
        <v>30</v>
      </c>
      <c r="E1093" s="4">
        <v>5.000000074505806E-2</v>
      </c>
      <c r="F1093" s="1" t="str">
        <f>_xlfn.XLOOKUP(A1093,Orders!A:A,Orders!B:B,"not found")</f>
        <v>BONAP</v>
      </c>
      <c r="G1093" s="13">
        <f>_xlfn.XLOOKUP(OrderDetails[[#This Row],[OrderID]],Orders!A:A,Orders!C:C,"Not Found")</f>
        <v>35683</v>
      </c>
      <c r="H1093" s="16">
        <f>(OrderDetails[[#This Row],[UnitPrice]]*OrderDetails[[#This Row],[Quantity]])*(1-OrderDetails[[#This Row],[Discount]])</f>
        <v>398.99999968707561</v>
      </c>
      <c r="I1093" s="15" t="str">
        <f>_xlfn.XLOOKUP(OrderDetails[[#This Row],[ProductID]],Product!A:A,Product!G:G,"Not Found")</f>
        <v>Grains/Cereals</v>
      </c>
      <c r="J1093" s="15" t="str">
        <f>LOOKUP(MONTH(G1093),{1,4,7,10},{"Winter","Spring","Summer","Autumn"})</f>
        <v>Summer</v>
      </c>
      <c r="K1093" s="15" t="str">
        <f>_xlfn.XLOOKUP(OrderDetails[[#This Row],[ProductID]],Product!A:A,Product!B:B,"Not Found")</f>
        <v>Singaporean Hokkien Fried Mee</v>
      </c>
    </row>
    <row r="1094" spans="1:11">
      <c r="A1094" s="1">
        <v>10663</v>
      </c>
      <c r="B1094" s="1">
        <v>51</v>
      </c>
      <c r="C1094" s="1">
        <v>53</v>
      </c>
      <c r="D1094" s="1">
        <v>20</v>
      </c>
      <c r="E1094" s="3">
        <v>5.000000074505806E-2</v>
      </c>
      <c r="F1094" s="1" t="str">
        <f>_xlfn.XLOOKUP(A1094,Orders!A:A,Orders!B:B,"not found")</f>
        <v>BONAP</v>
      </c>
      <c r="G1094" s="13">
        <f>_xlfn.XLOOKUP(OrderDetails[[#This Row],[OrderID]],Orders!A:A,Orders!C:C,"Not Found")</f>
        <v>35683</v>
      </c>
      <c r="H1094" s="16">
        <f>(OrderDetails[[#This Row],[UnitPrice]]*OrderDetails[[#This Row],[Quantity]])*(1-OrderDetails[[#This Row],[Discount]])</f>
        <v>1006.9999992102385</v>
      </c>
      <c r="I1094" s="15" t="str">
        <f>_xlfn.XLOOKUP(OrderDetails[[#This Row],[ProductID]],Product!A:A,Product!G:G,"Not Found")</f>
        <v>Produce</v>
      </c>
      <c r="J1094" s="15" t="str">
        <f>LOOKUP(MONTH(G1094),{1,4,7,10},{"Winter","Spring","Summer","Autumn"})</f>
        <v>Summer</v>
      </c>
      <c r="K1094" s="15" t="str">
        <f>_xlfn.XLOOKUP(OrderDetails[[#This Row],[ProductID]],Product!A:A,Product!B:B,"Not Found")</f>
        <v>Manjimup Dried Apples</v>
      </c>
    </row>
    <row r="1095" spans="1:11">
      <c r="A1095" s="2">
        <v>10664</v>
      </c>
      <c r="B1095" s="2">
        <v>10</v>
      </c>
      <c r="C1095" s="2">
        <v>31</v>
      </c>
      <c r="D1095" s="2">
        <v>24</v>
      </c>
      <c r="E1095" s="4">
        <v>0.15000000596046448</v>
      </c>
      <c r="F1095" s="1" t="str">
        <f>_xlfn.XLOOKUP(A1095,Orders!A:A,Orders!B:B,"not found")</f>
        <v>FURIB</v>
      </c>
      <c r="G1095" s="13">
        <f>_xlfn.XLOOKUP(OrderDetails[[#This Row],[OrderID]],Orders!A:A,Orders!C:C,"Not Found")</f>
        <v>35683</v>
      </c>
      <c r="H1095" s="16">
        <f>(OrderDetails[[#This Row],[UnitPrice]]*OrderDetails[[#This Row],[Quantity]])*(1-OrderDetails[[#This Row],[Discount]])</f>
        <v>632.39999556541443</v>
      </c>
      <c r="I1095" s="15" t="str">
        <f>_xlfn.XLOOKUP(OrderDetails[[#This Row],[ProductID]],Product!A:A,Product!G:G,"Not Found")</f>
        <v>Seafood</v>
      </c>
      <c r="J1095" s="15" t="str">
        <f>LOOKUP(MONTH(G1095),{1,4,7,10},{"Winter","Spring","Summer","Autumn"})</f>
        <v>Summer</v>
      </c>
      <c r="K1095" s="15" t="str">
        <f>_xlfn.XLOOKUP(OrderDetails[[#This Row],[ProductID]],Product!A:A,Product!B:B,"Not Found")</f>
        <v>Ikura</v>
      </c>
    </row>
    <row r="1096" spans="1:11">
      <c r="A1096" s="1">
        <v>10664</v>
      </c>
      <c r="B1096" s="1">
        <v>56</v>
      </c>
      <c r="C1096" s="1">
        <v>38</v>
      </c>
      <c r="D1096" s="1">
        <v>12</v>
      </c>
      <c r="E1096" s="3">
        <v>0.15000000596046448</v>
      </c>
      <c r="F1096" s="1" t="str">
        <f>_xlfn.XLOOKUP(A1096,Orders!A:A,Orders!B:B,"not found")</f>
        <v>FURIB</v>
      </c>
      <c r="G1096" s="13">
        <f>_xlfn.XLOOKUP(OrderDetails[[#This Row],[OrderID]],Orders!A:A,Orders!C:C,"Not Found")</f>
        <v>35683</v>
      </c>
      <c r="H1096" s="16">
        <f>(OrderDetails[[#This Row],[UnitPrice]]*OrderDetails[[#This Row],[Quantity]])*(1-OrderDetails[[#This Row],[Discount]])</f>
        <v>387.5999972820282</v>
      </c>
      <c r="I1096" s="15" t="str">
        <f>_xlfn.XLOOKUP(OrderDetails[[#This Row],[ProductID]],Product!A:A,Product!G:G,"Not Found")</f>
        <v>Grains/Cereals</v>
      </c>
      <c r="J1096" s="15" t="str">
        <f>LOOKUP(MONTH(G1096),{1,4,7,10},{"Winter","Spring","Summer","Autumn"})</f>
        <v>Summer</v>
      </c>
      <c r="K1096" s="15" t="str">
        <f>_xlfn.XLOOKUP(OrderDetails[[#This Row],[ProductID]],Product!A:A,Product!B:B,"Not Found")</f>
        <v>Gnocchi di nonna Alice</v>
      </c>
    </row>
    <row r="1097" spans="1:11">
      <c r="A1097" s="2">
        <v>10664</v>
      </c>
      <c r="B1097" s="2">
        <v>65</v>
      </c>
      <c r="C1097" s="2">
        <v>21.05</v>
      </c>
      <c r="D1097" s="2">
        <v>15</v>
      </c>
      <c r="E1097" s="4">
        <v>0.15000000596046448</v>
      </c>
      <c r="F1097" s="1" t="str">
        <f>_xlfn.XLOOKUP(A1097,Orders!A:A,Orders!B:B,"not found")</f>
        <v>FURIB</v>
      </c>
      <c r="G1097" s="13">
        <f>_xlfn.XLOOKUP(OrderDetails[[#This Row],[OrderID]],Orders!A:A,Orders!C:C,"Not Found")</f>
        <v>35683</v>
      </c>
      <c r="H1097" s="16">
        <f>(OrderDetails[[#This Row],[UnitPrice]]*OrderDetails[[#This Row],[Quantity]])*(1-OrderDetails[[#This Row],[Discount]])</f>
        <v>268.38749811798334</v>
      </c>
      <c r="I1097" s="15" t="str">
        <f>_xlfn.XLOOKUP(OrderDetails[[#This Row],[ProductID]],Product!A:A,Product!G:G,"Not Found")</f>
        <v>Condiments</v>
      </c>
      <c r="J1097" s="15" t="str">
        <f>LOOKUP(MONTH(G1097),{1,4,7,10},{"Winter","Spring","Summer","Autumn"})</f>
        <v>Summer</v>
      </c>
      <c r="K1097" s="15" t="str">
        <f>_xlfn.XLOOKUP(OrderDetails[[#This Row],[ProductID]],Product!A:A,Product!B:B,"Not Found")</f>
        <v>Louisiana Fiery Hot Pepper Sauce</v>
      </c>
    </row>
    <row r="1098" spans="1:11">
      <c r="A1098" s="1">
        <v>10665</v>
      </c>
      <c r="B1098" s="1">
        <v>51</v>
      </c>
      <c r="C1098" s="1">
        <v>53</v>
      </c>
      <c r="D1098" s="1">
        <v>20</v>
      </c>
      <c r="E1098" s="3">
        <v>0</v>
      </c>
      <c r="F1098" s="1" t="str">
        <f>_xlfn.XLOOKUP(A1098,Orders!A:A,Orders!B:B,"not found")</f>
        <v>LONEP</v>
      </c>
      <c r="G1098" s="13">
        <f>_xlfn.XLOOKUP(OrderDetails[[#This Row],[OrderID]],Orders!A:A,Orders!C:C,"Not Found")</f>
        <v>35684</v>
      </c>
      <c r="H1098" s="16">
        <f>(OrderDetails[[#This Row],[UnitPrice]]*OrderDetails[[#This Row],[Quantity]])*(1-OrderDetails[[#This Row],[Discount]])</f>
        <v>1060</v>
      </c>
      <c r="I1098" s="15" t="str">
        <f>_xlfn.XLOOKUP(OrderDetails[[#This Row],[ProductID]],Product!A:A,Product!G:G,"Not Found")</f>
        <v>Produce</v>
      </c>
      <c r="J1098" s="15" t="str">
        <f>LOOKUP(MONTH(G1098),{1,4,7,10},{"Winter","Spring","Summer","Autumn"})</f>
        <v>Summer</v>
      </c>
      <c r="K1098" s="15" t="str">
        <f>_xlfn.XLOOKUP(OrderDetails[[#This Row],[ProductID]],Product!A:A,Product!B:B,"Not Found")</f>
        <v>Manjimup Dried Apples</v>
      </c>
    </row>
    <row r="1099" spans="1:11">
      <c r="A1099" s="2">
        <v>10665</v>
      </c>
      <c r="B1099" s="2">
        <v>59</v>
      </c>
      <c r="C1099" s="2">
        <v>55</v>
      </c>
      <c r="D1099" s="2">
        <v>1</v>
      </c>
      <c r="E1099" s="4">
        <v>0</v>
      </c>
      <c r="F1099" s="1" t="str">
        <f>_xlfn.XLOOKUP(A1099,Orders!A:A,Orders!B:B,"not found")</f>
        <v>LONEP</v>
      </c>
      <c r="G1099" s="13">
        <f>_xlfn.XLOOKUP(OrderDetails[[#This Row],[OrderID]],Orders!A:A,Orders!C:C,"Not Found")</f>
        <v>35684</v>
      </c>
      <c r="H1099" s="16">
        <f>(OrderDetails[[#This Row],[UnitPrice]]*OrderDetails[[#This Row],[Quantity]])*(1-OrderDetails[[#This Row],[Discount]])</f>
        <v>55</v>
      </c>
      <c r="I1099" s="15" t="str">
        <f>_xlfn.XLOOKUP(OrderDetails[[#This Row],[ProductID]],Product!A:A,Product!G:G,"Not Found")</f>
        <v>Dairy Products</v>
      </c>
      <c r="J1099" s="15" t="str">
        <f>LOOKUP(MONTH(G1099),{1,4,7,10},{"Winter","Spring","Summer","Autumn"})</f>
        <v>Summer</v>
      </c>
      <c r="K1099" s="15" t="str">
        <f>_xlfn.XLOOKUP(OrderDetails[[#This Row],[ProductID]],Product!A:A,Product!B:B,"Not Found")</f>
        <v>Raclette Courdavault</v>
      </c>
    </row>
    <row r="1100" spans="1:11">
      <c r="A1100" s="1">
        <v>10665</v>
      </c>
      <c r="B1100" s="1">
        <v>76</v>
      </c>
      <c r="C1100" s="1">
        <v>18</v>
      </c>
      <c r="D1100" s="1">
        <v>10</v>
      </c>
      <c r="E1100" s="3">
        <v>0</v>
      </c>
      <c r="F1100" s="1" t="str">
        <f>_xlfn.XLOOKUP(A1100,Orders!A:A,Orders!B:B,"not found")</f>
        <v>LONEP</v>
      </c>
      <c r="G1100" s="13">
        <f>_xlfn.XLOOKUP(OrderDetails[[#This Row],[OrderID]],Orders!A:A,Orders!C:C,"Not Found")</f>
        <v>35684</v>
      </c>
      <c r="H1100" s="16">
        <f>(OrderDetails[[#This Row],[UnitPrice]]*OrderDetails[[#This Row],[Quantity]])*(1-OrderDetails[[#This Row],[Discount]])</f>
        <v>180</v>
      </c>
      <c r="I1100" s="15" t="str">
        <f>_xlfn.XLOOKUP(OrderDetails[[#This Row],[ProductID]],Product!A:A,Product!G:G,"Not Found")</f>
        <v>Beverages</v>
      </c>
      <c r="J1100" s="15" t="str">
        <f>LOOKUP(MONTH(G1100),{1,4,7,10},{"Winter","Spring","Summer","Autumn"})</f>
        <v>Summer</v>
      </c>
      <c r="K1100" s="15" t="str">
        <f>_xlfn.XLOOKUP(OrderDetails[[#This Row],[ProductID]],Product!A:A,Product!B:B,"Not Found")</f>
        <v>Lakkalikööri</v>
      </c>
    </row>
    <row r="1101" spans="1:11">
      <c r="A1101" s="2">
        <v>10666</v>
      </c>
      <c r="B1101" s="2">
        <v>29</v>
      </c>
      <c r="C1101" s="2">
        <v>123.79</v>
      </c>
      <c r="D1101" s="2">
        <v>36</v>
      </c>
      <c r="E1101" s="4">
        <v>0</v>
      </c>
      <c r="F1101" s="1" t="str">
        <f>_xlfn.XLOOKUP(A1101,Orders!A:A,Orders!B:B,"not found")</f>
        <v>RICSU</v>
      </c>
      <c r="G1101" s="13">
        <f>_xlfn.XLOOKUP(OrderDetails[[#This Row],[OrderID]],Orders!A:A,Orders!C:C,"Not Found")</f>
        <v>35685</v>
      </c>
      <c r="H1101" s="16">
        <f>(OrderDetails[[#This Row],[UnitPrice]]*OrderDetails[[#This Row],[Quantity]])*(1-OrderDetails[[#This Row],[Discount]])</f>
        <v>4456.4400000000005</v>
      </c>
      <c r="I1101" s="15" t="str">
        <f>_xlfn.XLOOKUP(OrderDetails[[#This Row],[ProductID]],Product!A:A,Product!G:G,"Not Found")</f>
        <v>Meat/Poultry</v>
      </c>
      <c r="J1101" s="15" t="str">
        <f>LOOKUP(MONTH(G1101),{1,4,7,10},{"Winter","Spring","Summer","Autumn"})</f>
        <v>Summer</v>
      </c>
      <c r="K1101" s="15" t="str">
        <f>_xlfn.XLOOKUP(OrderDetails[[#This Row],[ProductID]],Product!A:A,Product!B:B,"Not Found")</f>
        <v>Thüringer Rostbratwurst</v>
      </c>
    </row>
    <row r="1102" spans="1:11">
      <c r="A1102" s="1">
        <v>10666</v>
      </c>
      <c r="B1102" s="1">
        <v>65</v>
      </c>
      <c r="C1102" s="1">
        <v>21.05</v>
      </c>
      <c r="D1102" s="1">
        <v>10</v>
      </c>
      <c r="E1102" s="3">
        <v>0</v>
      </c>
      <c r="F1102" s="1" t="str">
        <f>_xlfn.XLOOKUP(A1102,Orders!A:A,Orders!B:B,"not found")</f>
        <v>RICSU</v>
      </c>
      <c r="G1102" s="13">
        <f>_xlfn.XLOOKUP(OrderDetails[[#This Row],[OrderID]],Orders!A:A,Orders!C:C,"Not Found")</f>
        <v>35685</v>
      </c>
      <c r="H1102" s="16">
        <f>(OrderDetails[[#This Row],[UnitPrice]]*OrderDetails[[#This Row],[Quantity]])*(1-OrderDetails[[#This Row],[Discount]])</f>
        <v>210.5</v>
      </c>
      <c r="I1102" s="15" t="str">
        <f>_xlfn.XLOOKUP(OrderDetails[[#This Row],[ProductID]],Product!A:A,Product!G:G,"Not Found")</f>
        <v>Condiments</v>
      </c>
      <c r="J1102" s="15" t="str">
        <f>LOOKUP(MONTH(G1102),{1,4,7,10},{"Winter","Spring","Summer","Autumn"})</f>
        <v>Summer</v>
      </c>
      <c r="K1102" s="15" t="str">
        <f>_xlfn.XLOOKUP(OrderDetails[[#This Row],[ProductID]],Product!A:A,Product!B:B,"Not Found")</f>
        <v>Louisiana Fiery Hot Pepper Sauce</v>
      </c>
    </row>
    <row r="1103" spans="1:11">
      <c r="A1103" s="2">
        <v>10667</v>
      </c>
      <c r="B1103" s="2">
        <v>69</v>
      </c>
      <c r="C1103" s="2">
        <v>36</v>
      </c>
      <c r="D1103" s="2">
        <v>45</v>
      </c>
      <c r="E1103" s="4">
        <v>0.20000000298023224</v>
      </c>
      <c r="F1103" s="1" t="str">
        <f>_xlfn.XLOOKUP(A1103,Orders!A:A,Orders!B:B,"not found")</f>
        <v>ERNSH</v>
      </c>
      <c r="G1103" s="13">
        <f>_xlfn.XLOOKUP(OrderDetails[[#This Row],[OrderID]],Orders!A:A,Orders!C:C,"Not Found")</f>
        <v>35685</v>
      </c>
      <c r="H1103" s="16">
        <f>(OrderDetails[[#This Row],[UnitPrice]]*OrderDetails[[#This Row],[Quantity]])*(1-OrderDetails[[#This Row],[Discount]])</f>
        <v>1295.9999951720238</v>
      </c>
      <c r="I1103" s="15" t="str">
        <f>_xlfn.XLOOKUP(OrderDetails[[#This Row],[ProductID]],Product!A:A,Product!G:G,"Not Found")</f>
        <v>Dairy Products</v>
      </c>
      <c r="J1103" s="15" t="str">
        <f>LOOKUP(MONTH(G1103),{1,4,7,10},{"Winter","Spring","Summer","Autumn"})</f>
        <v>Summer</v>
      </c>
      <c r="K1103" s="15" t="str">
        <f>_xlfn.XLOOKUP(OrderDetails[[#This Row],[ProductID]],Product!A:A,Product!B:B,"Not Found")</f>
        <v>Gudbrandsdalsost</v>
      </c>
    </row>
    <row r="1104" spans="1:11">
      <c r="A1104" s="1">
        <v>10667</v>
      </c>
      <c r="B1104" s="1">
        <v>71</v>
      </c>
      <c r="C1104" s="1">
        <v>21.5</v>
      </c>
      <c r="D1104" s="1">
        <v>14</v>
      </c>
      <c r="E1104" s="3">
        <v>0.20000000298023224</v>
      </c>
      <c r="F1104" s="1" t="str">
        <f>_xlfn.XLOOKUP(A1104,Orders!A:A,Orders!B:B,"not found")</f>
        <v>ERNSH</v>
      </c>
      <c r="G1104" s="13">
        <f>_xlfn.XLOOKUP(OrderDetails[[#This Row],[OrderID]],Orders!A:A,Orders!C:C,"Not Found")</f>
        <v>35685</v>
      </c>
      <c r="H1104" s="16">
        <f>(OrderDetails[[#This Row],[UnitPrice]]*OrderDetails[[#This Row],[Quantity]])*(1-OrderDetails[[#This Row],[Discount]])</f>
        <v>240.7999991029501</v>
      </c>
      <c r="I1104" s="15" t="str">
        <f>_xlfn.XLOOKUP(OrderDetails[[#This Row],[ProductID]],Product!A:A,Product!G:G,"Not Found")</f>
        <v>Dairy Products</v>
      </c>
      <c r="J1104" s="15" t="str">
        <f>LOOKUP(MONTH(G1104),{1,4,7,10},{"Winter","Spring","Summer","Autumn"})</f>
        <v>Summer</v>
      </c>
      <c r="K1104" s="15" t="str">
        <f>_xlfn.XLOOKUP(OrderDetails[[#This Row],[ProductID]],Product!A:A,Product!B:B,"Not Found")</f>
        <v>Flotemysost</v>
      </c>
    </row>
    <row r="1105" spans="1:11">
      <c r="A1105" s="2">
        <v>10668</v>
      </c>
      <c r="B1105" s="2">
        <v>31</v>
      </c>
      <c r="C1105" s="2">
        <v>12.5</v>
      </c>
      <c r="D1105" s="2">
        <v>8</v>
      </c>
      <c r="E1105" s="4">
        <v>0.10000000149011612</v>
      </c>
      <c r="F1105" s="1" t="str">
        <f>_xlfn.XLOOKUP(A1105,Orders!A:A,Orders!B:B,"not found")</f>
        <v>WANDK</v>
      </c>
      <c r="G1105" s="13">
        <f>_xlfn.XLOOKUP(OrderDetails[[#This Row],[OrderID]],Orders!A:A,Orders!C:C,"Not Found")</f>
        <v>35688</v>
      </c>
      <c r="H1105" s="16">
        <f>(OrderDetails[[#This Row],[UnitPrice]]*OrderDetails[[#This Row],[Quantity]])*(1-OrderDetails[[#This Row],[Discount]])</f>
        <v>89.999999850988388</v>
      </c>
      <c r="I1105" s="15" t="str">
        <f>_xlfn.XLOOKUP(OrderDetails[[#This Row],[ProductID]],Product!A:A,Product!G:G,"Not Found")</f>
        <v>Dairy Products</v>
      </c>
      <c r="J1105" s="15" t="str">
        <f>LOOKUP(MONTH(G1105),{1,4,7,10},{"Winter","Spring","Summer","Autumn"})</f>
        <v>Summer</v>
      </c>
      <c r="K1105" s="15" t="str">
        <f>_xlfn.XLOOKUP(OrderDetails[[#This Row],[ProductID]],Product!A:A,Product!B:B,"Not Found")</f>
        <v>Gorgonzola Telino</v>
      </c>
    </row>
    <row r="1106" spans="1:11">
      <c r="A1106" s="1">
        <v>10668</v>
      </c>
      <c r="B1106" s="1">
        <v>55</v>
      </c>
      <c r="C1106" s="1">
        <v>24</v>
      </c>
      <c r="D1106" s="1">
        <v>4</v>
      </c>
      <c r="E1106" s="3">
        <v>0.10000000149011612</v>
      </c>
      <c r="F1106" s="1" t="str">
        <f>_xlfn.XLOOKUP(A1106,Orders!A:A,Orders!B:B,"not found")</f>
        <v>WANDK</v>
      </c>
      <c r="G1106" s="13">
        <f>_xlfn.XLOOKUP(OrderDetails[[#This Row],[OrderID]],Orders!A:A,Orders!C:C,"Not Found")</f>
        <v>35688</v>
      </c>
      <c r="H1106" s="16">
        <f>(OrderDetails[[#This Row],[UnitPrice]]*OrderDetails[[#This Row],[Quantity]])*(1-OrderDetails[[#This Row],[Discount]])</f>
        <v>86.399999856948853</v>
      </c>
      <c r="I1106" s="15" t="str">
        <f>_xlfn.XLOOKUP(OrderDetails[[#This Row],[ProductID]],Product!A:A,Product!G:G,"Not Found")</f>
        <v>Meat/Poultry</v>
      </c>
      <c r="J1106" s="15" t="str">
        <f>LOOKUP(MONTH(G1106),{1,4,7,10},{"Winter","Spring","Summer","Autumn"})</f>
        <v>Summer</v>
      </c>
      <c r="K1106" s="15" t="str">
        <f>_xlfn.XLOOKUP(OrderDetails[[#This Row],[ProductID]],Product!A:A,Product!B:B,"Not Found")</f>
        <v>Pâté chinois</v>
      </c>
    </row>
    <row r="1107" spans="1:11">
      <c r="A1107" s="2">
        <v>10668</v>
      </c>
      <c r="B1107" s="2">
        <v>64</v>
      </c>
      <c r="C1107" s="2">
        <v>33.25</v>
      </c>
      <c r="D1107" s="2">
        <v>15</v>
      </c>
      <c r="E1107" s="4">
        <v>0.10000000149011612</v>
      </c>
      <c r="F1107" s="1" t="str">
        <f>_xlfn.XLOOKUP(A1107,Orders!A:A,Orders!B:B,"not found")</f>
        <v>WANDK</v>
      </c>
      <c r="G1107" s="13">
        <f>_xlfn.XLOOKUP(OrderDetails[[#This Row],[OrderID]],Orders!A:A,Orders!C:C,"Not Found")</f>
        <v>35688</v>
      </c>
      <c r="H1107" s="16">
        <f>(OrderDetails[[#This Row],[UnitPrice]]*OrderDetails[[#This Row],[Quantity]])*(1-OrderDetails[[#This Row],[Discount]])</f>
        <v>448.87499925680459</v>
      </c>
      <c r="I1107" s="15" t="str">
        <f>_xlfn.XLOOKUP(OrderDetails[[#This Row],[ProductID]],Product!A:A,Product!G:G,"Not Found")</f>
        <v>Grains/Cereals</v>
      </c>
      <c r="J1107" s="15" t="str">
        <f>LOOKUP(MONTH(G1107),{1,4,7,10},{"Winter","Spring","Summer","Autumn"})</f>
        <v>Summer</v>
      </c>
      <c r="K1107" s="15" t="str">
        <f>_xlfn.XLOOKUP(OrderDetails[[#This Row],[ProductID]],Product!A:A,Product!B:B,"Not Found")</f>
        <v>Wimmers gute Semmelknödel</v>
      </c>
    </row>
    <row r="1108" spans="1:11">
      <c r="A1108" s="1">
        <v>10669</v>
      </c>
      <c r="B1108" s="1">
        <v>36</v>
      </c>
      <c r="C1108" s="1">
        <v>19</v>
      </c>
      <c r="D1108" s="1">
        <v>30</v>
      </c>
      <c r="E1108" s="3">
        <v>0</v>
      </c>
      <c r="F1108" s="1" t="str">
        <f>_xlfn.XLOOKUP(A1108,Orders!A:A,Orders!B:B,"not found")</f>
        <v>SIMOB</v>
      </c>
      <c r="G1108" s="13">
        <f>_xlfn.XLOOKUP(OrderDetails[[#This Row],[OrderID]],Orders!A:A,Orders!C:C,"Not Found")</f>
        <v>35688</v>
      </c>
      <c r="H1108" s="16">
        <f>(OrderDetails[[#This Row],[UnitPrice]]*OrderDetails[[#This Row],[Quantity]])*(1-OrderDetails[[#This Row],[Discount]])</f>
        <v>570</v>
      </c>
      <c r="I1108" s="15" t="str">
        <f>_xlfn.XLOOKUP(OrderDetails[[#This Row],[ProductID]],Product!A:A,Product!G:G,"Not Found")</f>
        <v>Seafood</v>
      </c>
      <c r="J1108" s="15" t="str">
        <f>LOOKUP(MONTH(G1108),{1,4,7,10},{"Winter","Spring","Summer","Autumn"})</f>
        <v>Summer</v>
      </c>
      <c r="K1108" s="15" t="str">
        <f>_xlfn.XLOOKUP(OrderDetails[[#This Row],[ProductID]],Product!A:A,Product!B:B,"Not Found")</f>
        <v>Inlagd Sill</v>
      </c>
    </row>
    <row r="1109" spans="1:11">
      <c r="A1109" s="2">
        <v>10670</v>
      </c>
      <c r="B1109" s="2">
        <v>23</v>
      </c>
      <c r="C1109" s="2">
        <v>9</v>
      </c>
      <c r="D1109" s="2">
        <v>32</v>
      </c>
      <c r="E1109" s="4">
        <v>0</v>
      </c>
      <c r="F1109" s="1" t="str">
        <f>_xlfn.XLOOKUP(A1109,Orders!A:A,Orders!B:B,"not found")</f>
        <v>FRANK</v>
      </c>
      <c r="G1109" s="13">
        <f>_xlfn.XLOOKUP(OrderDetails[[#This Row],[OrderID]],Orders!A:A,Orders!C:C,"Not Found")</f>
        <v>35689</v>
      </c>
      <c r="H1109" s="16">
        <f>(OrderDetails[[#This Row],[UnitPrice]]*OrderDetails[[#This Row],[Quantity]])*(1-OrderDetails[[#This Row],[Discount]])</f>
        <v>288</v>
      </c>
      <c r="I1109" s="15" t="str">
        <f>_xlfn.XLOOKUP(OrderDetails[[#This Row],[ProductID]],Product!A:A,Product!G:G,"Not Found")</f>
        <v>Grains/Cereals</v>
      </c>
      <c r="J1109" s="15" t="str">
        <f>LOOKUP(MONTH(G1109),{1,4,7,10},{"Winter","Spring","Summer","Autumn"})</f>
        <v>Summer</v>
      </c>
      <c r="K1109" s="15" t="str">
        <f>_xlfn.XLOOKUP(OrderDetails[[#This Row],[ProductID]],Product!A:A,Product!B:B,"Not Found")</f>
        <v>Tunnbröd</v>
      </c>
    </row>
    <row r="1110" spans="1:11">
      <c r="A1110" s="1">
        <v>10670</v>
      </c>
      <c r="B1110" s="1">
        <v>46</v>
      </c>
      <c r="C1110" s="1">
        <v>12</v>
      </c>
      <c r="D1110" s="1">
        <v>60</v>
      </c>
      <c r="E1110" s="3">
        <v>0</v>
      </c>
      <c r="F1110" s="1" t="str">
        <f>_xlfn.XLOOKUP(A1110,Orders!A:A,Orders!B:B,"not found")</f>
        <v>FRANK</v>
      </c>
      <c r="G1110" s="13">
        <f>_xlfn.XLOOKUP(OrderDetails[[#This Row],[OrderID]],Orders!A:A,Orders!C:C,"Not Found")</f>
        <v>35689</v>
      </c>
      <c r="H1110" s="16">
        <f>(OrderDetails[[#This Row],[UnitPrice]]*OrderDetails[[#This Row],[Quantity]])*(1-OrderDetails[[#This Row],[Discount]])</f>
        <v>720</v>
      </c>
      <c r="I1110" s="15" t="str">
        <f>_xlfn.XLOOKUP(OrderDetails[[#This Row],[ProductID]],Product!A:A,Product!G:G,"Not Found")</f>
        <v>Seafood</v>
      </c>
      <c r="J1110" s="15" t="str">
        <f>LOOKUP(MONTH(G1110),{1,4,7,10},{"Winter","Spring","Summer","Autumn"})</f>
        <v>Summer</v>
      </c>
      <c r="K1110" s="15" t="str">
        <f>_xlfn.XLOOKUP(OrderDetails[[#This Row],[ProductID]],Product!A:A,Product!B:B,"Not Found")</f>
        <v>Spegesild</v>
      </c>
    </row>
    <row r="1111" spans="1:11">
      <c r="A1111" s="2">
        <v>10670</v>
      </c>
      <c r="B1111" s="2">
        <v>67</v>
      </c>
      <c r="C1111" s="2">
        <v>14</v>
      </c>
      <c r="D1111" s="2">
        <v>25</v>
      </c>
      <c r="E1111" s="4">
        <v>0</v>
      </c>
      <c r="F1111" s="1" t="str">
        <f>_xlfn.XLOOKUP(A1111,Orders!A:A,Orders!B:B,"not found")</f>
        <v>FRANK</v>
      </c>
      <c r="G1111" s="13">
        <f>_xlfn.XLOOKUP(OrderDetails[[#This Row],[OrderID]],Orders!A:A,Orders!C:C,"Not Found")</f>
        <v>35689</v>
      </c>
      <c r="H1111" s="16">
        <f>(OrderDetails[[#This Row],[UnitPrice]]*OrderDetails[[#This Row],[Quantity]])*(1-OrderDetails[[#This Row],[Discount]])</f>
        <v>350</v>
      </c>
      <c r="I1111" s="15" t="str">
        <f>_xlfn.XLOOKUP(OrderDetails[[#This Row],[ProductID]],Product!A:A,Product!G:G,"Not Found")</f>
        <v>Beverages</v>
      </c>
      <c r="J1111" s="15" t="str">
        <f>LOOKUP(MONTH(G1111),{1,4,7,10},{"Winter","Spring","Summer","Autumn"})</f>
        <v>Summer</v>
      </c>
      <c r="K1111" s="15" t="str">
        <f>_xlfn.XLOOKUP(OrderDetails[[#This Row],[ProductID]],Product!A:A,Product!B:B,"Not Found")</f>
        <v>Laughing Lumberjack Lager</v>
      </c>
    </row>
    <row r="1112" spans="1:11">
      <c r="A1112" s="1">
        <v>10670</v>
      </c>
      <c r="B1112" s="1">
        <v>73</v>
      </c>
      <c r="C1112" s="1">
        <v>15</v>
      </c>
      <c r="D1112" s="1">
        <v>50</v>
      </c>
      <c r="E1112" s="3">
        <v>0</v>
      </c>
      <c r="F1112" s="1" t="str">
        <f>_xlfn.XLOOKUP(A1112,Orders!A:A,Orders!B:B,"not found")</f>
        <v>FRANK</v>
      </c>
      <c r="G1112" s="13">
        <f>_xlfn.XLOOKUP(OrderDetails[[#This Row],[OrderID]],Orders!A:A,Orders!C:C,"Not Found")</f>
        <v>35689</v>
      </c>
      <c r="H1112" s="16">
        <f>(OrderDetails[[#This Row],[UnitPrice]]*OrderDetails[[#This Row],[Quantity]])*(1-OrderDetails[[#This Row],[Discount]])</f>
        <v>750</v>
      </c>
      <c r="I1112" s="15" t="str">
        <f>_xlfn.XLOOKUP(OrderDetails[[#This Row],[ProductID]],Product!A:A,Product!G:G,"Not Found")</f>
        <v>Seafood</v>
      </c>
      <c r="J1112" s="15" t="str">
        <f>LOOKUP(MONTH(G1112),{1,4,7,10},{"Winter","Spring","Summer","Autumn"})</f>
        <v>Summer</v>
      </c>
      <c r="K1112" s="15" t="str">
        <f>_xlfn.XLOOKUP(OrderDetails[[#This Row],[ProductID]],Product!A:A,Product!B:B,"Not Found")</f>
        <v>Röd Kaviar</v>
      </c>
    </row>
    <row r="1113" spans="1:11">
      <c r="A1113" s="2">
        <v>10670</v>
      </c>
      <c r="B1113" s="2">
        <v>75</v>
      </c>
      <c r="C1113" s="2">
        <v>7.75</v>
      </c>
      <c r="D1113" s="2">
        <v>25</v>
      </c>
      <c r="E1113" s="4">
        <v>0</v>
      </c>
      <c r="F1113" s="1" t="str">
        <f>_xlfn.XLOOKUP(A1113,Orders!A:A,Orders!B:B,"not found")</f>
        <v>FRANK</v>
      </c>
      <c r="G1113" s="13">
        <f>_xlfn.XLOOKUP(OrderDetails[[#This Row],[OrderID]],Orders!A:A,Orders!C:C,"Not Found")</f>
        <v>35689</v>
      </c>
      <c r="H1113" s="16">
        <f>(OrderDetails[[#This Row],[UnitPrice]]*OrderDetails[[#This Row],[Quantity]])*(1-OrderDetails[[#This Row],[Discount]])</f>
        <v>193.75</v>
      </c>
      <c r="I1113" s="15" t="str">
        <f>_xlfn.XLOOKUP(OrderDetails[[#This Row],[ProductID]],Product!A:A,Product!G:G,"Not Found")</f>
        <v>Beverages</v>
      </c>
      <c r="J1113" s="15" t="str">
        <f>LOOKUP(MONTH(G1113),{1,4,7,10},{"Winter","Spring","Summer","Autumn"})</f>
        <v>Summer</v>
      </c>
      <c r="K1113" s="15" t="str">
        <f>_xlfn.XLOOKUP(OrderDetails[[#This Row],[ProductID]],Product!A:A,Product!B:B,"Not Found")</f>
        <v>Rhönbräu Klosterbier</v>
      </c>
    </row>
    <row r="1114" spans="1:11">
      <c r="A1114" s="1">
        <v>10671</v>
      </c>
      <c r="B1114" s="1">
        <v>16</v>
      </c>
      <c r="C1114" s="1">
        <v>17.45</v>
      </c>
      <c r="D1114" s="1">
        <v>10</v>
      </c>
      <c r="E1114" s="3">
        <v>0</v>
      </c>
      <c r="F1114" s="1" t="str">
        <f>_xlfn.XLOOKUP(A1114,Orders!A:A,Orders!B:B,"not found")</f>
        <v>FRANR</v>
      </c>
      <c r="G1114" s="13">
        <f>_xlfn.XLOOKUP(OrderDetails[[#This Row],[OrderID]],Orders!A:A,Orders!C:C,"Not Found")</f>
        <v>35690</v>
      </c>
      <c r="H1114" s="16">
        <f>(OrderDetails[[#This Row],[UnitPrice]]*OrderDetails[[#This Row],[Quantity]])*(1-OrderDetails[[#This Row],[Discount]])</f>
        <v>174.5</v>
      </c>
      <c r="I1114" s="15" t="str">
        <f>_xlfn.XLOOKUP(OrderDetails[[#This Row],[ProductID]],Product!A:A,Product!G:G,"Not Found")</f>
        <v>Confections</v>
      </c>
      <c r="J1114" s="15" t="str">
        <f>LOOKUP(MONTH(G1114),{1,4,7,10},{"Winter","Spring","Summer","Autumn"})</f>
        <v>Summer</v>
      </c>
      <c r="K1114" s="15" t="str">
        <f>_xlfn.XLOOKUP(OrderDetails[[#This Row],[ProductID]],Product!A:A,Product!B:B,"Not Found")</f>
        <v>Pavlova</v>
      </c>
    </row>
    <row r="1115" spans="1:11">
      <c r="A1115" s="2">
        <v>10671</v>
      </c>
      <c r="B1115" s="2">
        <v>62</v>
      </c>
      <c r="C1115" s="2">
        <v>49.3</v>
      </c>
      <c r="D1115" s="2">
        <v>10</v>
      </c>
      <c r="E1115" s="4">
        <v>0</v>
      </c>
      <c r="F1115" s="1" t="str">
        <f>_xlfn.XLOOKUP(A1115,Orders!A:A,Orders!B:B,"not found")</f>
        <v>FRANR</v>
      </c>
      <c r="G1115" s="13">
        <f>_xlfn.XLOOKUP(OrderDetails[[#This Row],[OrderID]],Orders!A:A,Orders!C:C,"Not Found")</f>
        <v>35690</v>
      </c>
      <c r="H1115" s="16">
        <f>(OrderDetails[[#This Row],[UnitPrice]]*OrderDetails[[#This Row],[Quantity]])*(1-OrderDetails[[#This Row],[Discount]])</f>
        <v>493</v>
      </c>
      <c r="I1115" s="15" t="str">
        <f>_xlfn.XLOOKUP(OrderDetails[[#This Row],[ProductID]],Product!A:A,Product!G:G,"Not Found")</f>
        <v>Confections</v>
      </c>
      <c r="J1115" s="15" t="str">
        <f>LOOKUP(MONTH(G1115),{1,4,7,10},{"Winter","Spring","Summer","Autumn"})</f>
        <v>Summer</v>
      </c>
      <c r="K1115" s="15" t="str">
        <f>_xlfn.XLOOKUP(OrderDetails[[#This Row],[ProductID]],Product!A:A,Product!B:B,"Not Found")</f>
        <v>Tarte au sucre</v>
      </c>
    </row>
    <row r="1116" spans="1:11">
      <c r="A1116" s="1">
        <v>10671</v>
      </c>
      <c r="B1116" s="1">
        <v>65</v>
      </c>
      <c r="C1116" s="1">
        <v>21.05</v>
      </c>
      <c r="D1116" s="1">
        <v>12</v>
      </c>
      <c r="E1116" s="3">
        <v>0</v>
      </c>
      <c r="F1116" s="1" t="str">
        <f>_xlfn.XLOOKUP(A1116,Orders!A:A,Orders!B:B,"not found")</f>
        <v>FRANR</v>
      </c>
      <c r="G1116" s="13">
        <f>_xlfn.XLOOKUP(OrderDetails[[#This Row],[OrderID]],Orders!A:A,Orders!C:C,"Not Found")</f>
        <v>35690</v>
      </c>
      <c r="H1116" s="16">
        <f>(OrderDetails[[#This Row],[UnitPrice]]*OrderDetails[[#This Row],[Quantity]])*(1-OrderDetails[[#This Row],[Discount]])</f>
        <v>252.60000000000002</v>
      </c>
      <c r="I1116" s="15" t="str">
        <f>_xlfn.XLOOKUP(OrderDetails[[#This Row],[ProductID]],Product!A:A,Product!G:G,"Not Found")</f>
        <v>Condiments</v>
      </c>
      <c r="J1116" s="15" t="str">
        <f>LOOKUP(MONTH(G1116),{1,4,7,10},{"Winter","Spring","Summer","Autumn"})</f>
        <v>Summer</v>
      </c>
      <c r="K1116" s="15" t="str">
        <f>_xlfn.XLOOKUP(OrderDetails[[#This Row],[ProductID]],Product!A:A,Product!B:B,"Not Found")</f>
        <v>Louisiana Fiery Hot Pepper Sauce</v>
      </c>
    </row>
    <row r="1117" spans="1:11">
      <c r="A1117" s="2">
        <v>10672</v>
      </c>
      <c r="B1117" s="2">
        <v>38</v>
      </c>
      <c r="C1117" s="2">
        <v>263.5</v>
      </c>
      <c r="D1117" s="2">
        <v>15</v>
      </c>
      <c r="E1117" s="4">
        <v>0.10000000149011612</v>
      </c>
      <c r="F1117" s="1" t="str">
        <f>_xlfn.XLOOKUP(A1117,Orders!A:A,Orders!B:B,"not found")</f>
        <v>BERGS</v>
      </c>
      <c r="G1117" s="13">
        <f>_xlfn.XLOOKUP(OrderDetails[[#This Row],[OrderID]],Orders!A:A,Orders!C:C,"Not Found")</f>
        <v>35690</v>
      </c>
      <c r="H1117" s="16">
        <f>(OrderDetails[[#This Row],[UnitPrice]]*OrderDetails[[#This Row],[Quantity]])*(1-OrderDetails[[#This Row],[Discount]])</f>
        <v>3557.249994110316</v>
      </c>
      <c r="I1117" s="15" t="str">
        <f>_xlfn.XLOOKUP(OrderDetails[[#This Row],[ProductID]],Product!A:A,Product!G:G,"Not Found")</f>
        <v>Beverages</v>
      </c>
      <c r="J1117" s="15" t="str">
        <f>LOOKUP(MONTH(G1117),{1,4,7,10},{"Winter","Spring","Summer","Autumn"})</f>
        <v>Summer</v>
      </c>
      <c r="K1117" s="15" t="str">
        <f>_xlfn.XLOOKUP(OrderDetails[[#This Row],[ProductID]],Product!A:A,Product!B:B,"Not Found")</f>
        <v>Côte de Blaye</v>
      </c>
    </row>
    <row r="1118" spans="1:11">
      <c r="A1118" s="1">
        <v>10672</v>
      </c>
      <c r="B1118" s="1">
        <v>71</v>
      </c>
      <c r="C1118" s="1">
        <v>21.5</v>
      </c>
      <c r="D1118" s="1">
        <v>12</v>
      </c>
      <c r="E1118" s="3">
        <v>0</v>
      </c>
      <c r="F1118" s="1" t="str">
        <f>_xlfn.XLOOKUP(A1118,Orders!A:A,Orders!B:B,"not found")</f>
        <v>BERGS</v>
      </c>
      <c r="G1118" s="13">
        <f>_xlfn.XLOOKUP(OrderDetails[[#This Row],[OrderID]],Orders!A:A,Orders!C:C,"Not Found")</f>
        <v>35690</v>
      </c>
      <c r="H1118" s="16">
        <f>(OrderDetails[[#This Row],[UnitPrice]]*OrderDetails[[#This Row],[Quantity]])*(1-OrderDetails[[#This Row],[Discount]])</f>
        <v>258</v>
      </c>
      <c r="I1118" s="15" t="str">
        <f>_xlfn.XLOOKUP(OrderDetails[[#This Row],[ProductID]],Product!A:A,Product!G:G,"Not Found")</f>
        <v>Dairy Products</v>
      </c>
      <c r="J1118" s="15" t="str">
        <f>LOOKUP(MONTH(G1118),{1,4,7,10},{"Winter","Spring","Summer","Autumn"})</f>
        <v>Summer</v>
      </c>
      <c r="K1118" s="15" t="str">
        <f>_xlfn.XLOOKUP(OrderDetails[[#This Row],[ProductID]],Product!A:A,Product!B:B,"Not Found")</f>
        <v>Flotemysost</v>
      </c>
    </row>
    <row r="1119" spans="1:11">
      <c r="A1119" s="2">
        <v>10673</v>
      </c>
      <c r="B1119" s="2">
        <v>16</v>
      </c>
      <c r="C1119" s="2">
        <v>17.45</v>
      </c>
      <c r="D1119" s="2">
        <v>3</v>
      </c>
      <c r="E1119" s="4">
        <v>0</v>
      </c>
      <c r="F1119" s="1" t="str">
        <f>_xlfn.XLOOKUP(A1119,Orders!A:A,Orders!B:B,"not found")</f>
        <v>WILMK</v>
      </c>
      <c r="G1119" s="13">
        <f>_xlfn.XLOOKUP(OrderDetails[[#This Row],[OrderID]],Orders!A:A,Orders!C:C,"Not Found")</f>
        <v>35691</v>
      </c>
      <c r="H1119" s="16">
        <f>(OrderDetails[[#This Row],[UnitPrice]]*OrderDetails[[#This Row],[Quantity]])*(1-OrderDetails[[#This Row],[Discount]])</f>
        <v>52.349999999999994</v>
      </c>
      <c r="I1119" s="15" t="str">
        <f>_xlfn.XLOOKUP(OrderDetails[[#This Row],[ProductID]],Product!A:A,Product!G:G,"Not Found")</f>
        <v>Confections</v>
      </c>
      <c r="J1119" s="15" t="str">
        <f>LOOKUP(MONTH(G1119),{1,4,7,10},{"Winter","Spring","Summer","Autumn"})</f>
        <v>Summer</v>
      </c>
      <c r="K1119" s="15" t="str">
        <f>_xlfn.XLOOKUP(OrderDetails[[#This Row],[ProductID]],Product!A:A,Product!B:B,"Not Found")</f>
        <v>Pavlova</v>
      </c>
    </row>
    <row r="1120" spans="1:11">
      <c r="A1120" s="1">
        <v>10673</v>
      </c>
      <c r="B1120" s="1">
        <v>42</v>
      </c>
      <c r="C1120" s="1">
        <v>14</v>
      </c>
      <c r="D1120" s="1">
        <v>6</v>
      </c>
      <c r="E1120" s="3">
        <v>0</v>
      </c>
      <c r="F1120" s="1" t="str">
        <f>_xlfn.XLOOKUP(A1120,Orders!A:A,Orders!B:B,"not found")</f>
        <v>WILMK</v>
      </c>
      <c r="G1120" s="13">
        <f>_xlfn.XLOOKUP(OrderDetails[[#This Row],[OrderID]],Orders!A:A,Orders!C:C,"Not Found")</f>
        <v>35691</v>
      </c>
      <c r="H1120" s="16">
        <f>(OrderDetails[[#This Row],[UnitPrice]]*OrderDetails[[#This Row],[Quantity]])*(1-OrderDetails[[#This Row],[Discount]])</f>
        <v>84</v>
      </c>
      <c r="I1120" s="15" t="str">
        <f>_xlfn.XLOOKUP(OrderDetails[[#This Row],[ProductID]],Product!A:A,Product!G:G,"Not Found")</f>
        <v>Grains/Cereals</v>
      </c>
      <c r="J1120" s="15" t="str">
        <f>LOOKUP(MONTH(G1120),{1,4,7,10},{"Winter","Spring","Summer","Autumn"})</f>
        <v>Summer</v>
      </c>
      <c r="K1120" s="15" t="str">
        <f>_xlfn.XLOOKUP(OrderDetails[[#This Row],[ProductID]],Product!A:A,Product!B:B,"Not Found")</f>
        <v>Singaporean Hokkien Fried Mee</v>
      </c>
    </row>
    <row r="1121" spans="1:11">
      <c r="A1121" s="2">
        <v>10673</v>
      </c>
      <c r="B1121" s="2">
        <v>43</v>
      </c>
      <c r="C1121" s="2">
        <v>46</v>
      </c>
      <c r="D1121" s="2">
        <v>6</v>
      </c>
      <c r="E1121" s="4">
        <v>0</v>
      </c>
      <c r="F1121" s="1" t="str">
        <f>_xlfn.XLOOKUP(A1121,Orders!A:A,Orders!B:B,"not found")</f>
        <v>WILMK</v>
      </c>
      <c r="G1121" s="13">
        <f>_xlfn.XLOOKUP(OrderDetails[[#This Row],[OrderID]],Orders!A:A,Orders!C:C,"Not Found")</f>
        <v>35691</v>
      </c>
      <c r="H1121" s="16">
        <f>(OrderDetails[[#This Row],[UnitPrice]]*OrderDetails[[#This Row],[Quantity]])*(1-OrderDetails[[#This Row],[Discount]])</f>
        <v>276</v>
      </c>
      <c r="I1121" s="15" t="str">
        <f>_xlfn.XLOOKUP(OrderDetails[[#This Row],[ProductID]],Product!A:A,Product!G:G,"Not Found")</f>
        <v>Beverages</v>
      </c>
      <c r="J1121" s="15" t="str">
        <f>LOOKUP(MONTH(G1121),{1,4,7,10},{"Winter","Spring","Summer","Autumn"})</f>
        <v>Summer</v>
      </c>
      <c r="K1121" s="15" t="str">
        <f>_xlfn.XLOOKUP(OrderDetails[[#This Row],[ProductID]],Product!A:A,Product!B:B,"Not Found")</f>
        <v>Ipoh Coffee</v>
      </c>
    </row>
    <row r="1122" spans="1:11">
      <c r="A1122" s="1">
        <v>10674</v>
      </c>
      <c r="B1122" s="1">
        <v>23</v>
      </c>
      <c r="C1122" s="1">
        <v>9</v>
      </c>
      <c r="D1122" s="1">
        <v>5</v>
      </c>
      <c r="E1122" s="3">
        <v>0</v>
      </c>
      <c r="F1122" s="1" t="str">
        <f>_xlfn.XLOOKUP(A1122,Orders!A:A,Orders!B:B,"not found")</f>
        <v>ISLAT</v>
      </c>
      <c r="G1122" s="13">
        <f>_xlfn.XLOOKUP(OrderDetails[[#This Row],[OrderID]],Orders!A:A,Orders!C:C,"Not Found")</f>
        <v>35691</v>
      </c>
      <c r="H1122" s="16">
        <f>(OrderDetails[[#This Row],[UnitPrice]]*OrderDetails[[#This Row],[Quantity]])*(1-OrderDetails[[#This Row],[Discount]])</f>
        <v>45</v>
      </c>
      <c r="I1122" s="15" t="str">
        <f>_xlfn.XLOOKUP(OrderDetails[[#This Row],[ProductID]],Product!A:A,Product!G:G,"Not Found")</f>
        <v>Grains/Cereals</v>
      </c>
      <c r="J1122" s="15" t="str">
        <f>LOOKUP(MONTH(G1122),{1,4,7,10},{"Winter","Spring","Summer","Autumn"})</f>
        <v>Summer</v>
      </c>
      <c r="K1122" s="15" t="str">
        <f>_xlfn.XLOOKUP(OrderDetails[[#This Row],[ProductID]],Product!A:A,Product!B:B,"Not Found")</f>
        <v>Tunnbröd</v>
      </c>
    </row>
    <row r="1123" spans="1:11">
      <c r="A1123" s="2">
        <v>10675</v>
      </c>
      <c r="B1123" s="2">
        <v>14</v>
      </c>
      <c r="C1123" s="2">
        <v>23.25</v>
      </c>
      <c r="D1123" s="2">
        <v>30</v>
      </c>
      <c r="E1123" s="4">
        <v>0</v>
      </c>
      <c r="F1123" s="1" t="str">
        <f>_xlfn.XLOOKUP(A1123,Orders!A:A,Orders!B:B,"not found")</f>
        <v>FRANK</v>
      </c>
      <c r="G1123" s="13">
        <f>_xlfn.XLOOKUP(OrderDetails[[#This Row],[OrderID]],Orders!A:A,Orders!C:C,"Not Found")</f>
        <v>35692</v>
      </c>
      <c r="H1123" s="16">
        <f>(OrderDetails[[#This Row],[UnitPrice]]*OrderDetails[[#This Row],[Quantity]])*(1-OrderDetails[[#This Row],[Discount]])</f>
        <v>697.5</v>
      </c>
      <c r="I1123" s="15" t="str">
        <f>_xlfn.XLOOKUP(OrderDetails[[#This Row],[ProductID]],Product!A:A,Product!G:G,"Not Found")</f>
        <v>Produce</v>
      </c>
      <c r="J1123" s="15" t="str">
        <f>LOOKUP(MONTH(G1123),{1,4,7,10},{"Winter","Spring","Summer","Autumn"})</f>
        <v>Summer</v>
      </c>
      <c r="K1123" s="15" t="str">
        <f>_xlfn.XLOOKUP(OrderDetails[[#This Row],[ProductID]],Product!A:A,Product!B:B,"Not Found")</f>
        <v>Tofu</v>
      </c>
    </row>
    <row r="1124" spans="1:11">
      <c r="A1124" s="1">
        <v>10675</v>
      </c>
      <c r="B1124" s="1">
        <v>53</v>
      </c>
      <c r="C1124" s="1">
        <v>32.799999999999997</v>
      </c>
      <c r="D1124" s="1">
        <v>10</v>
      </c>
      <c r="E1124" s="3">
        <v>0</v>
      </c>
      <c r="F1124" s="1" t="str">
        <f>_xlfn.XLOOKUP(A1124,Orders!A:A,Orders!B:B,"not found")</f>
        <v>FRANK</v>
      </c>
      <c r="G1124" s="13">
        <f>_xlfn.XLOOKUP(OrderDetails[[#This Row],[OrderID]],Orders!A:A,Orders!C:C,"Not Found")</f>
        <v>35692</v>
      </c>
      <c r="H1124" s="16">
        <f>(OrderDetails[[#This Row],[UnitPrice]]*OrderDetails[[#This Row],[Quantity]])*(1-OrderDetails[[#This Row],[Discount]])</f>
        <v>328</v>
      </c>
      <c r="I1124" s="15" t="str">
        <f>_xlfn.XLOOKUP(OrderDetails[[#This Row],[ProductID]],Product!A:A,Product!G:G,"Not Found")</f>
        <v>Meat/Poultry</v>
      </c>
      <c r="J1124" s="15" t="str">
        <f>LOOKUP(MONTH(G1124),{1,4,7,10},{"Winter","Spring","Summer","Autumn"})</f>
        <v>Summer</v>
      </c>
      <c r="K1124" s="15" t="str">
        <f>_xlfn.XLOOKUP(OrderDetails[[#This Row],[ProductID]],Product!A:A,Product!B:B,"Not Found")</f>
        <v>Perth Pasties</v>
      </c>
    </row>
    <row r="1125" spans="1:11">
      <c r="A1125" s="2">
        <v>10675</v>
      </c>
      <c r="B1125" s="2">
        <v>58</v>
      </c>
      <c r="C1125" s="2">
        <v>13.25</v>
      </c>
      <c r="D1125" s="2">
        <v>30</v>
      </c>
      <c r="E1125" s="4">
        <v>0</v>
      </c>
      <c r="F1125" s="1" t="str">
        <f>_xlfn.XLOOKUP(A1125,Orders!A:A,Orders!B:B,"not found")</f>
        <v>FRANK</v>
      </c>
      <c r="G1125" s="13">
        <f>_xlfn.XLOOKUP(OrderDetails[[#This Row],[OrderID]],Orders!A:A,Orders!C:C,"Not Found")</f>
        <v>35692</v>
      </c>
      <c r="H1125" s="16">
        <f>(OrderDetails[[#This Row],[UnitPrice]]*OrderDetails[[#This Row],[Quantity]])*(1-OrderDetails[[#This Row],[Discount]])</f>
        <v>397.5</v>
      </c>
      <c r="I1125" s="15" t="str">
        <f>_xlfn.XLOOKUP(OrderDetails[[#This Row],[ProductID]],Product!A:A,Product!G:G,"Not Found")</f>
        <v>Seafood</v>
      </c>
      <c r="J1125" s="15" t="str">
        <f>LOOKUP(MONTH(G1125),{1,4,7,10},{"Winter","Spring","Summer","Autumn"})</f>
        <v>Summer</v>
      </c>
      <c r="K1125" s="15" t="str">
        <f>_xlfn.XLOOKUP(OrderDetails[[#This Row],[ProductID]],Product!A:A,Product!B:B,"Not Found")</f>
        <v>Escargots de Bourgogne</v>
      </c>
    </row>
    <row r="1126" spans="1:11">
      <c r="A1126" s="1">
        <v>10676</v>
      </c>
      <c r="B1126" s="1">
        <v>10</v>
      </c>
      <c r="C1126" s="1">
        <v>31</v>
      </c>
      <c r="D1126" s="1">
        <v>2</v>
      </c>
      <c r="E1126" s="3">
        <v>0</v>
      </c>
      <c r="F1126" s="1" t="str">
        <f>_xlfn.XLOOKUP(A1126,Orders!A:A,Orders!B:B,"not found")</f>
        <v>TORTU</v>
      </c>
      <c r="G1126" s="13">
        <f>_xlfn.XLOOKUP(OrderDetails[[#This Row],[OrderID]],Orders!A:A,Orders!C:C,"Not Found")</f>
        <v>35695</v>
      </c>
      <c r="H1126" s="16">
        <f>(OrderDetails[[#This Row],[UnitPrice]]*OrderDetails[[#This Row],[Quantity]])*(1-OrderDetails[[#This Row],[Discount]])</f>
        <v>62</v>
      </c>
      <c r="I1126" s="15" t="str">
        <f>_xlfn.XLOOKUP(OrderDetails[[#This Row],[ProductID]],Product!A:A,Product!G:G,"Not Found")</f>
        <v>Seafood</v>
      </c>
      <c r="J1126" s="15" t="str">
        <f>LOOKUP(MONTH(G1126),{1,4,7,10},{"Winter","Spring","Summer","Autumn"})</f>
        <v>Summer</v>
      </c>
      <c r="K1126" s="15" t="str">
        <f>_xlfn.XLOOKUP(OrderDetails[[#This Row],[ProductID]],Product!A:A,Product!B:B,"Not Found")</f>
        <v>Ikura</v>
      </c>
    </row>
    <row r="1127" spans="1:11">
      <c r="A1127" s="2">
        <v>10676</v>
      </c>
      <c r="B1127" s="2">
        <v>19</v>
      </c>
      <c r="C1127" s="2">
        <v>9.1999999999999993</v>
      </c>
      <c r="D1127" s="2">
        <v>7</v>
      </c>
      <c r="E1127" s="4">
        <v>0</v>
      </c>
      <c r="F1127" s="1" t="str">
        <f>_xlfn.XLOOKUP(A1127,Orders!A:A,Orders!B:B,"not found")</f>
        <v>TORTU</v>
      </c>
      <c r="G1127" s="13">
        <f>_xlfn.XLOOKUP(OrderDetails[[#This Row],[OrderID]],Orders!A:A,Orders!C:C,"Not Found")</f>
        <v>35695</v>
      </c>
      <c r="H1127" s="16">
        <f>(OrderDetails[[#This Row],[UnitPrice]]*OrderDetails[[#This Row],[Quantity]])*(1-OrderDetails[[#This Row],[Discount]])</f>
        <v>64.399999999999991</v>
      </c>
      <c r="I1127" s="15" t="str">
        <f>_xlfn.XLOOKUP(OrderDetails[[#This Row],[ProductID]],Product!A:A,Product!G:G,"Not Found")</f>
        <v>Confections</v>
      </c>
      <c r="J1127" s="15" t="str">
        <f>LOOKUP(MONTH(G1127),{1,4,7,10},{"Winter","Spring","Summer","Autumn"})</f>
        <v>Summer</v>
      </c>
      <c r="K1127" s="15" t="str">
        <f>_xlfn.XLOOKUP(OrderDetails[[#This Row],[ProductID]],Product!A:A,Product!B:B,"Not Found")</f>
        <v>Teatime Chocolate Biscuits</v>
      </c>
    </row>
    <row r="1128" spans="1:11">
      <c r="A1128" s="1">
        <v>10676</v>
      </c>
      <c r="B1128" s="1">
        <v>44</v>
      </c>
      <c r="C1128" s="1">
        <v>19.45</v>
      </c>
      <c r="D1128" s="1">
        <v>21</v>
      </c>
      <c r="E1128" s="3">
        <v>0</v>
      </c>
      <c r="F1128" s="1" t="str">
        <f>_xlfn.XLOOKUP(A1128,Orders!A:A,Orders!B:B,"not found")</f>
        <v>TORTU</v>
      </c>
      <c r="G1128" s="13">
        <f>_xlfn.XLOOKUP(OrderDetails[[#This Row],[OrderID]],Orders!A:A,Orders!C:C,"Not Found")</f>
        <v>35695</v>
      </c>
      <c r="H1128" s="16">
        <f>(OrderDetails[[#This Row],[UnitPrice]]*OrderDetails[[#This Row],[Quantity]])*(1-OrderDetails[[#This Row],[Discount]])</f>
        <v>408.45</v>
      </c>
      <c r="I1128" s="15" t="str">
        <f>_xlfn.XLOOKUP(OrderDetails[[#This Row],[ProductID]],Product!A:A,Product!G:G,"Not Found")</f>
        <v>Condiments</v>
      </c>
      <c r="J1128" s="15" t="str">
        <f>LOOKUP(MONTH(G1128),{1,4,7,10},{"Winter","Spring","Summer","Autumn"})</f>
        <v>Summer</v>
      </c>
      <c r="K1128" s="15" t="str">
        <f>_xlfn.XLOOKUP(OrderDetails[[#This Row],[ProductID]],Product!A:A,Product!B:B,"Not Found")</f>
        <v>Gula Malacca</v>
      </c>
    </row>
    <row r="1129" spans="1:11">
      <c r="A1129" s="2">
        <v>10677</v>
      </c>
      <c r="B1129" s="2">
        <v>26</v>
      </c>
      <c r="C1129" s="2">
        <v>31.23</v>
      </c>
      <c r="D1129" s="2">
        <v>30</v>
      </c>
      <c r="E1129" s="4">
        <v>0.15000000596046448</v>
      </c>
      <c r="F1129" s="1" t="str">
        <f>_xlfn.XLOOKUP(A1129,Orders!A:A,Orders!B:B,"not found")</f>
        <v>ANTON</v>
      </c>
      <c r="G1129" s="13">
        <f>_xlfn.XLOOKUP(OrderDetails[[#This Row],[OrderID]],Orders!A:A,Orders!C:C,"Not Found")</f>
        <v>35695</v>
      </c>
      <c r="H1129" s="16">
        <f>(OrderDetails[[#This Row],[UnitPrice]]*OrderDetails[[#This Row],[Quantity]])*(1-OrderDetails[[#This Row],[Discount]])</f>
        <v>796.36499441564081</v>
      </c>
      <c r="I1129" s="15" t="str">
        <f>_xlfn.XLOOKUP(OrderDetails[[#This Row],[ProductID]],Product!A:A,Product!G:G,"Not Found")</f>
        <v>Confections</v>
      </c>
      <c r="J1129" s="15" t="str">
        <f>LOOKUP(MONTH(G1129),{1,4,7,10},{"Winter","Spring","Summer","Autumn"})</f>
        <v>Summer</v>
      </c>
      <c r="K1129" s="15" t="str">
        <f>_xlfn.XLOOKUP(OrderDetails[[#This Row],[ProductID]],Product!A:A,Product!B:B,"Not Found")</f>
        <v>Gumbär Gummibärchen</v>
      </c>
    </row>
    <row r="1130" spans="1:11">
      <c r="A1130" s="1">
        <v>10677</v>
      </c>
      <c r="B1130" s="1">
        <v>33</v>
      </c>
      <c r="C1130" s="1">
        <v>2.5</v>
      </c>
      <c r="D1130" s="1">
        <v>8</v>
      </c>
      <c r="E1130" s="3">
        <v>0.15000000596046448</v>
      </c>
      <c r="F1130" s="1" t="str">
        <f>_xlfn.XLOOKUP(A1130,Orders!A:A,Orders!B:B,"not found")</f>
        <v>ANTON</v>
      </c>
      <c r="G1130" s="13">
        <f>_xlfn.XLOOKUP(OrderDetails[[#This Row],[OrderID]],Orders!A:A,Orders!C:C,"Not Found")</f>
        <v>35695</v>
      </c>
      <c r="H1130" s="16">
        <f>(OrderDetails[[#This Row],[UnitPrice]]*OrderDetails[[#This Row],[Quantity]])*(1-OrderDetails[[#This Row],[Discount]])</f>
        <v>16.99999988079071</v>
      </c>
      <c r="I1130" s="15" t="str">
        <f>_xlfn.XLOOKUP(OrderDetails[[#This Row],[ProductID]],Product!A:A,Product!G:G,"Not Found")</f>
        <v>Dairy Products</v>
      </c>
      <c r="J1130" s="15" t="str">
        <f>LOOKUP(MONTH(G1130),{1,4,7,10},{"Winter","Spring","Summer","Autumn"})</f>
        <v>Summer</v>
      </c>
      <c r="K1130" s="15" t="str">
        <f>_xlfn.XLOOKUP(OrderDetails[[#This Row],[ProductID]],Product!A:A,Product!B:B,"Not Found")</f>
        <v>Geitost</v>
      </c>
    </row>
    <row r="1131" spans="1:11">
      <c r="A1131" s="2">
        <v>10678</v>
      </c>
      <c r="B1131" s="2">
        <v>12</v>
      </c>
      <c r="C1131" s="2">
        <v>38</v>
      </c>
      <c r="D1131" s="2">
        <v>100</v>
      </c>
      <c r="E1131" s="4">
        <v>0</v>
      </c>
      <c r="F1131" s="1" t="str">
        <f>_xlfn.XLOOKUP(A1131,Orders!A:A,Orders!B:B,"not found")</f>
        <v>SAVEA</v>
      </c>
      <c r="G1131" s="13">
        <f>_xlfn.XLOOKUP(OrderDetails[[#This Row],[OrderID]],Orders!A:A,Orders!C:C,"Not Found")</f>
        <v>35696</v>
      </c>
      <c r="H1131" s="16">
        <f>(OrderDetails[[#This Row],[UnitPrice]]*OrderDetails[[#This Row],[Quantity]])*(1-OrderDetails[[#This Row],[Discount]])</f>
        <v>3800</v>
      </c>
      <c r="I1131" s="15" t="str">
        <f>_xlfn.XLOOKUP(OrderDetails[[#This Row],[ProductID]],Product!A:A,Product!G:G,"Not Found")</f>
        <v>Dairy Products</v>
      </c>
      <c r="J1131" s="15" t="str">
        <f>LOOKUP(MONTH(G1131),{1,4,7,10},{"Winter","Spring","Summer","Autumn"})</f>
        <v>Summer</v>
      </c>
      <c r="K1131" s="15" t="str">
        <f>_xlfn.XLOOKUP(OrderDetails[[#This Row],[ProductID]],Product!A:A,Product!B:B,"Not Found")</f>
        <v>Queso Manchego La Pastora</v>
      </c>
    </row>
    <row r="1132" spans="1:11">
      <c r="A1132" s="1">
        <v>10678</v>
      </c>
      <c r="B1132" s="1">
        <v>33</v>
      </c>
      <c r="C1132" s="1">
        <v>2.5</v>
      </c>
      <c r="D1132" s="1">
        <v>30</v>
      </c>
      <c r="E1132" s="3">
        <v>0</v>
      </c>
      <c r="F1132" s="1" t="str">
        <f>_xlfn.XLOOKUP(A1132,Orders!A:A,Orders!B:B,"not found")</f>
        <v>SAVEA</v>
      </c>
      <c r="G1132" s="13">
        <f>_xlfn.XLOOKUP(OrderDetails[[#This Row],[OrderID]],Orders!A:A,Orders!C:C,"Not Found")</f>
        <v>35696</v>
      </c>
      <c r="H1132" s="16">
        <f>(OrderDetails[[#This Row],[UnitPrice]]*OrderDetails[[#This Row],[Quantity]])*(1-OrderDetails[[#This Row],[Discount]])</f>
        <v>75</v>
      </c>
      <c r="I1132" s="15" t="str">
        <f>_xlfn.XLOOKUP(OrderDetails[[#This Row],[ProductID]],Product!A:A,Product!G:G,"Not Found")</f>
        <v>Dairy Products</v>
      </c>
      <c r="J1132" s="15" t="str">
        <f>LOOKUP(MONTH(G1132),{1,4,7,10},{"Winter","Spring","Summer","Autumn"})</f>
        <v>Summer</v>
      </c>
      <c r="K1132" s="15" t="str">
        <f>_xlfn.XLOOKUP(OrderDetails[[#This Row],[ProductID]],Product!A:A,Product!B:B,"Not Found")</f>
        <v>Geitost</v>
      </c>
    </row>
    <row r="1133" spans="1:11">
      <c r="A1133" s="2">
        <v>10678</v>
      </c>
      <c r="B1133" s="2">
        <v>41</v>
      </c>
      <c r="C1133" s="2">
        <v>9.65</v>
      </c>
      <c r="D1133" s="2">
        <v>120</v>
      </c>
      <c r="E1133" s="4">
        <v>0</v>
      </c>
      <c r="F1133" s="1" t="str">
        <f>_xlfn.XLOOKUP(A1133,Orders!A:A,Orders!B:B,"not found")</f>
        <v>SAVEA</v>
      </c>
      <c r="G1133" s="13">
        <f>_xlfn.XLOOKUP(OrderDetails[[#This Row],[OrderID]],Orders!A:A,Orders!C:C,"Not Found")</f>
        <v>35696</v>
      </c>
      <c r="H1133" s="16">
        <f>(OrderDetails[[#This Row],[UnitPrice]]*OrderDetails[[#This Row],[Quantity]])*(1-OrderDetails[[#This Row],[Discount]])</f>
        <v>1158</v>
      </c>
      <c r="I1133" s="15" t="str">
        <f>_xlfn.XLOOKUP(OrderDetails[[#This Row],[ProductID]],Product!A:A,Product!G:G,"Not Found")</f>
        <v>Seafood</v>
      </c>
      <c r="J1133" s="15" t="str">
        <f>LOOKUP(MONTH(G1133),{1,4,7,10},{"Winter","Spring","Summer","Autumn"})</f>
        <v>Summer</v>
      </c>
      <c r="K1133" s="15" t="str">
        <f>_xlfn.XLOOKUP(OrderDetails[[#This Row],[ProductID]],Product!A:A,Product!B:B,"Not Found")</f>
        <v>Jack's New England Clam Chowder</v>
      </c>
    </row>
    <row r="1134" spans="1:11">
      <c r="A1134" s="1">
        <v>10678</v>
      </c>
      <c r="B1134" s="1">
        <v>54</v>
      </c>
      <c r="C1134" s="1">
        <v>7.45</v>
      </c>
      <c r="D1134" s="1">
        <v>30</v>
      </c>
      <c r="E1134" s="3">
        <v>0</v>
      </c>
      <c r="F1134" s="1" t="str">
        <f>_xlfn.XLOOKUP(A1134,Orders!A:A,Orders!B:B,"not found")</f>
        <v>SAVEA</v>
      </c>
      <c r="G1134" s="13">
        <f>_xlfn.XLOOKUP(OrderDetails[[#This Row],[OrderID]],Orders!A:A,Orders!C:C,"Not Found")</f>
        <v>35696</v>
      </c>
      <c r="H1134" s="16">
        <f>(OrderDetails[[#This Row],[UnitPrice]]*OrderDetails[[#This Row],[Quantity]])*(1-OrderDetails[[#This Row],[Discount]])</f>
        <v>223.5</v>
      </c>
      <c r="I1134" s="15" t="str">
        <f>_xlfn.XLOOKUP(OrderDetails[[#This Row],[ProductID]],Product!A:A,Product!G:G,"Not Found")</f>
        <v>Meat/Poultry</v>
      </c>
      <c r="J1134" s="15" t="str">
        <f>LOOKUP(MONTH(G1134),{1,4,7,10},{"Winter","Spring","Summer","Autumn"})</f>
        <v>Summer</v>
      </c>
      <c r="K1134" s="15" t="str">
        <f>_xlfn.XLOOKUP(OrderDetails[[#This Row],[ProductID]],Product!A:A,Product!B:B,"Not Found")</f>
        <v>Tourtière</v>
      </c>
    </row>
    <row r="1135" spans="1:11">
      <c r="A1135" s="2">
        <v>10679</v>
      </c>
      <c r="B1135" s="2">
        <v>59</v>
      </c>
      <c r="C1135" s="2">
        <v>55</v>
      </c>
      <c r="D1135" s="2">
        <v>12</v>
      </c>
      <c r="E1135" s="4">
        <v>0</v>
      </c>
      <c r="F1135" s="1" t="str">
        <f>_xlfn.XLOOKUP(A1135,Orders!A:A,Orders!B:B,"not found")</f>
        <v>BLONP</v>
      </c>
      <c r="G1135" s="13">
        <f>_xlfn.XLOOKUP(OrderDetails[[#This Row],[OrderID]],Orders!A:A,Orders!C:C,"Not Found")</f>
        <v>35696</v>
      </c>
      <c r="H1135" s="16">
        <f>(OrderDetails[[#This Row],[UnitPrice]]*OrderDetails[[#This Row],[Quantity]])*(1-OrderDetails[[#This Row],[Discount]])</f>
        <v>660</v>
      </c>
      <c r="I1135" s="15" t="str">
        <f>_xlfn.XLOOKUP(OrderDetails[[#This Row],[ProductID]],Product!A:A,Product!G:G,"Not Found")</f>
        <v>Dairy Products</v>
      </c>
      <c r="J1135" s="15" t="str">
        <f>LOOKUP(MONTH(G1135),{1,4,7,10},{"Winter","Spring","Summer","Autumn"})</f>
        <v>Summer</v>
      </c>
      <c r="K1135" s="15" t="str">
        <f>_xlfn.XLOOKUP(OrderDetails[[#This Row],[ProductID]],Product!A:A,Product!B:B,"Not Found")</f>
        <v>Raclette Courdavault</v>
      </c>
    </row>
    <row r="1136" spans="1:11">
      <c r="A1136" s="1">
        <v>10680</v>
      </c>
      <c r="B1136" s="1">
        <v>16</v>
      </c>
      <c r="C1136" s="1">
        <v>17.45</v>
      </c>
      <c r="D1136" s="1">
        <v>50</v>
      </c>
      <c r="E1136" s="3">
        <v>0.25</v>
      </c>
      <c r="F1136" s="1" t="str">
        <f>_xlfn.XLOOKUP(A1136,Orders!A:A,Orders!B:B,"not found")</f>
        <v>OLDWO</v>
      </c>
      <c r="G1136" s="13">
        <f>_xlfn.XLOOKUP(OrderDetails[[#This Row],[OrderID]],Orders!A:A,Orders!C:C,"Not Found")</f>
        <v>35697</v>
      </c>
      <c r="H1136" s="16">
        <f>(OrderDetails[[#This Row],[UnitPrice]]*OrderDetails[[#This Row],[Quantity]])*(1-OrderDetails[[#This Row],[Discount]])</f>
        <v>654.375</v>
      </c>
      <c r="I1136" s="15" t="str">
        <f>_xlfn.XLOOKUP(OrderDetails[[#This Row],[ProductID]],Product!A:A,Product!G:G,"Not Found")</f>
        <v>Confections</v>
      </c>
      <c r="J1136" s="15" t="str">
        <f>LOOKUP(MONTH(G1136),{1,4,7,10},{"Winter","Spring","Summer","Autumn"})</f>
        <v>Summer</v>
      </c>
      <c r="K1136" s="15" t="str">
        <f>_xlfn.XLOOKUP(OrderDetails[[#This Row],[ProductID]],Product!A:A,Product!B:B,"Not Found")</f>
        <v>Pavlova</v>
      </c>
    </row>
    <row r="1137" spans="1:11">
      <c r="A1137" s="2">
        <v>10680</v>
      </c>
      <c r="B1137" s="2">
        <v>31</v>
      </c>
      <c r="C1137" s="2">
        <v>12.5</v>
      </c>
      <c r="D1137" s="2">
        <v>20</v>
      </c>
      <c r="E1137" s="4">
        <v>0.25</v>
      </c>
      <c r="F1137" s="1" t="str">
        <f>_xlfn.XLOOKUP(A1137,Orders!A:A,Orders!B:B,"not found")</f>
        <v>OLDWO</v>
      </c>
      <c r="G1137" s="13">
        <f>_xlfn.XLOOKUP(OrderDetails[[#This Row],[OrderID]],Orders!A:A,Orders!C:C,"Not Found")</f>
        <v>35697</v>
      </c>
      <c r="H1137" s="16">
        <f>(OrderDetails[[#This Row],[UnitPrice]]*OrderDetails[[#This Row],[Quantity]])*(1-OrderDetails[[#This Row],[Discount]])</f>
        <v>187.5</v>
      </c>
      <c r="I1137" s="15" t="str">
        <f>_xlfn.XLOOKUP(OrderDetails[[#This Row],[ProductID]],Product!A:A,Product!G:G,"Not Found")</f>
        <v>Dairy Products</v>
      </c>
      <c r="J1137" s="15" t="str">
        <f>LOOKUP(MONTH(G1137),{1,4,7,10},{"Winter","Spring","Summer","Autumn"})</f>
        <v>Summer</v>
      </c>
      <c r="K1137" s="15" t="str">
        <f>_xlfn.XLOOKUP(OrderDetails[[#This Row],[ProductID]],Product!A:A,Product!B:B,"Not Found")</f>
        <v>Gorgonzola Telino</v>
      </c>
    </row>
    <row r="1138" spans="1:11">
      <c r="A1138" s="1">
        <v>10680</v>
      </c>
      <c r="B1138" s="1">
        <v>42</v>
      </c>
      <c r="C1138" s="1">
        <v>14</v>
      </c>
      <c r="D1138" s="1">
        <v>40</v>
      </c>
      <c r="E1138" s="3">
        <v>0.25</v>
      </c>
      <c r="F1138" s="1" t="str">
        <f>_xlfn.XLOOKUP(A1138,Orders!A:A,Orders!B:B,"not found")</f>
        <v>OLDWO</v>
      </c>
      <c r="G1138" s="13">
        <f>_xlfn.XLOOKUP(OrderDetails[[#This Row],[OrderID]],Orders!A:A,Orders!C:C,"Not Found")</f>
        <v>35697</v>
      </c>
      <c r="H1138" s="16">
        <f>(OrderDetails[[#This Row],[UnitPrice]]*OrderDetails[[#This Row],[Quantity]])*(1-OrderDetails[[#This Row],[Discount]])</f>
        <v>420</v>
      </c>
      <c r="I1138" s="15" t="str">
        <f>_xlfn.XLOOKUP(OrderDetails[[#This Row],[ProductID]],Product!A:A,Product!G:G,"Not Found")</f>
        <v>Grains/Cereals</v>
      </c>
      <c r="J1138" s="15" t="str">
        <f>LOOKUP(MONTH(G1138),{1,4,7,10},{"Winter","Spring","Summer","Autumn"})</f>
        <v>Summer</v>
      </c>
      <c r="K1138" s="15" t="str">
        <f>_xlfn.XLOOKUP(OrderDetails[[#This Row],[ProductID]],Product!A:A,Product!B:B,"Not Found")</f>
        <v>Singaporean Hokkien Fried Mee</v>
      </c>
    </row>
    <row r="1139" spans="1:11">
      <c r="A1139" s="2">
        <v>10681</v>
      </c>
      <c r="B1139" s="2">
        <v>19</v>
      </c>
      <c r="C1139" s="2">
        <v>9.1999999999999993</v>
      </c>
      <c r="D1139" s="2">
        <v>30</v>
      </c>
      <c r="E1139" s="4">
        <v>0.10000000149011612</v>
      </c>
      <c r="F1139" s="1" t="str">
        <f>_xlfn.XLOOKUP(A1139,Orders!A:A,Orders!B:B,"not found")</f>
        <v>GREAL</v>
      </c>
      <c r="G1139" s="13">
        <f>_xlfn.XLOOKUP(OrderDetails[[#This Row],[OrderID]],Orders!A:A,Orders!C:C,"Not Found")</f>
        <v>35698</v>
      </c>
      <c r="H1139" s="16">
        <f>(OrderDetails[[#This Row],[UnitPrice]]*OrderDetails[[#This Row],[Quantity]])*(1-OrderDetails[[#This Row],[Discount]])</f>
        <v>248.39999958872795</v>
      </c>
      <c r="I1139" s="15" t="str">
        <f>_xlfn.XLOOKUP(OrderDetails[[#This Row],[ProductID]],Product!A:A,Product!G:G,"Not Found")</f>
        <v>Confections</v>
      </c>
      <c r="J1139" s="15" t="str">
        <f>LOOKUP(MONTH(G1139),{1,4,7,10},{"Winter","Spring","Summer","Autumn"})</f>
        <v>Summer</v>
      </c>
      <c r="K1139" s="15" t="str">
        <f>_xlfn.XLOOKUP(OrderDetails[[#This Row],[ProductID]],Product!A:A,Product!B:B,"Not Found")</f>
        <v>Teatime Chocolate Biscuits</v>
      </c>
    </row>
    <row r="1140" spans="1:11">
      <c r="A1140" s="1">
        <v>10681</v>
      </c>
      <c r="B1140" s="1">
        <v>21</v>
      </c>
      <c r="C1140" s="1">
        <v>10</v>
      </c>
      <c r="D1140" s="1">
        <v>12</v>
      </c>
      <c r="E1140" s="3">
        <v>0.10000000149011612</v>
      </c>
      <c r="F1140" s="1" t="str">
        <f>_xlfn.XLOOKUP(A1140,Orders!A:A,Orders!B:B,"not found")</f>
        <v>GREAL</v>
      </c>
      <c r="G1140" s="13">
        <f>_xlfn.XLOOKUP(OrderDetails[[#This Row],[OrderID]],Orders!A:A,Orders!C:C,"Not Found")</f>
        <v>35698</v>
      </c>
      <c r="H1140" s="16">
        <f>(OrderDetails[[#This Row],[UnitPrice]]*OrderDetails[[#This Row],[Quantity]])*(1-OrderDetails[[#This Row],[Discount]])</f>
        <v>107.99999982118607</v>
      </c>
      <c r="I1140" s="15" t="str">
        <f>_xlfn.XLOOKUP(OrderDetails[[#This Row],[ProductID]],Product!A:A,Product!G:G,"Not Found")</f>
        <v>Confections</v>
      </c>
      <c r="J1140" s="15" t="str">
        <f>LOOKUP(MONTH(G1140),{1,4,7,10},{"Winter","Spring","Summer","Autumn"})</f>
        <v>Summer</v>
      </c>
      <c r="K1140" s="15" t="str">
        <f>_xlfn.XLOOKUP(OrderDetails[[#This Row],[ProductID]],Product!A:A,Product!B:B,"Not Found")</f>
        <v>Sir Rodney's Scones</v>
      </c>
    </row>
    <row r="1141" spans="1:11">
      <c r="A1141" s="2">
        <v>10681</v>
      </c>
      <c r="B1141" s="2">
        <v>64</v>
      </c>
      <c r="C1141" s="2">
        <v>33.25</v>
      </c>
      <c r="D1141" s="2">
        <v>28</v>
      </c>
      <c r="E1141" s="4">
        <v>0</v>
      </c>
      <c r="F1141" s="1" t="str">
        <f>_xlfn.XLOOKUP(A1141,Orders!A:A,Orders!B:B,"not found")</f>
        <v>GREAL</v>
      </c>
      <c r="G1141" s="13">
        <f>_xlfn.XLOOKUP(OrderDetails[[#This Row],[OrderID]],Orders!A:A,Orders!C:C,"Not Found")</f>
        <v>35698</v>
      </c>
      <c r="H1141" s="16">
        <f>(OrderDetails[[#This Row],[UnitPrice]]*OrderDetails[[#This Row],[Quantity]])*(1-OrderDetails[[#This Row],[Discount]])</f>
        <v>931</v>
      </c>
      <c r="I1141" s="15" t="str">
        <f>_xlfn.XLOOKUP(OrderDetails[[#This Row],[ProductID]],Product!A:A,Product!G:G,"Not Found")</f>
        <v>Grains/Cereals</v>
      </c>
      <c r="J1141" s="15" t="str">
        <f>LOOKUP(MONTH(G1141),{1,4,7,10},{"Winter","Spring","Summer","Autumn"})</f>
        <v>Summer</v>
      </c>
      <c r="K1141" s="15" t="str">
        <f>_xlfn.XLOOKUP(OrderDetails[[#This Row],[ProductID]],Product!A:A,Product!B:B,"Not Found")</f>
        <v>Wimmers gute Semmelknödel</v>
      </c>
    </row>
    <row r="1142" spans="1:11">
      <c r="A1142" s="1">
        <v>10682</v>
      </c>
      <c r="B1142" s="1">
        <v>33</v>
      </c>
      <c r="C1142" s="1">
        <v>2.5</v>
      </c>
      <c r="D1142" s="1">
        <v>30</v>
      </c>
      <c r="E1142" s="3">
        <v>0</v>
      </c>
      <c r="F1142" s="1" t="str">
        <f>_xlfn.XLOOKUP(A1142,Orders!A:A,Orders!B:B,"not found")</f>
        <v>ANTON</v>
      </c>
      <c r="G1142" s="13">
        <f>_xlfn.XLOOKUP(OrderDetails[[#This Row],[OrderID]],Orders!A:A,Orders!C:C,"Not Found")</f>
        <v>35698</v>
      </c>
      <c r="H1142" s="16">
        <f>(OrderDetails[[#This Row],[UnitPrice]]*OrderDetails[[#This Row],[Quantity]])*(1-OrderDetails[[#This Row],[Discount]])</f>
        <v>75</v>
      </c>
      <c r="I1142" s="15" t="str">
        <f>_xlfn.XLOOKUP(OrderDetails[[#This Row],[ProductID]],Product!A:A,Product!G:G,"Not Found")</f>
        <v>Dairy Products</v>
      </c>
      <c r="J1142" s="15" t="str">
        <f>LOOKUP(MONTH(G1142),{1,4,7,10},{"Winter","Spring","Summer","Autumn"})</f>
        <v>Summer</v>
      </c>
      <c r="K1142" s="15" t="str">
        <f>_xlfn.XLOOKUP(OrderDetails[[#This Row],[ProductID]],Product!A:A,Product!B:B,"Not Found")</f>
        <v>Geitost</v>
      </c>
    </row>
    <row r="1143" spans="1:11">
      <c r="A1143" s="2">
        <v>10682</v>
      </c>
      <c r="B1143" s="2">
        <v>66</v>
      </c>
      <c r="C1143" s="2">
        <v>17</v>
      </c>
      <c r="D1143" s="2">
        <v>4</v>
      </c>
      <c r="E1143" s="4">
        <v>0</v>
      </c>
      <c r="F1143" s="1" t="str">
        <f>_xlfn.XLOOKUP(A1143,Orders!A:A,Orders!B:B,"not found")</f>
        <v>ANTON</v>
      </c>
      <c r="G1143" s="13">
        <f>_xlfn.XLOOKUP(OrderDetails[[#This Row],[OrderID]],Orders!A:A,Orders!C:C,"Not Found")</f>
        <v>35698</v>
      </c>
      <c r="H1143" s="16">
        <f>(OrderDetails[[#This Row],[UnitPrice]]*OrderDetails[[#This Row],[Quantity]])*(1-OrderDetails[[#This Row],[Discount]])</f>
        <v>68</v>
      </c>
      <c r="I1143" s="15" t="str">
        <f>_xlfn.XLOOKUP(OrderDetails[[#This Row],[ProductID]],Product!A:A,Product!G:G,"Not Found")</f>
        <v>Condiments</v>
      </c>
      <c r="J1143" s="15" t="str">
        <f>LOOKUP(MONTH(G1143),{1,4,7,10},{"Winter","Spring","Summer","Autumn"})</f>
        <v>Summer</v>
      </c>
      <c r="K1143" s="15" t="str">
        <f>_xlfn.XLOOKUP(OrderDetails[[#This Row],[ProductID]],Product!A:A,Product!B:B,"Not Found")</f>
        <v>Louisiana Hot Spiced Okra</v>
      </c>
    </row>
    <row r="1144" spans="1:11">
      <c r="A1144" s="1">
        <v>10682</v>
      </c>
      <c r="B1144" s="1">
        <v>75</v>
      </c>
      <c r="C1144" s="1">
        <v>7.75</v>
      </c>
      <c r="D1144" s="1">
        <v>30</v>
      </c>
      <c r="E1144" s="3">
        <v>0</v>
      </c>
      <c r="F1144" s="1" t="str">
        <f>_xlfn.XLOOKUP(A1144,Orders!A:A,Orders!B:B,"not found")</f>
        <v>ANTON</v>
      </c>
      <c r="G1144" s="13">
        <f>_xlfn.XLOOKUP(OrderDetails[[#This Row],[OrderID]],Orders!A:A,Orders!C:C,"Not Found")</f>
        <v>35698</v>
      </c>
      <c r="H1144" s="16">
        <f>(OrderDetails[[#This Row],[UnitPrice]]*OrderDetails[[#This Row],[Quantity]])*(1-OrderDetails[[#This Row],[Discount]])</f>
        <v>232.5</v>
      </c>
      <c r="I1144" s="15" t="str">
        <f>_xlfn.XLOOKUP(OrderDetails[[#This Row],[ProductID]],Product!A:A,Product!G:G,"Not Found")</f>
        <v>Beverages</v>
      </c>
      <c r="J1144" s="15" t="str">
        <f>LOOKUP(MONTH(G1144),{1,4,7,10},{"Winter","Spring","Summer","Autumn"})</f>
        <v>Summer</v>
      </c>
      <c r="K1144" s="15" t="str">
        <f>_xlfn.XLOOKUP(OrderDetails[[#This Row],[ProductID]],Product!A:A,Product!B:B,"Not Found")</f>
        <v>Rhönbräu Klosterbier</v>
      </c>
    </row>
    <row r="1145" spans="1:11">
      <c r="A1145" s="2">
        <v>10683</v>
      </c>
      <c r="B1145" s="2">
        <v>52</v>
      </c>
      <c r="C1145" s="2">
        <v>7</v>
      </c>
      <c r="D1145" s="2">
        <v>9</v>
      </c>
      <c r="E1145" s="4">
        <v>0</v>
      </c>
      <c r="F1145" s="1" t="str">
        <f>_xlfn.XLOOKUP(A1145,Orders!A:A,Orders!B:B,"not found")</f>
        <v>DUMON</v>
      </c>
      <c r="G1145" s="13">
        <f>_xlfn.XLOOKUP(OrderDetails[[#This Row],[OrderID]],Orders!A:A,Orders!C:C,"Not Found")</f>
        <v>35699</v>
      </c>
      <c r="H1145" s="16">
        <f>(OrderDetails[[#This Row],[UnitPrice]]*OrderDetails[[#This Row],[Quantity]])*(1-OrderDetails[[#This Row],[Discount]])</f>
        <v>63</v>
      </c>
      <c r="I1145" s="15" t="str">
        <f>_xlfn.XLOOKUP(OrderDetails[[#This Row],[ProductID]],Product!A:A,Product!G:G,"Not Found")</f>
        <v>Grains/Cereals</v>
      </c>
      <c r="J1145" s="15" t="str">
        <f>LOOKUP(MONTH(G1145),{1,4,7,10},{"Winter","Spring","Summer","Autumn"})</f>
        <v>Summer</v>
      </c>
      <c r="K1145" s="15" t="str">
        <f>_xlfn.XLOOKUP(OrderDetails[[#This Row],[ProductID]],Product!A:A,Product!B:B,"Not Found")</f>
        <v>Filo Mix</v>
      </c>
    </row>
    <row r="1146" spans="1:11">
      <c r="A1146" s="1">
        <v>10684</v>
      </c>
      <c r="B1146" s="1">
        <v>40</v>
      </c>
      <c r="C1146" s="1">
        <v>18.399999999999999</v>
      </c>
      <c r="D1146" s="1">
        <v>20</v>
      </c>
      <c r="E1146" s="3">
        <v>0</v>
      </c>
      <c r="F1146" s="1" t="str">
        <f>_xlfn.XLOOKUP(A1146,Orders!A:A,Orders!B:B,"not found")</f>
        <v>OTTIK</v>
      </c>
      <c r="G1146" s="13">
        <f>_xlfn.XLOOKUP(OrderDetails[[#This Row],[OrderID]],Orders!A:A,Orders!C:C,"Not Found")</f>
        <v>35699</v>
      </c>
      <c r="H1146" s="16">
        <f>(OrderDetails[[#This Row],[UnitPrice]]*OrderDetails[[#This Row],[Quantity]])*(1-OrderDetails[[#This Row],[Discount]])</f>
        <v>368</v>
      </c>
      <c r="I1146" s="15" t="str">
        <f>_xlfn.XLOOKUP(OrderDetails[[#This Row],[ProductID]],Product!A:A,Product!G:G,"Not Found")</f>
        <v>Seafood</v>
      </c>
      <c r="J1146" s="15" t="str">
        <f>LOOKUP(MONTH(G1146),{1,4,7,10},{"Winter","Spring","Summer","Autumn"})</f>
        <v>Summer</v>
      </c>
      <c r="K1146" s="15" t="str">
        <f>_xlfn.XLOOKUP(OrderDetails[[#This Row],[ProductID]],Product!A:A,Product!B:B,"Not Found")</f>
        <v>Boston Crab Meat</v>
      </c>
    </row>
    <row r="1147" spans="1:11">
      <c r="A1147" s="2">
        <v>10684</v>
      </c>
      <c r="B1147" s="2">
        <v>47</v>
      </c>
      <c r="C1147" s="2">
        <v>9.5</v>
      </c>
      <c r="D1147" s="2">
        <v>40</v>
      </c>
      <c r="E1147" s="4">
        <v>0</v>
      </c>
      <c r="F1147" s="1" t="str">
        <f>_xlfn.XLOOKUP(A1147,Orders!A:A,Orders!B:B,"not found")</f>
        <v>OTTIK</v>
      </c>
      <c r="G1147" s="13">
        <f>_xlfn.XLOOKUP(OrderDetails[[#This Row],[OrderID]],Orders!A:A,Orders!C:C,"Not Found")</f>
        <v>35699</v>
      </c>
      <c r="H1147" s="16">
        <f>(OrderDetails[[#This Row],[UnitPrice]]*OrderDetails[[#This Row],[Quantity]])*(1-OrderDetails[[#This Row],[Discount]])</f>
        <v>380</v>
      </c>
      <c r="I1147" s="15" t="str">
        <f>_xlfn.XLOOKUP(OrderDetails[[#This Row],[ProductID]],Product!A:A,Product!G:G,"Not Found")</f>
        <v>Confections</v>
      </c>
      <c r="J1147" s="15" t="str">
        <f>LOOKUP(MONTH(G1147),{1,4,7,10},{"Winter","Spring","Summer","Autumn"})</f>
        <v>Summer</v>
      </c>
      <c r="K1147" s="15" t="str">
        <f>_xlfn.XLOOKUP(OrderDetails[[#This Row],[ProductID]],Product!A:A,Product!B:B,"Not Found")</f>
        <v>Zaanse koeken</v>
      </c>
    </row>
    <row r="1148" spans="1:11">
      <c r="A1148" s="1">
        <v>10684</v>
      </c>
      <c r="B1148" s="1">
        <v>60</v>
      </c>
      <c r="C1148" s="1">
        <v>34</v>
      </c>
      <c r="D1148" s="1">
        <v>30</v>
      </c>
      <c r="E1148" s="3">
        <v>0</v>
      </c>
      <c r="F1148" s="1" t="str">
        <f>_xlfn.XLOOKUP(A1148,Orders!A:A,Orders!B:B,"not found")</f>
        <v>OTTIK</v>
      </c>
      <c r="G1148" s="13">
        <f>_xlfn.XLOOKUP(OrderDetails[[#This Row],[OrderID]],Orders!A:A,Orders!C:C,"Not Found")</f>
        <v>35699</v>
      </c>
      <c r="H1148" s="16">
        <f>(OrderDetails[[#This Row],[UnitPrice]]*OrderDetails[[#This Row],[Quantity]])*(1-OrderDetails[[#This Row],[Discount]])</f>
        <v>1020</v>
      </c>
      <c r="I1148" s="15" t="str">
        <f>_xlfn.XLOOKUP(OrderDetails[[#This Row],[ProductID]],Product!A:A,Product!G:G,"Not Found")</f>
        <v>Dairy Products</v>
      </c>
      <c r="J1148" s="15" t="str">
        <f>LOOKUP(MONTH(G1148),{1,4,7,10},{"Winter","Spring","Summer","Autumn"})</f>
        <v>Summer</v>
      </c>
      <c r="K1148" s="15" t="str">
        <f>_xlfn.XLOOKUP(OrderDetails[[#This Row],[ProductID]],Product!A:A,Product!B:B,"Not Found")</f>
        <v>Camembert Pierrot</v>
      </c>
    </row>
    <row r="1149" spans="1:11">
      <c r="A1149" s="2">
        <v>10685</v>
      </c>
      <c r="B1149" s="2">
        <v>10</v>
      </c>
      <c r="C1149" s="2">
        <v>31</v>
      </c>
      <c r="D1149" s="2">
        <v>20</v>
      </c>
      <c r="E1149" s="4">
        <v>0</v>
      </c>
      <c r="F1149" s="1" t="str">
        <f>_xlfn.XLOOKUP(A1149,Orders!A:A,Orders!B:B,"not found")</f>
        <v>GOURL</v>
      </c>
      <c r="G1149" s="13">
        <f>_xlfn.XLOOKUP(OrderDetails[[#This Row],[OrderID]],Orders!A:A,Orders!C:C,"Not Found")</f>
        <v>35702</v>
      </c>
      <c r="H1149" s="16">
        <f>(OrderDetails[[#This Row],[UnitPrice]]*OrderDetails[[#This Row],[Quantity]])*(1-OrderDetails[[#This Row],[Discount]])</f>
        <v>620</v>
      </c>
      <c r="I1149" s="15" t="str">
        <f>_xlfn.XLOOKUP(OrderDetails[[#This Row],[ProductID]],Product!A:A,Product!G:G,"Not Found")</f>
        <v>Seafood</v>
      </c>
      <c r="J1149" s="15" t="str">
        <f>LOOKUP(MONTH(G1149),{1,4,7,10},{"Winter","Spring","Summer","Autumn"})</f>
        <v>Summer</v>
      </c>
      <c r="K1149" s="15" t="str">
        <f>_xlfn.XLOOKUP(OrderDetails[[#This Row],[ProductID]],Product!A:A,Product!B:B,"Not Found")</f>
        <v>Ikura</v>
      </c>
    </row>
    <row r="1150" spans="1:11">
      <c r="A1150" s="1">
        <v>10685</v>
      </c>
      <c r="B1150" s="1">
        <v>41</v>
      </c>
      <c r="C1150" s="1">
        <v>9.65</v>
      </c>
      <c r="D1150" s="1">
        <v>4</v>
      </c>
      <c r="E1150" s="3">
        <v>0</v>
      </c>
      <c r="F1150" s="1" t="str">
        <f>_xlfn.XLOOKUP(A1150,Orders!A:A,Orders!B:B,"not found")</f>
        <v>GOURL</v>
      </c>
      <c r="G1150" s="13">
        <f>_xlfn.XLOOKUP(OrderDetails[[#This Row],[OrderID]],Orders!A:A,Orders!C:C,"Not Found")</f>
        <v>35702</v>
      </c>
      <c r="H1150" s="16">
        <f>(OrderDetails[[#This Row],[UnitPrice]]*OrderDetails[[#This Row],[Quantity]])*(1-OrderDetails[[#This Row],[Discount]])</f>
        <v>38.6</v>
      </c>
      <c r="I1150" s="15" t="str">
        <f>_xlfn.XLOOKUP(OrderDetails[[#This Row],[ProductID]],Product!A:A,Product!G:G,"Not Found")</f>
        <v>Seafood</v>
      </c>
      <c r="J1150" s="15" t="str">
        <f>LOOKUP(MONTH(G1150),{1,4,7,10},{"Winter","Spring","Summer","Autumn"})</f>
        <v>Summer</v>
      </c>
      <c r="K1150" s="15" t="str">
        <f>_xlfn.XLOOKUP(OrderDetails[[#This Row],[ProductID]],Product!A:A,Product!B:B,"Not Found")</f>
        <v>Jack's New England Clam Chowder</v>
      </c>
    </row>
    <row r="1151" spans="1:11">
      <c r="A1151" s="2">
        <v>10685</v>
      </c>
      <c r="B1151" s="2">
        <v>47</v>
      </c>
      <c r="C1151" s="2">
        <v>9.5</v>
      </c>
      <c r="D1151" s="2">
        <v>15</v>
      </c>
      <c r="E1151" s="4">
        <v>0</v>
      </c>
      <c r="F1151" s="1" t="str">
        <f>_xlfn.XLOOKUP(A1151,Orders!A:A,Orders!B:B,"not found")</f>
        <v>GOURL</v>
      </c>
      <c r="G1151" s="13">
        <f>_xlfn.XLOOKUP(OrderDetails[[#This Row],[OrderID]],Orders!A:A,Orders!C:C,"Not Found")</f>
        <v>35702</v>
      </c>
      <c r="H1151" s="16">
        <f>(OrderDetails[[#This Row],[UnitPrice]]*OrderDetails[[#This Row],[Quantity]])*(1-OrderDetails[[#This Row],[Discount]])</f>
        <v>142.5</v>
      </c>
      <c r="I1151" s="15" t="str">
        <f>_xlfn.XLOOKUP(OrderDetails[[#This Row],[ProductID]],Product!A:A,Product!G:G,"Not Found")</f>
        <v>Confections</v>
      </c>
      <c r="J1151" s="15" t="str">
        <f>LOOKUP(MONTH(G1151),{1,4,7,10},{"Winter","Spring","Summer","Autumn"})</f>
        <v>Summer</v>
      </c>
      <c r="K1151" s="15" t="str">
        <f>_xlfn.XLOOKUP(OrderDetails[[#This Row],[ProductID]],Product!A:A,Product!B:B,"Not Found")</f>
        <v>Zaanse koeken</v>
      </c>
    </row>
    <row r="1152" spans="1:11">
      <c r="A1152" s="1">
        <v>10686</v>
      </c>
      <c r="B1152" s="1">
        <v>17</v>
      </c>
      <c r="C1152" s="1">
        <v>39</v>
      </c>
      <c r="D1152" s="1">
        <v>30</v>
      </c>
      <c r="E1152" s="3">
        <v>0.20000000298023224</v>
      </c>
      <c r="F1152" s="1" t="str">
        <f>_xlfn.XLOOKUP(A1152,Orders!A:A,Orders!B:B,"not found")</f>
        <v>PICCO</v>
      </c>
      <c r="G1152" s="13">
        <f>_xlfn.XLOOKUP(OrderDetails[[#This Row],[OrderID]],Orders!A:A,Orders!C:C,"Not Found")</f>
        <v>35703</v>
      </c>
      <c r="H1152" s="16">
        <f>(OrderDetails[[#This Row],[UnitPrice]]*OrderDetails[[#This Row],[Quantity]])*(1-OrderDetails[[#This Row],[Discount]])</f>
        <v>935.99999651312828</v>
      </c>
      <c r="I1152" s="15" t="str">
        <f>_xlfn.XLOOKUP(OrderDetails[[#This Row],[ProductID]],Product!A:A,Product!G:G,"Not Found")</f>
        <v>Meat/Poultry</v>
      </c>
      <c r="J1152" s="15" t="str">
        <f>LOOKUP(MONTH(G1152),{1,4,7,10},{"Winter","Spring","Summer","Autumn"})</f>
        <v>Summer</v>
      </c>
      <c r="K1152" s="15" t="str">
        <f>_xlfn.XLOOKUP(OrderDetails[[#This Row],[ProductID]],Product!A:A,Product!B:B,"Not Found")</f>
        <v>Alice Mutton</v>
      </c>
    </row>
    <row r="1153" spans="1:11">
      <c r="A1153" s="2">
        <v>10686</v>
      </c>
      <c r="B1153" s="2">
        <v>26</v>
      </c>
      <c r="C1153" s="2">
        <v>31.23</v>
      </c>
      <c r="D1153" s="2">
        <v>15</v>
      </c>
      <c r="E1153" s="4">
        <v>0</v>
      </c>
      <c r="F1153" s="1" t="str">
        <f>_xlfn.XLOOKUP(A1153,Orders!A:A,Orders!B:B,"not found")</f>
        <v>PICCO</v>
      </c>
      <c r="G1153" s="13">
        <f>_xlfn.XLOOKUP(OrderDetails[[#This Row],[OrderID]],Orders!A:A,Orders!C:C,"Not Found")</f>
        <v>35703</v>
      </c>
      <c r="H1153" s="16">
        <f>(OrderDetails[[#This Row],[UnitPrice]]*OrderDetails[[#This Row],[Quantity]])*(1-OrderDetails[[#This Row],[Discount]])</f>
        <v>468.45</v>
      </c>
      <c r="I1153" s="15" t="str">
        <f>_xlfn.XLOOKUP(OrderDetails[[#This Row],[ProductID]],Product!A:A,Product!G:G,"Not Found")</f>
        <v>Confections</v>
      </c>
      <c r="J1153" s="15" t="str">
        <f>LOOKUP(MONTH(G1153),{1,4,7,10},{"Winter","Spring","Summer","Autumn"})</f>
        <v>Summer</v>
      </c>
      <c r="K1153" s="15" t="str">
        <f>_xlfn.XLOOKUP(OrderDetails[[#This Row],[ProductID]],Product!A:A,Product!B:B,"Not Found")</f>
        <v>Gumbär Gummibärchen</v>
      </c>
    </row>
    <row r="1154" spans="1:11">
      <c r="A1154" s="1">
        <v>10687</v>
      </c>
      <c r="B1154" s="1">
        <v>9</v>
      </c>
      <c r="C1154" s="1">
        <v>97</v>
      </c>
      <c r="D1154" s="1">
        <v>50</v>
      </c>
      <c r="E1154" s="3">
        <v>0.25</v>
      </c>
      <c r="F1154" s="1" t="str">
        <f>_xlfn.XLOOKUP(A1154,Orders!A:A,Orders!B:B,"not found")</f>
        <v>HUNGO</v>
      </c>
      <c r="G1154" s="13">
        <f>_xlfn.XLOOKUP(OrderDetails[[#This Row],[OrderID]],Orders!A:A,Orders!C:C,"Not Found")</f>
        <v>35703</v>
      </c>
      <c r="H1154" s="16">
        <f>(OrderDetails[[#This Row],[UnitPrice]]*OrderDetails[[#This Row],[Quantity]])*(1-OrderDetails[[#This Row],[Discount]])</f>
        <v>3637.5</v>
      </c>
      <c r="I1154" s="15" t="str">
        <f>_xlfn.XLOOKUP(OrderDetails[[#This Row],[ProductID]],Product!A:A,Product!G:G,"Not Found")</f>
        <v>Meat/Poultry</v>
      </c>
      <c r="J1154" s="15" t="str">
        <f>LOOKUP(MONTH(G1154),{1,4,7,10},{"Winter","Spring","Summer","Autumn"})</f>
        <v>Summer</v>
      </c>
      <c r="K1154" s="15" t="str">
        <f>_xlfn.XLOOKUP(OrderDetails[[#This Row],[ProductID]],Product!A:A,Product!B:B,"Not Found")</f>
        <v>Mishi Kobe Niku</v>
      </c>
    </row>
    <row r="1155" spans="1:11">
      <c r="A1155" s="2">
        <v>10687</v>
      </c>
      <c r="B1155" s="2">
        <v>29</v>
      </c>
      <c r="C1155" s="2">
        <v>123.79</v>
      </c>
      <c r="D1155" s="2">
        <v>10</v>
      </c>
      <c r="E1155" s="4">
        <v>0</v>
      </c>
      <c r="F1155" s="1" t="str">
        <f>_xlfn.XLOOKUP(A1155,Orders!A:A,Orders!B:B,"not found")</f>
        <v>HUNGO</v>
      </c>
      <c r="G1155" s="13">
        <f>_xlfn.XLOOKUP(OrderDetails[[#This Row],[OrderID]],Orders!A:A,Orders!C:C,"Not Found")</f>
        <v>35703</v>
      </c>
      <c r="H1155" s="16">
        <f>(OrderDetails[[#This Row],[UnitPrice]]*OrderDetails[[#This Row],[Quantity]])*(1-OrderDetails[[#This Row],[Discount]])</f>
        <v>1237.9000000000001</v>
      </c>
      <c r="I1155" s="15" t="str">
        <f>_xlfn.XLOOKUP(OrderDetails[[#This Row],[ProductID]],Product!A:A,Product!G:G,"Not Found")</f>
        <v>Meat/Poultry</v>
      </c>
      <c r="J1155" s="15" t="str">
        <f>LOOKUP(MONTH(G1155),{1,4,7,10},{"Winter","Spring","Summer","Autumn"})</f>
        <v>Summer</v>
      </c>
      <c r="K1155" s="15" t="str">
        <f>_xlfn.XLOOKUP(OrderDetails[[#This Row],[ProductID]],Product!A:A,Product!B:B,"Not Found")</f>
        <v>Thüringer Rostbratwurst</v>
      </c>
    </row>
    <row r="1156" spans="1:11">
      <c r="A1156" s="1">
        <v>10687</v>
      </c>
      <c r="B1156" s="1">
        <v>36</v>
      </c>
      <c r="C1156" s="1">
        <v>19</v>
      </c>
      <c r="D1156" s="1">
        <v>6</v>
      </c>
      <c r="E1156" s="3">
        <v>0.25</v>
      </c>
      <c r="F1156" s="1" t="str">
        <f>_xlfn.XLOOKUP(A1156,Orders!A:A,Orders!B:B,"not found")</f>
        <v>HUNGO</v>
      </c>
      <c r="G1156" s="13">
        <f>_xlfn.XLOOKUP(OrderDetails[[#This Row],[OrderID]],Orders!A:A,Orders!C:C,"Not Found")</f>
        <v>35703</v>
      </c>
      <c r="H1156" s="16">
        <f>(OrderDetails[[#This Row],[UnitPrice]]*OrderDetails[[#This Row],[Quantity]])*(1-OrderDetails[[#This Row],[Discount]])</f>
        <v>85.5</v>
      </c>
      <c r="I1156" s="15" t="str">
        <f>_xlfn.XLOOKUP(OrderDetails[[#This Row],[ProductID]],Product!A:A,Product!G:G,"Not Found")</f>
        <v>Seafood</v>
      </c>
      <c r="J1156" s="15" t="str">
        <f>LOOKUP(MONTH(G1156),{1,4,7,10},{"Winter","Spring","Summer","Autumn"})</f>
        <v>Summer</v>
      </c>
      <c r="K1156" s="15" t="str">
        <f>_xlfn.XLOOKUP(OrderDetails[[#This Row],[ProductID]],Product!A:A,Product!B:B,"Not Found")</f>
        <v>Inlagd Sill</v>
      </c>
    </row>
    <row r="1157" spans="1:11">
      <c r="A1157" s="2">
        <v>10688</v>
      </c>
      <c r="B1157" s="2">
        <v>10</v>
      </c>
      <c r="C1157" s="2">
        <v>31</v>
      </c>
      <c r="D1157" s="2">
        <v>18</v>
      </c>
      <c r="E1157" s="4">
        <v>0.10000000149011612</v>
      </c>
      <c r="F1157" s="1" t="str">
        <f>_xlfn.XLOOKUP(A1157,Orders!A:A,Orders!B:B,"not found")</f>
        <v>VAFFE</v>
      </c>
      <c r="G1157" s="13">
        <f>_xlfn.XLOOKUP(OrderDetails[[#This Row],[OrderID]],Orders!A:A,Orders!C:C,"Not Found")</f>
        <v>35704</v>
      </c>
      <c r="H1157" s="16">
        <f>(OrderDetails[[#This Row],[UnitPrice]]*OrderDetails[[#This Row],[Quantity]])*(1-OrderDetails[[#This Row],[Discount]])</f>
        <v>502.19999916851521</v>
      </c>
      <c r="I1157" s="15" t="str">
        <f>_xlfn.XLOOKUP(OrderDetails[[#This Row],[ProductID]],Product!A:A,Product!G:G,"Not Found")</f>
        <v>Seafood</v>
      </c>
      <c r="J1157" s="15" t="str">
        <f>LOOKUP(MONTH(G1157),{1,4,7,10},{"Winter","Spring","Summer","Autumn"})</f>
        <v>Autumn</v>
      </c>
      <c r="K1157" s="15" t="str">
        <f>_xlfn.XLOOKUP(OrderDetails[[#This Row],[ProductID]],Product!A:A,Product!B:B,"Not Found")</f>
        <v>Ikura</v>
      </c>
    </row>
    <row r="1158" spans="1:11">
      <c r="A1158" s="1">
        <v>10688</v>
      </c>
      <c r="B1158" s="1">
        <v>28</v>
      </c>
      <c r="C1158" s="1">
        <v>45.6</v>
      </c>
      <c r="D1158" s="1">
        <v>60</v>
      </c>
      <c r="E1158" s="3">
        <v>0.10000000149011612</v>
      </c>
      <c r="F1158" s="1" t="str">
        <f>_xlfn.XLOOKUP(A1158,Orders!A:A,Orders!B:B,"not found")</f>
        <v>VAFFE</v>
      </c>
      <c r="G1158" s="13">
        <f>_xlfn.XLOOKUP(OrderDetails[[#This Row],[OrderID]],Orders!A:A,Orders!C:C,"Not Found")</f>
        <v>35704</v>
      </c>
      <c r="H1158" s="16">
        <f>(OrderDetails[[#This Row],[UnitPrice]]*OrderDetails[[#This Row],[Quantity]])*(1-OrderDetails[[#This Row],[Discount]])</f>
        <v>2462.3999959230423</v>
      </c>
      <c r="I1158" s="15" t="str">
        <f>_xlfn.XLOOKUP(OrderDetails[[#This Row],[ProductID]],Product!A:A,Product!G:G,"Not Found")</f>
        <v>Produce</v>
      </c>
      <c r="J1158" s="15" t="str">
        <f>LOOKUP(MONTH(G1158),{1,4,7,10},{"Winter","Spring","Summer","Autumn"})</f>
        <v>Autumn</v>
      </c>
      <c r="K1158" s="15" t="str">
        <f>_xlfn.XLOOKUP(OrderDetails[[#This Row],[ProductID]],Product!A:A,Product!B:B,"Not Found")</f>
        <v>Rössle Sauerkraut</v>
      </c>
    </row>
    <row r="1159" spans="1:11">
      <c r="A1159" s="2">
        <v>10688</v>
      </c>
      <c r="B1159" s="2">
        <v>34</v>
      </c>
      <c r="C1159" s="2">
        <v>14</v>
      </c>
      <c r="D1159" s="2">
        <v>14</v>
      </c>
      <c r="E1159" s="4">
        <v>0</v>
      </c>
      <c r="F1159" s="1" t="str">
        <f>_xlfn.XLOOKUP(A1159,Orders!A:A,Orders!B:B,"not found")</f>
        <v>VAFFE</v>
      </c>
      <c r="G1159" s="13">
        <f>_xlfn.XLOOKUP(OrderDetails[[#This Row],[OrderID]],Orders!A:A,Orders!C:C,"Not Found")</f>
        <v>35704</v>
      </c>
      <c r="H1159" s="16">
        <f>(OrderDetails[[#This Row],[UnitPrice]]*OrderDetails[[#This Row],[Quantity]])*(1-OrderDetails[[#This Row],[Discount]])</f>
        <v>196</v>
      </c>
      <c r="I1159" s="15" t="str">
        <f>_xlfn.XLOOKUP(OrderDetails[[#This Row],[ProductID]],Product!A:A,Product!G:G,"Not Found")</f>
        <v>Beverages</v>
      </c>
      <c r="J1159" s="15" t="str">
        <f>LOOKUP(MONTH(G1159),{1,4,7,10},{"Winter","Spring","Summer","Autumn"})</f>
        <v>Autumn</v>
      </c>
      <c r="K1159" s="15" t="str">
        <f>_xlfn.XLOOKUP(OrderDetails[[#This Row],[ProductID]],Product!A:A,Product!B:B,"Not Found")</f>
        <v>Sasquatch Ale</v>
      </c>
    </row>
    <row r="1160" spans="1:11">
      <c r="A1160" s="1">
        <v>10689</v>
      </c>
      <c r="B1160" s="1">
        <v>1</v>
      </c>
      <c r="C1160" s="1">
        <v>18</v>
      </c>
      <c r="D1160" s="1">
        <v>35</v>
      </c>
      <c r="E1160" s="3">
        <v>0.25</v>
      </c>
      <c r="F1160" s="1" t="str">
        <f>_xlfn.XLOOKUP(A1160,Orders!A:A,Orders!B:B,"not found")</f>
        <v>BERGS</v>
      </c>
      <c r="G1160" s="13">
        <f>_xlfn.XLOOKUP(OrderDetails[[#This Row],[OrderID]],Orders!A:A,Orders!C:C,"Not Found")</f>
        <v>35704</v>
      </c>
      <c r="H1160" s="16">
        <f>(OrderDetails[[#This Row],[UnitPrice]]*OrderDetails[[#This Row],[Quantity]])*(1-OrderDetails[[#This Row],[Discount]])</f>
        <v>472.5</v>
      </c>
      <c r="I1160" s="15" t="str">
        <f>_xlfn.XLOOKUP(OrderDetails[[#This Row],[ProductID]],Product!A:A,Product!G:G,"Not Found")</f>
        <v>Beverages</v>
      </c>
      <c r="J1160" s="15" t="str">
        <f>LOOKUP(MONTH(G1160),{1,4,7,10},{"Winter","Spring","Summer","Autumn"})</f>
        <v>Autumn</v>
      </c>
      <c r="K1160" s="15" t="str">
        <f>_xlfn.XLOOKUP(OrderDetails[[#This Row],[ProductID]],Product!A:A,Product!B:B,"Not Found")</f>
        <v>Chai</v>
      </c>
    </row>
    <row r="1161" spans="1:11">
      <c r="A1161" s="2">
        <v>10690</v>
      </c>
      <c r="B1161" s="2">
        <v>56</v>
      </c>
      <c r="C1161" s="2">
        <v>38</v>
      </c>
      <c r="D1161" s="2">
        <v>20</v>
      </c>
      <c r="E1161" s="4">
        <v>0.25</v>
      </c>
      <c r="F1161" s="1" t="str">
        <f>_xlfn.XLOOKUP(A1161,Orders!A:A,Orders!B:B,"not found")</f>
        <v>HANAR</v>
      </c>
      <c r="G1161" s="13">
        <f>_xlfn.XLOOKUP(OrderDetails[[#This Row],[OrderID]],Orders!A:A,Orders!C:C,"Not Found")</f>
        <v>35705</v>
      </c>
      <c r="H1161" s="16">
        <f>(OrderDetails[[#This Row],[UnitPrice]]*OrderDetails[[#This Row],[Quantity]])*(1-OrderDetails[[#This Row],[Discount]])</f>
        <v>570</v>
      </c>
      <c r="I1161" s="15" t="str">
        <f>_xlfn.XLOOKUP(OrderDetails[[#This Row],[ProductID]],Product!A:A,Product!G:G,"Not Found")</f>
        <v>Grains/Cereals</v>
      </c>
      <c r="J1161" s="15" t="str">
        <f>LOOKUP(MONTH(G1161),{1,4,7,10},{"Winter","Spring","Summer","Autumn"})</f>
        <v>Autumn</v>
      </c>
      <c r="K1161" s="15" t="str">
        <f>_xlfn.XLOOKUP(OrderDetails[[#This Row],[ProductID]],Product!A:A,Product!B:B,"Not Found")</f>
        <v>Gnocchi di nonna Alice</v>
      </c>
    </row>
    <row r="1162" spans="1:11">
      <c r="A1162" s="1">
        <v>10690</v>
      </c>
      <c r="B1162" s="1">
        <v>77</v>
      </c>
      <c r="C1162" s="1">
        <v>13</v>
      </c>
      <c r="D1162" s="1">
        <v>30</v>
      </c>
      <c r="E1162" s="3">
        <v>0.25</v>
      </c>
      <c r="F1162" s="1" t="str">
        <f>_xlfn.XLOOKUP(A1162,Orders!A:A,Orders!B:B,"not found")</f>
        <v>HANAR</v>
      </c>
      <c r="G1162" s="13">
        <f>_xlfn.XLOOKUP(OrderDetails[[#This Row],[OrderID]],Orders!A:A,Orders!C:C,"Not Found")</f>
        <v>35705</v>
      </c>
      <c r="H1162" s="16">
        <f>(OrderDetails[[#This Row],[UnitPrice]]*OrderDetails[[#This Row],[Quantity]])*(1-OrderDetails[[#This Row],[Discount]])</f>
        <v>292.5</v>
      </c>
      <c r="I1162" s="15" t="str">
        <f>_xlfn.XLOOKUP(OrderDetails[[#This Row],[ProductID]],Product!A:A,Product!G:G,"Not Found")</f>
        <v>Condiments</v>
      </c>
      <c r="J1162" s="15" t="str">
        <f>LOOKUP(MONTH(G1162),{1,4,7,10},{"Winter","Spring","Summer","Autumn"})</f>
        <v>Autumn</v>
      </c>
      <c r="K1162" s="15" t="str">
        <f>_xlfn.XLOOKUP(OrderDetails[[#This Row],[ProductID]],Product!A:A,Product!B:B,"Not Found")</f>
        <v>Original Frankfurter grüne Soße</v>
      </c>
    </row>
    <row r="1163" spans="1:11">
      <c r="A1163" s="2">
        <v>10691</v>
      </c>
      <c r="B1163" s="2">
        <v>1</v>
      </c>
      <c r="C1163" s="2">
        <v>18</v>
      </c>
      <c r="D1163" s="2">
        <v>30</v>
      </c>
      <c r="E1163" s="4">
        <v>0</v>
      </c>
      <c r="F1163" s="1" t="str">
        <f>_xlfn.XLOOKUP(A1163,Orders!A:A,Orders!B:B,"not found")</f>
        <v>QUICK</v>
      </c>
      <c r="G1163" s="13">
        <f>_xlfn.XLOOKUP(OrderDetails[[#This Row],[OrderID]],Orders!A:A,Orders!C:C,"Not Found")</f>
        <v>35706</v>
      </c>
      <c r="H1163" s="16">
        <f>(OrderDetails[[#This Row],[UnitPrice]]*OrderDetails[[#This Row],[Quantity]])*(1-OrderDetails[[#This Row],[Discount]])</f>
        <v>540</v>
      </c>
      <c r="I1163" s="15" t="str">
        <f>_xlfn.XLOOKUP(OrderDetails[[#This Row],[ProductID]],Product!A:A,Product!G:G,"Not Found")</f>
        <v>Beverages</v>
      </c>
      <c r="J1163" s="15" t="str">
        <f>LOOKUP(MONTH(G1163),{1,4,7,10},{"Winter","Spring","Summer","Autumn"})</f>
        <v>Autumn</v>
      </c>
      <c r="K1163" s="15" t="str">
        <f>_xlfn.XLOOKUP(OrderDetails[[#This Row],[ProductID]],Product!A:A,Product!B:B,"Not Found")</f>
        <v>Chai</v>
      </c>
    </row>
    <row r="1164" spans="1:11">
      <c r="A1164" s="1">
        <v>10691</v>
      </c>
      <c r="B1164" s="1">
        <v>29</v>
      </c>
      <c r="C1164" s="1">
        <v>123.79</v>
      </c>
      <c r="D1164" s="1">
        <v>40</v>
      </c>
      <c r="E1164" s="3">
        <v>0</v>
      </c>
      <c r="F1164" s="1" t="str">
        <f>_xlfn.XLOOKUP(A1164,Orders!A:A,Orders!B:B,"not found")</f>
        <v>QUICK</v>
      </c>
      <c r="G1164" s="13">
        <f>_xlfn.XLOOKUP(OrderDetails[[#This Row],[OrderID]],Orders!A:A,Orders!C:C,"Not Found")</f>
        <v>35706</v>
      </c>
      <c r="H1164" s="16">
        <f>(OrderDetails[[#This Row],[UnitPrice]]*OrderDetails[[#This Row],[Quantity]])*(1-OrderDetails[[#This Row],[Discount]])</f>
        <v>4951.6000000000004</v>
      </c>
      <c r="I1164" s="15" t="str">
        <f>_xlfn.XLOOKUP(OrderDetails[[#This Row],[ProductID]],Product!A:A,Product!G:G,"Not Found")</f>
        <v>Meat/Poultry</v>
      </c>
      <c r="J1164" s="15" t="str">
        <f>LOOKUP(MONTH(G1164),{1,4,7,10},{"Winter","Spring","Summer","Autumn"})</f>
        <v>Autumn</v>
      </c>
      <c r="K1164" s="15" t="str">
        <f>_xlfn.XLOOKUP(OrderDetails[[#This Row],[ProductID]],Product!A:A,Product!B:B,"Not Found")</f>
        <v>Thüringer Rostbratwurst</v>
      </c>
    </row>
    <row r="1165" spans="1:11">
      <c r="A1165" s="2">
        <v>10691</v>
      </c>
      <c r="B1165" s="2">
        <v>43</v>
      </c>
      <c r="C1165" s="2">
        <v>46</v>
      </c>
      <c r="D1165" s="2">
        <v>40</v>
      </c>
      <c r="E1165" s="4">
        <v>0</v>
      </c>
      <c r="F1165" s="1" t="str">
        <f>_xlfn.XLOOKUP(A1165,Orders!A:A,Orders!B:B,"not found")</f>
        <v>QUICK</v>
      </c>
      <c r="G1165" s="13">
        <f>_xlfn.XLOOKUP(OrderDetails[[#This Row],[OrderID]],Orders!A:A,Orders!C:C,"Not Found")</f>
        <v>35706</v>
      </c>
      <c r="H1165" s="16">
        <f>(OrderDetails[[#This Row],[UnitPrice]]*OrderDetails[[#This Row],[Quantity]])*(1-OrderDetails[[#This Row],[Discount]])</f>
        <v>1840</v>
      </c>
      <c r="I1165" s="15" t="str">
        <f>_xlfn.XLOOKUP(OrderDetails[[#This Row],[ProductID]],Product!A:A,Product!G:G,"Not Found")</f>
        <v>Beverages</v>
      </c>
      <c r="J1165" s="15" t="str">
        <f>LOOKUP(MONTH(G1165),{1,4,7,10},{"Winter","Spring","Summer","Autumn"})</f>
        <v>Autumn</v>
      </c>
      <c r="K1165" s="15" t="str">
        <f>_xlfn.XLOOKUP(OrderDetails[[#This Row],[ProductID]],Product!A:A,Product!B:B,"Not Found")</f>
        <v>Ipoh Coffee</v>
      </c>
    </row>
    <row r="1166" spans="1:11">
      <c r="A1166" s="1">
        <v>10691</v>
      </c>
      <c r="B1166" s="1">
        <v>44</v>
      </c>
      <c r="C1166" s="1">
        <v>19.45</v>
      </c>
      <c r="D1166" s="1">
        <v>24</v>
      </c>
      <c r="E1166" s="3">
        <v>0</v>
      </c>
      <c r="F1166" s="1" t="str">
        <f>_xlfn.XLOOKUP(A1166,Orders!A:A,Orders!B:B,"not found")</f>
        <v>QUICK</v>
      </c>
      <c r="G1166" s="13">
        <f>_xlfn.XLOOKUP(OrderDetails[[#This Row],[OrderID]],Orders!A:A,Orders!C:C,"Not Found")</f>
        <v>35706</v>
      </c>
      <c r="H1166" s="16">
        <f>(OrderDetails[[#This Row],[UnitPrice]]*OrderDetails[[#This Row],[Quantity]])*(1-OrderDetails[[#This Row],[Discount]])</f>
        <v>466.79999999999995</v>
      </c>
      <c r="I1166" s="15" t="str">
        <f>_xlfn.XLOOKUP(OrderDetails[[#This Row],[ProductID]],Product!A:A,Product!G:G,"Not Found")</f>
        <v>Condiments</v>
      </c>
      <c r="J1166" s="15" t="str">
        <f>LOOKUP(MONTH(G1166),{1,4,7,10},{"Winter","Spring","Summer","Autumn"})</f>
        <v>Autumn</v>
      </c>
      <c r="K1166" s="15" t="str">
        <f>_xlfn.XLOOKUP(OrderDetails[[#This Row],[ProductID]],Product!A:A,Product!B:B,"Not Found")</f>
        <v>Gula Malacca</v>
      </c>
    </row>
    <row r="1167" spans="1:11">
      <c r="A1167" s="2">
        <v>10691</v>
      </c>
      <c r="B1167" s="2">
        <v>62</v>
      </c>
      <c r="C1167" s="2">
        <v>49.3</v>
      </c>
      <c r="D1167" s="2">
        <v>48</v>
      </c>
      <c r="E1167" s="4">
        <v>0</v>
      </c>
      <c r="F1167" s="1" t="str">
        <f>_xlfn.XLOOKUP(A1167,Orders!A:A,Orders!B:B,"not found")</f>
        <v>QUICK</v>
      </c>
      <c r="G1167" s="13">
        <f>_xlfn.XLOOKUP(OrderDetails[[#This Row],[OrderID]],Orders!A:A,Orders!C:C,"Not Found")</f>
        <v>35706</v>
      </c>
      <c r="H1167" s="16">
        <f>(OrderDetails[[#This Row],[UnitPrice]]*OrderDetails[[#This Row],[Quantity]])*(1-OrderDetails[[#This Row],[Discount]])</f>
        <v>2366.3999999999996</v>
      </c>
      <c r="I1167" s="15" t="str">
        <f>_xlfn.XLOOKUP(OrderDetails[[#This Row],[ProductID]],Product!A:A,Product!G:G,"Not Found")</f>
        <v>Confections</v>
      </c>
      <c r="J1167" s="15" t="str">
        <f>LOOKUP(MONTH(G1167),{1,4,7,10},{"Winter","Spring","Summer","Autumn"})</f>
        <v>Autumn</v>
      </c>
      <c r="K1167" s="15" t="str">
        <f>_xlfn.XLOOKUP(OrderDetails[[#This Row],[ProductID]],Product!A:A,Product!B:B,"Not Found")</f>
        <v>Tarte au sucre</v>
      </c>
    </row>
    <row r="1168" spans="1:11">
      <c r="A1168" s="1">
        <v>10692</v>
      </c>
      <c r="B1168" s="1">
        <v>63</v>
      </c>
      <c r="C1168" s="1">
        <v>43.9</v>
      </c>
      <c r="D1168" s="1">
        <v>20</v>
      </c>
      <c r="E1168" s="3">
        <v>0</v>
      </c>
      <c r="F1168" s="1" t="str">
        <f>_xlfn.XLOOKUP(A1168,Orders!A:A,Orders!B:B,"not found")</f>
        <v>ALFKI</v>
      </c>
      <c r="G1168" s="13">
        <f>_xlfn.XLOOKUP(OrderDetails[[#This Row],[OrderID]],Orders!A:A,Orders!C:C,"Not Found")</f>
        <v>35706</v>
      </c>
      <c r="H1168" s="16">
        <f>(OrderDetails[[#This Row],[UnitPrice]]*OrderDetails[[#This Row],[Quantity]])*(1-OrderDetails[[#This Row],[Discount]])</f>
        <v>878</v>
      </c>
      <c r="I1168" s="15" t="str">
        <f>_xlfn.XLOOKUP(OrderDetails[[#This Row],[ProductID]],Product!A:A,Product!G:G,"Not Found")</f>
        <v>Condiments</v>
      </c>
      <c r="J1168" s="15" t="str">
        <f>LOOKUP(MONTH(G1168),{1,4,7,10},{"Winter","Spring","Summer","Autumn"})</f>
        <v>Autumn</v>
      </c>
      <c r="K1168" s="15" t="str">
        <f>_xlfn.XLOOKUP(OrderDetails[[#This Row],[ProductID]],Product!A:A,Product!B:B,"Not Found")</f>
        <v>Vegie-spread</v>
      </c>
    </row>
    <row r="1169" spans="1:11">
      <c r="A1169" s="2">
        <v>10693</v>
      </c>
      <c r="B1169" s="2">
        <v>9</v>
      </c>
      <c r="C1169" s="2">
        <v>97</v>
      </c>
      <c r="D1169" s="2">
        <v>6</v>
      </c>
      <c r="E1169" s="4">
        <v>0</v>
      </c>
      <c r="F1169" s="1" t="str">
        <f>_xlfn.XLOOKUP(A1169,Orders!A:A,Orders!B:B,"not found")</f>
        <v>WHITC</v>
      </c>
      <c r="G1169" s="13">
        <f>_xlfn.XLOOKUP(OrderDetails[[#This Row],[OrderID]],Orders!A:A,Orders!C:C,"Not Found")</f>
        <v>35709</v>
      </c>
      <c r="H1169" s="16">
        <f>(OrderDetails[[#This Row],[UnitPrice]]*OrderDetails[[#This Row],[Quantity]])*(1-OrderDetails[[#This Row],[Discount]])</f>
        <v>582</v>
      </c>
      <c r="I1169" s="15" t="str">
        <f>_xlfn.XLOOKUP(OrderDetails[[#This Row],[ProductID]],Product!A:A,Product!G:G,"Not Found")</f>
        <v>Meat/Poultry</v>
      </c>
      <c r="J1169" s="15" t="str">
        <f>LOOKUP(MONTH(G1169),{1,4,7,10},{"Winter","Spring","Summer","Autumn"})</f>
        <v>Autumn</v>
      </c>
      <c r="K1169" s="15" t="str">
        <f>_xlfn.XLOOKUP(OrderDetails[[#This Row],[ProductID]],Product!A:A,Product!B:B,"Not Found")</f>
        <v>Mishi Kobe Niku</v>
      </c>
    </row>
    <row r="1170" spans="1:11">
      <c r="A1170" s="1">
        <v>10693</v>
      </c>
      <c r="B1170" s="1">
        <v>54</v>
      </c>
      <c r="C1170" s="1">
        <v>7.45</v>
      </c>
      <c r="D1170" s="1">
        <v>60</v>
      </c>
      <c r="E1170" s="3">
        <v>0.15000000596046448</v>
      </c>
      <c r="F1170" s="1" t="str">
        <f>_xlfn.XLOOKUP(A1170,Orders!A:A,Orders!B:B,"not found")</f>
        <v>WHITC</v>
      </c>
      <c r="G1170" s="13">
        <f>_xlfn.XLOOKUP(OrderDetails[[#This Row],[OrderID]],Orders!A:A,Orders!C:C,"Not Found")</f>
        <v>35709</v>
      </c>
      <c r="H1170" s="16">
        <f>(OrderDetails[[#This Row],[UnitPrice]]*OrderDetails[[#This Row],[Quantity]])*(1-OrderDetails[[#This Row],[Discount]])</f>
        <v>379.94999733567238</v>
      </c>
      <c r="I1170" s="15" t="str">
        <f>_xlfn.XLOOKUP(OrderDetails[[#This Row],[ProductID]],Product!A:A,Product!G:G,"Not Found")</f>
        <v>Meat/Poultry</v>
      </c>
      <c r="J1170" s="15" t="str">
        <f>LOOKUP(MONTH(G1170),{1,4,7,10},{"Winter","Spring","Summer","Autumn"})</f>
        <v>Autumn</v>
      </c>
      <c r="K1170" s="15" t="str">
        <f>_xlfn.XLOOKUP(OrderDetails[[#This Row],[ProductID]],Product!A:A,Product!B:B,"Not Found")</f>
        <v>Tourtière</v>
      </c>
    </row>
    <row r="1171" spans="1:11">
      <c r="A1171" s="2">
        <v>10693</v>
      </c>
      <c r="B1171" s="2">
        <v>69</v>
      </c>
      <c r="C1171" s="2">
        <v>36</v>
      </c>
      <c r="D1171" s="2">
        <v>30</v>
      </c>
      <c r="E1171" s="4">
        <v>0.15000000596046448</v>
      </c>
      <c r="F1171" s="1" t="str">
        <f>_xlfn.XLOOKUP(A1171,Orders!A:A,Orders!B:B,"not found")</f>
        <v>WHITC</v>
      </c>
      <c r="G1171" s="13">
        <f>_xlfn.XLOOKUP(OrderDetails[[#This Row],[OrderID]],Orders!A:A,Orders!C:C,"Not Found")</f>
        <v>35709</v>
      </c>
      <c r="H1171" s="16">
        <f>(OrderDetails[[#This Row],[UnitPrice]]*OrderDetails[[#This Row],[Quantity]])*(1-OrderDetails[[#This Row],[Discount]])</f>
        <v>917.99999356269836</v>
      </c>
      <c r="I1171" s="15" t="str">
        <f>_xlfn.XLOOKUP(OrderDetails[[#This Row],[ProductID]],Product!A:A,Product!G:G,"Not Found")</f>
        <v>Dairy Products</v>
      </c>
      <c r="J1171" s="15" t="str">
        <f>LOOKUP(MONTH(G1171),{1,4,7,10},{"Winter","Spring","Summer","Autumn"})</f>
        <v>Autumn</v>
      </c>
      <c r="K1171" s="15" t="str">
        <f>_xlfn.XLOOKUP(OrderDetails[[#This Row],[ProductID]],Product!A:A,Product!B:B,"Not Found")</f>
        <v>Gudbrandsdalsost</v>
      </c>
    </row>
    <row r="1172" spans="1:11">
      <c r="A1172" s="1">
        <v>10693</v>
      </c>
      <c r="B1172" s="1">
        <v>73</v>
      </c>
      <c r="C1172" s="1">
        <v>15</v>
      </c>
      <c r="D1172" s="1">
        <v>15</v>
      </c>
      <c r="E1172" s="3">
        <v>0.15000000596046448</v>
      </c>
      <c r="F1172" s="1" t="str">
        <f>_xlfn.XLOOKUP(A1172,Orders!A:A,Orders!B:B,"not found")</f>
        <v>WHITC</v>
      </c>
      <c r="G1172" s="13">
        <f>_xlfn.XLOOKUP(OrderDetails[[#This Row],[OrderID]],Orders!A:A,Orders!C:C,"Not Found")</f>
        <v>35709</v>
      </c>
      <c r="H1172" s="16">
        <f>(OrderDetails[[#This Row],[UnitPrice]]*OrderDetails[[#This Row],[Quantity]])*(1-OrderDetails[[#This Row],[Discount]])</f>
        <v>191.24999865889549</v>
      </c>
      <c r="I1172" s="15" t="str">
        <f>_xlfn.XLOOKUP(OrderDetails[[#This Row],[ProductID]],Product!A:A,Product!G:G,"Not Found")</f>
        <v>Seafood</v>
      </c>
      <c r="J1172" s="15" t="str">
        <f>LOOKUP(MONTH(G1172),{1,4,7,10},{"Winter","Spring","Summer","Autumn"})</f>
        <v>Autumn</v>
      </c>
      <c r="K1172" s="15" t="str">
        <f>_xlfn.XLOOKUP(OrderDetails[[#This Row],[ProductID]],Product!A:A,Product!B:B,"Not Found")</f>
        <v>Röd Kaviar</v>
      </c>
    </row>
    <row r="1173" spans="1:11">
      <c r="A1173" s="2">
        <v>10694</v>
      </c>
      <c r="B1173" s="2">
        <v>7</v>
      </c>
      <c r="C1173" s="2">
        <v>30</v>
      </c>
      <c r="D1173" s="2">
        <v>90</v>
      </c>
      <c r="E1173" s="4">
        <v>0</v>
      </c>
      <c r="F1173" s="1" t="str">
        <f>_xlfn.XLOOKUP(A1173,Orders!A:A,Orders!B:B,"not found")</f>
        <v>QUICK</v>
      </c>
      <c r="G1173" s="13">
        <f>_xlfn.XLOOKUP(OrderDetails[[#This Row],[OrderID]],Orders!A:A,Orders!C:C,"Not Found")</f>
        <v>35709</v>
      </c>
      <c r="H1173" s="16">
        <f>(OrderDetails[[#This Row],[UnitPrice]]*OrderDetails[[#This Row],[Quantity]])*(1-OrderDetails[[#This Row],[Discount]])</f>
        <v>2700</v>
      </c>
      <c r="I1173" s="15" t="str">
        <f>_xlfn.XLOOKUP(OrderDetails[[#This Row],[ProductID]],Product!A:A,Product!G:G,"Not Found")</f>
        <v>Produce</v>
      </c>
      <c r="J1173" s="15" t="str">
        <f>LOOKUP(MONTH(G1173),{1,4,7,10},{"Winter","Spring","Summer","Autumn"})</f>
        <v>Autumn</v>
      </c>
      <c r="K1173" s="15" t="str">
        <f>_xlfn.XLOOKUP(OrderDetails[[#This Row],[ProductID]],Product!A:A,Product!B:B,"Not Found")</f>
        <v>Uncle Bob's Organic Dried Pears</v>
      </c>
    </row>
    <row r="1174" spans="1:11">
      <c r="A1174" s="1">
        <v>10694</v>
      </c>
      <c r="B1174" s="1">
        <v>59</v>
      </c>
      <c r="C1174" s="1">
        <v>55</v>
      </c>
      <c r="D1174" s="1">
        <v>25</v>
      </c>
      <c r="E1174" s="3">
        <v>0</v>
      </c>
      <c r="F1174" s="1" t="str">
        <f>_xlfn.XLOOKUP(A1174,Orders!A:A,Orders!B:B,"not found")</f>
        <v>QUICK</v>
      </c>
      <c r="G1174" s="13">
        <f>_xlfn.XLOOKUP(OrderDetails[[#This Row],[OrderID]],Orders!A:A,Orders!C:C,"Not Found")</f>
        <v>35709</v>
      </c>
      <c r="H1174" s="16">
        <f>(OrderDetails[[#This Row],[UnitPrice]]*OrderDetails[[#This Row],[Quantity]])*(1-OrderDetails[[#This Row],[Discount]])</f>
        <v>1375</v>
      </c>
      <c r="I1174" s="15" t="str">
        <f>_xlfn.XLOOKUP(OrderDetails[[#This Row],[ProductID]],Product!A:A,Product!G:G,"Not Found")</f>
        <v>Dairy Products</v>
      </c>
      <c r="J1174" s="15" t="str">
        <f>LOOKUP(MONTH(G1174),{1,4,7,10},{"Winter","Spring","Summer","Autumn"})</f>
        <v>Autumn</v>
      </c>
      <c r="K1174" s="15" t="str">
        <f>_xlfn.XLOOKUP(OrderDetails[[#This Row],[ProductID]],Product!A:A,Product!B:B,"Not Found")</f>
        <v>Raclette Courdavault</v>
      </c>
    </row>
    <row r="1175" spans="1:11">
      <c r="A1175" s="2">
        <v>10694</v>
      </c>
      <c r="B1175" s="2">
        <v>70</v>
      </c>
      <c r="C1175" s="2">
        <v>15</v>
      </c>
      <c r="D1175" s="2">
        <v>50</v>
      </c>
      <c r="E1175" s="4">
        <v>0</v>
      </c>
      <c r="F1175" s="1" t="str">
        <f>_xlfn.XLOOKUP(A1175,Orders!A:A,Orders!B:B,"not found")</f>
        <v>QUICK</v>
      </c>
      <c r="G1175" s="13">
        <f>_xlfn.XLOOKUP(OrderDetails[[#This Row],[OrderID]],Orders!A:A,Orders!C:C,"Not Found")</f>
        <v>35709</v>
      </c>
      <c r="H1175" s="16">
        <f>(OrderDetails[[#This Row],[UnitPrice]]*OrderDetails[[#This Row],[Quantity]])*(1-OrderDetails[[#This Row],[Discount]])</f>
        <v>750</v>
      </c>
      <c r="I1175" s="15" t="str">
        <f>_xlfn.XLOOKUP(OrderDetails[[#This Row],[ProductID]],Product!A:A,Product!G:G,"Not Found")</f>
        <v>Beverages</v>
      </c>
      <c r="J1175" s="15" t="str">
        <f>LOOKUP(MONTH(G1175),{1,4,7,10},{"Winter","Spring","Summer","Autumn"})</f>
        <v>Autumn</v>
      </c>
      <c r="K1175" s="15" t="str">
        <f>_xlfn.XLOOKUP(OrderDetails[[#This Row],[ProductID]],Product!A:A,Product!B:B,"Not Found")</f>
        <v>Outback Lager</v>
      </c>
    </row>
    <row r="1176" spans="1:11">
      <c r="A1176" s="1">
        <v>10695</v>
      </c>
      <c r="B1176" s="1">
        <v>8</v>
      </c>
      <c r="C1176" s="1">
        <v>40</v>
      </c>
      <c r="D1176" s="1">
        <v>10</v>
      </c>
      <c r="E1176" s="3">
        <v>0</v>
      </c>
      <c r="F1176" s="1" t="str">
        <f>_xlfn.XLOOKUP(A1176,Orders!A:A,Orders!B:B,"not found")</f>
        <v>WILMK</v>
      </c>
      <c r="G1176" s="13">
        <f>_xlfn.XLOOKUP(OrderDetails[[#This Row],[OrderID]],Orders!A:A,Orders!C:C,"Not Found")</f>
        <v>35710</v>
      </c>
      <c r="H1176" s="16">
        <f>(OrderDetails[[#This Row],[UnitPrice]]*OrderDetails[[#This Row],[Quantity]])*(1-OrderDetails[[#This Row],[Discount]])</f>
        <v>400</v>
      </c>
      <c r="I1176" s="15" t="str">
        <f>_xlfn.XLOOKUP(OrderDetails[[#This Row],[ProductID]],Product!A:A,Product!G:G,"Not Found")</f>
        <v>Condiments</v>
      </c>
      <c r="J1176" s="15" t="str">
        <f>LOOKUP(MONTH(G1176),{1,4,7,10},{"Winter","Spring","Summer","Autumn"})</f>
        <v>Autumn</v>
      </c>
      <c r="K1176" s="15" t="str">
        <f>_xlfn.XLOOKUP(OrderDetails[[#This Row],[ProductID]],Product!A:A,Product!B:B,"Not Found")</f>
        <v>Northwoods Cranberry Sauce</v>
      </c>
    </row>
    <row r="1177" spans="1:11">
      <c r="A1177" s="2">
        <v>10695</v>
      </c>
      <c r="B1177" s="2">
        <v>12</v>
      </c>
      <c r="C1177" s="2">
        <v>38</v>
      </c>
      <c r="D1177" s="2">
        <v>4</v>
      </c>
      <c r="E1177" s="4">
        <v>0</v>
      </c>
      <c r="F1177" s="1" t="str">
        <f>_xlfn.XLOOKUP(A1177,Orders!A:A,Orders!B:B,"not found")</f>
        <v>WILMK</v>
      </c>
      <c r="G1177" s="13">
        <f>_xlfn.XLOOKUP(OrderDetails[[#This Row],[OrderID]],Orders!A:A,Orders!C:C,"Not Found")</f>
        <v>35710</v>
      </c>
      <c r="H1177" s="16">
        <f>(OrderDetails[[#This Row],[UnitPrice]]*OrderDetails[[#This Row],[Quantity]])*(1-OrderDetails[[#This Row],[Discount]])</f>
        <v>152</v>
      </c>
      <c r="I1177" s="15" t="str">
        <f>_xlfn.XLOOKUP(OrderDetails[[#This Row],[ProductID]],Product!A:A,Product!G:G,"Not Found")</f>
        <v>Dairy Products</v>
      </c>
      <c r="J1177" s="15" t="str">
        <f>LOOKUP(MONTH(G1177),{1,4,7,10},{"Winter","Spring","Summer","Autumn"})</f>
        <v>Autumn</v>
      </c>
      <c r="K1177" s="15" t="str">
        <f>_xlfn.XLOOKUP(OrderDetails[[#This Row],[ProductID]],Product!A:A,Product!B:B,"Not Found")</f>
        <v>Queso Manchego La Pastora</v>
      </c>
    </row>
    <row r="1178" spans="1:11">
      <c r="A1178" s="1">
        <v>10695</v>
      </c>
      <c r="B1178" s="1">
        <v>24</v>
      </c>
      <c r="C1178" s="1">
        <v>4.5</v>
      </c>
      <c r="D1178" s="1">
        <v>20</v>
      </c>
      <c r="E1178" s="3">
        <v>0</v>
      </c>
      <c r="F1178" s="1" t="str">
        <f>_xlfn.XLOOKUP(A1178,Orders!A:A,Orders!B:B,"not found")</f>
        <v>WILMK</v>
      </c>
      <c r="G1178" s="13">
        <f>_xlfn.XLOOKUP(OrderDetails[[#This Row],[OrderID]],Orders!A:A,Orders!C:C,"Not Found")</f>
        <v>35710</v>
      </c>
      <c r="H1178" s="16">
        <f>(OrderDetails[[#This Row],[UnitPrice]]*OrderDetails[[#This Row],[Quantity]])*(1-OrderDetails[[#This Row],[Discount]])</f>
        <v>90</v>
      </c>
      <c r="I1178" s="15" t="str">
        <f>_xlfn.XLOOKUP(OrderDetails[[#This Row],[ProductID]],Product!A:A,Product!G:G,"Not Found")</f>
        <v>Beverages</v>
      </c>
      <c r="J1178" s="15" t="str">
        <f>LOOKUP(MONTH(G1178),{1,4,7,10},{"Winter","Spring","Summer","Autumn"})</f>
        <v>Autumn</v>
      </c>
      <c r="K1178" s="15" t="str">
        <f>_xlfn.XLOOKUP(OrderDetails[[#This Row],[ProductID]],Product!A:A,Product!B:B,"Not Found")</f>
        <v>Guaraná Fantástica</v>
      </c>
    </row>
    <row r="1179" spans="1:11">
      <c r="A1179" s="2">
        <v>10696</v>
      </c>
      <c r="B1179" s="2">
        <v>17</v>
      </c>
      <c r="C1179" s="2">
        <v>39</v>
      </c>
      <c r="D1179" s="2">
        <v>20</v>
      </c>
      <c r="E1179" s="4">
        <v>0</v>
      </c>
      <c r="F1179" s="1" t="str">
        <f>_xlfn.XLOOKUP(A1179,Orders!A:A,Orders!B:B,"not found")</f>
        <v>WHITC</v>
      </c>
      <c r="G1179" s="13">
        <f>_xlfn.XLOOKUP(OrderDetails[[#This Row],[OrderID]],Orders!A:A,Orders!C:C,"Not Found")</f>
        <v>35711</v>
      </c>
      <c r="H1179" s="16">
        <f>(OrderDetails[[#This Row],[UnitPrice]]*OrderDetails[[#This Row],[Quantity]])*(1-OrderDetails[[#This Row],[Discount]])</f>
        <v>780</v>
      </c>
      <c r="I1179" s="15" t="str">
        <f>_xlfn.XLOOKUP(OrderDetails[[#This Row],[ProductID]],Product!A:A,Product!G:G,"Not Found")</f>
        <v>Meat/Poultry</v>
      </c>
      <c r="J1179" s="15" t="str">
        <f>LOOKUP(MONTH(G1179),{1,4,7,10},{"Winter","Spring","Summer","Autumn"})</f>
        <v>Autumn</v>
      </c>
      <c r="K1179" s="15" t="str">
        <f>_xlfn.XLOOKUP(OrderDetails[[#This Row],[ProductID]],Product!A:A,Product!B:B,"Not Found")</f>
        <v>Alice Mutton</v>
      </c>
    </row>
    <row r="1180" spans="1:11">
      <c r="A1180" s="1">
        <v>10696</v>
      </c>
      <c r="B1180" s="1">
        <v>46</v>
      </c>
      <c r="C1180" s="1">
        <v>12</v>
      </c>
      <c r="D1180" s="1">
        <v>18</v>
      </c>
      <c r="E1180" s="3">
        <v>0</v>
      </c>
      <c r="F1180" s="1" t="str">
        <f>_xlfn.XLOOKUP(A1180,Orders!A:A,Orders!B:B,"not found")</f>
        <v>WHITC</v>
      </c>
      <c r="G1180" s="13">
        <f>_xlfn.XLOOKUP(OrderDetails[[#This Row],[OrderID]],Orders!A:A,Orders!C:C,"Not Found")</f>
        <v>35711</v>
      </c>
      <c r="H1180" s="16">
        <f>(OrderDetails[[#This Row],[UnitPrice]]*OrderDetails[[#This Row],[Quantity]])*(1-OrderDetails[[#This Row],[Discount]])</f>
        <v>216</v>
      </c>
      <c r="I1180" s="15" t="str">
        <f>_xlfn.XLOOKUP(OrderDetails[[#This Row],[ProductID]],Product!A:A,Product!G:G,"Not Found")</f>
        <v>Seafood</v>
      </c>
      <c r="J1180" s="15" t="str">
        <f>LOOKUP(MONTH(G1180),{1,4,7,10},{"Winter","Spring","Summer","Autumn"})</f>
        <v>Autumn</v>
      </c>
      <c r="K1180" s="15" t="str">
        <f>_xlfn.XLOOKUP(OrderDetails[[#This Row],[ProductID]],Product!A:A,Product!B:B,"Not Found")</f>
        <v>Spegesild</v>
      </c>
    </row>
    <row r="1181" spans="1:11">
      <c r="A1181" s="2">
        <v>10697</v>
      </c>
      <c r="B1181" s="2">
        <v>19</v>
      </c>
      <c r="C1181" s="2">
        <v>9.1999999999999993</v>
      </c>
      <c r="D1181" s="2">
        <v>7</v>
      </c>
      <c r="E1181" s="4">
        <v>0.25</v>
      </c>
      <c r="F1181" s="1" t="str">
        <f>_xlfn.XLOOKUP(A1181,Orders!A:A,Orders!B:B,"not found")</f>
        <v>LINOD</v>
      </c>
      <c r="G1181" s="13">
        <f>_xlfn.XLOOKUP(OrderDetails[[#This Row],[OrderID]],Orders!A:A,Orders!C:C,"Not Found")</f>
        <v>35711</v>
      </c>
      <c r="H1181" s="16">
        <f>(OrderDetails[[#This Row],[UnitPrice]]*OrderDetails[[#This Row],[Quantity]])*(1-OrderDetails[[#This Row],[Discount]])</f>
        <v>48.3</v>
      </c>
      <c r="I1181" s="15" t="str">
        <f>_xlfn.XLOOKUP(OrderDetails[[#This Row],[ProductID]],Product!A:A,Product!G:G,"Not Found")</f>
        <v>Confections</v>
      </c>
      <c r="J1181" s="15" t="str">
        <f>LOOKUP(MONTH(G1181),{1,4,7,10},{"Winter","Spring","Summer","Autumn"})</f>
        <v>Autumn</v>
      </c>
      <c r="K1181" s="15" t="str">
        <f>_xlfn.XLOOKUP(OrderDetails[[#This Row],[ProductID]],Product!A:A,Product!B:B,"Not Found")</f>
        <v>Teatime Chocolate Biscuits</v>
      </c>
    </row>
    <row r="1182" spans="1:11">
      <c r="A1182" s="1">
        <v>10697</v>
      </c>
      <c r="B1182" s="1">
        <v>35</v>
      </c>
      <c r="C1182" s="1">
        <v>18</v>
      </c>
      <c r="D1182" s="1">
        <v>9</v>
      </c>
      <c r="E1182" s="3">
        <v>0.25</v>
      </c>
      <c r="F1182" s="1" t="str">
        <f>_xlfn.XLOOKUP(A1182,Orders!A:A,Orders!B:B,"not found")</f>
        <v>LINOD</v>
      </c>
      <c r="G1182" s="13">
        <f>_xlfn.XLOOKUP(OrderDetails[[#This Row],[OrderID]],Orders!A:A,Orders!C:C,"Not Found")</f>
        <v>35711</v>
      </c>
      <c r="H1182" s="16">
        <f>(OrderDetails[[#This Row],[UnitPrice]]*OrderDetails[[#This Row],[Quantity]])*(1-OrderDetails[[#This Row],[Discount]])</f>
        <v>121.5</v>
      </c>
      <c r="I1182" s="15" t="str">
        <f>_xlfn.XLOOKUP(OrderDetails[[#This Row],[ProductID]],Product!A:A,Product!G:G,"Not Found")</f>
        <v>Beverages</v>
      </c>
      <c r="J1182" s="15" t="str">
        <f>LOOKUP(MONTH(G1182),{1,4,7,10},{"Winter","Spring","Summer","Autumn"})</f>
        <v>Autumn</v>
      </c>
      <c r="K1182" s="15" t="str">
        <f>_xlfn.XLOOKUP(OrderDetails[[#This Row],[ProductID]],Product!A:A,Product!B:B,"Not Found")</f>
        <v>Steeleye Stout</v>
      </c>
    </row>
    <row r="1183" spans="1:11">
      <c r="A1183" s="2">
        <v>10697</v>
      </c>
      <c r="B1183" s="2">
        <v>58</v>
      </c>
      <c r="C1183" s="2">
        <v>13.25</v>
      </c>
      <c r="D1183" s="2">
        <v>30</v>
      </c>
      <c r="E1183" s="4">
        <v>0.25</v>
      </c>
      <c r="F1183" s="1" t="str">
        <f>_xlfn.XLOOKUP(A1183,Orders!A:A,Orders!B:B,"not found")</f>
        <v>LINOD</v>
      </c>
      <c r="G1183" s="13">
        <f>_xlfn.XLOOKUP(OrderDetails[[#This Row],[OrderID]],Orders!A:A,Orders!C:C,"Not Found")</f>
        <v>35711</v>
      </c>
      <c r="H1183" s="16">
        <f>(OrderDetails[[#This Row],[UnitPrice]]*OrderDetails[[#This Row],[Quantity]])*(1-OrderDetails[[#This Row],[Discount]])</f>
        <v>298.125</v>
      </c>
      <c r="I1183" s="15" t="str">
        <f>_xlfn.XLOOKUP(OrderDetails[[#This Row],[ProductID]],Product!A:A,Product!G:G,"Not Found")</f>
        <v>Seafood</v>
      </c>
      <c r="J1183" s="15" t="str">
        <f>LOOKUP(MONTH(G1183),{1,4,7,10},{"Winter","Spring","Summer","Autumn"})</f>
        <v>Autumn</v>
      </c>
      <c r="K1183" s="15" t="str">
        <f>_xlfn.XLOOKUP(OrderDetails[[#This Row],[ProductID]],Product!A:A,Product!B:B,"Not Found")</f>
        <v>Escargots de Bourgogne</v>
      </c>
    </row>
    <row r="1184" spans="1:11">
      <c r="A1184" s="1">
        <v>10697</v>
      </c>
      <c r="B1184" s="1">
        <v>70</v>
      </c>
      <c r="C1184" s="1">
        <v>15</v>
      </c>
      <c r="D1184" s="1">
        <v>30</v>
      </c>
      <c r="E1184" s="3">
        <v>0.25</v>
      </c>
      <c r="F1184" s="1" t="str">
        <f>_xlfn.XLOOKUP(A1184,Orders!A:A,Orders!B:B,"not found")</f>
        <v>LINOD</v>
      </c>
      <c r="G1184" s="13">
        <f>_xlfn.XLOOKUP(OrderDetails[[#This Row],[OrderID]],Orders!A:A,Orders!C:C,"Not Found")</f>
        <v>35711</v>
      </c>
      <c r="H1184" s="16">
        <f>(OrderDetails[[#This Row],[UnitPrice]]*OrderDetails[[#This Row],[Quantity]])*(1-OrderDetails[[#This Row],[Discount]])</f>
        <v>337.5</v>
      </c>
      <c r="I1184" s="15" t="str">
        <f>_xlfn.XLOOKUP(OrderDetails[[#This Row],[ProductID]],Product!A:A,Product!G:G,"Not Found")</f>
        <v>Beverages</v>
      </c>
      <c r="J1184" s="15" t="str">
        <f>LOOKUP(MONTH(G1184),{1,4,7,10},{"Winter","Spring","Summer","Autumn"})</f>
        <v>Autumn</v>
      </c>
      <c r="K1184" s="15" t="str">
        <f>_xlfn.XLOOKUP(OrderDetails[[#This Row],[ProductID]],Product!A:A,Product!B:B,"Not Found")</f>
        <v>Outback Lager</v>
      </c>
    </row>
    <row r="1185" spans="1:11">
      <c r="A1185" s="2">
        <v>10698</v>
      </c>
      <c r="B1185" s="2">
        <v>11</v>
      </c>
      <c r="C1185" s="2">
        <v>21</v>
      </c>
      <c r="D1185" s="2">
        <v>15</v>
      </c>
      <c r="E1185" s="4">
        <v>0</v>
      </c>
      <c r="F1185" s="1" t="str">
        <f>_xlfn.XLOOKUP(A1185,Orders!A:A,Orders!B:B,"not found")</f>
        <v>ERNSH</v>
      </c>
      <c r="G1185" s="13">
        <f>_xlfn.XLOOKUP(OrderDetails[[#This Row],[OrderID]],Orders!A:A,Orders!C:C,"Not Found")</f>
        <v>35712</v>
      </c>
      <c r="H1185" s="16">
        <f>(OrderDetails[[#This Row],[UnitPrice]]*OrderDetails[[#This Row],[Quantity]])*(1-OrderDetails[[#This Row],[Discount]])</f>
        <v>315</v>
      </c>
      <c r="I1185" s="15" t="str">
        <f>_xlfn.XLOOKUP(OrderDetails[[#This Row],[ProductID]],Product!A:A,Product!G:G,"Not Found")</f>
        <v>Dairy Products</v>
      </c>
      <c r="J1185" s="15" t="str">
        <f>LOOKUP(MONTH(G1185),{1,4,7,10},{"Winter","Spring","Summer","Autumn"})</f>
        <v>Autumn</v>
      </c>
      <c r="K1185" s="15" t="str">
        <f>_xlfn.XLOOKUP(OrderDetails[[#This Row],[ProductID]],Product!A:A,Product!B:B,"Not Found")</f>
        <v>Queso Cabrales</v>
      </c>
    </row>
    <row r="1186" spans="1:11">
      <c r="A1186" s="1">
        <v>10698</v>
      </c>
      <c r="B1186" s="1">
        <v>17</v>
      </c>
      <c r="C1186" s="1">
        <v>39</v>
      </c>
      <c r="D1186" s="1">
        <v>8</v>
      </c>
      <c r="E1186" s="3">
        <v>5.000000074505806E-2</v>
      </c>
      <c r="F1186" s="1" t="str">
        <f>_xlfn.XLOOKUP(A1186,Orders!A:A,Orders!B:B,"not found")</f>
        <v>ERNSH</v>
      </c>
      <c r="G1186" s="13">
        <f>_xlfn.XLOOKUP(OrderDetails[[#This Row],[OrderID]],Orders!A:A,Orders!C:C,"Not Found")</f>
        <v>35712</v>
      </c>
      <c r="H1186" s="16">
        <f>(OrderDetails[[#This Row],[UnitPrice]]*OrderDetails[[#This Row],[Quantity]])*(1-OrderDetails[[#This Row],[Discount]])</f>
        <v>296.39999976754189</v>
      </c>
      <c r="I1186" s="15" t="str">
        <f>_xlfn.XLOOKUP(OrderDetails[[#This Row],[ProductID]],Product!A:A,Product!G:G,"Not Found")</f>
        <v>Meat/Poultry</v>
      </c>
      <c r="J1186" s="15" t="str">
        <f>LOOKUP(MONTH(G1186),{1,4,7,10},{"Winter","Spring","Summer","Autumn"})</f>
        <v>Autumn</v>
      </c>
      <c r="K1186" s="15" t="str">
        <f>_xlfn.XLOOKUP(OrderDetails[[#This Row],[ProductID]],Product!A:A,Product!B:B,"Not Found")</f>
        <v>Alice Mutton</v>
      </c>
    </row>
    <row r="1187" spans="1:11">
      <c r="A1187" s="2">
        <v>10698</v>
      </c>
      <c r="B1187" s="2">
        <v>29</v>
      </c>
      <c r="C1187" s="2">
        <v>123.79</v>
      </c>
      <c r="D1187" s="2">
        <v>12</v>
      </c>
      <c r="E1187" s="4">
        <v>5.000000074505806E-2</v>
      </c>
      <c r="F1187" s="1" t="str">
        <f>_xlfn.XLOOKUP(A1187,Orders!A:A,Orders!B:B,"not found")</f>
        <v>ERNSH</v>
      </c>
      <c r="G1187" s="13">
        <f>_xlfn.XLOOKUP(OrderDetails[[#This Row],[OrderID]],Orders!A:A,Orders!C:C,"Not Found")</f>
        <v>35712</v>
      </c>
      <c r="H1187" s="16">
        <f>(OrderDetails[[#This Row],[UnitPrice]]*OrderDetails[[#This Row],[Quantity]])*(1-OrderDetails[[#This Row],[Discount]])</f>
        <v>1411.2059988932313</v>
      </c>
      <c r="I1187" s="15" t="str">
        <f>_xlfn.XLOOKUP(OrderDetails[[#This Row],[ProductID]],Product!A:A,Product!G:G,"Not Found")</f>
        <v>Meat/Poultry</v>
      </c>
      <c r="J1187" s="15" t="str">
        <f>LOOKUP(MONTH(G1187),{1,4,7,10},{"Winter","Spring","Summer","Autumn"})</f>
        <v>Autumn</v>
      </c>
      <c r="K1187" s="15" t="str">
        <f>_xlfn.XLOOKUP(OrderDetails[[#This Row],[ProductID]],Product!A:A,Product!B:B,"Not Found")</f>
        <v>Thüringer Rostbratwurst</v>
      </c>
    </row>
    <row r="1188" spans="1:11">
      <c r="A1188" s="1">
        <v>10698</v>
      </c>
      <c r="B1188" s="1">
        <v>65</v>
      </c>
      <c r="C1188" s="1">
        <v>21.05</v>
      </c>
      <c r="D1188" s="1">
        <v>65</v>
      </c>
      <c r="E1188" s="3">
        <v>5.000000074505806E-2</v>
      </c>
      <c r="F1188" s="1" t="str">
        <f>_xlfn.XLOOKUP(A1188,Orders!A:A,Orders!B:B,"not found")</f>
        <v>ERNSH</v>
      </c>
      <c r="G1188" s="13">
        <f>_xlfn.XLOOKUP(OrderDetails[[#This Row],[OrderID]],Orders!A:A,Orders!C:C,"Not Found")</f>
        <v>35712</v>
      </c>
      <c r="H1188" s="16">
        <f>(OrderDetails[[#This Row],[UnitPrice]]*OrderDetails[[#This Row],[Quantity]])*(1-OrderDetails[[#This Row],[Discount]])</f>
        <v>1299.8374989805743</v>
      </c>
      <c r="I1188" s="15" t="str">
        <f>_xlfn.XLOOKUP(OrderDetails[[#This Row],[ProductID]],Product!A:A,Product!G:G,"Not Found")</f>
        <v>Condiments</v>
      </c>
      <c r="J1188" s="15" t="str">
        <f>LOOKUP(MONTH(G1188),{1,4,7,10},{"Winter","Spring","Summer","Autumn"})</f>
        <v>Autumn</v>
      </c>
      <c r="K1188" s="15" t="str">
        <f>_xlfn.XLOOKUP(OrderDetails[[#This Row],[ProductID]],Product!A:A,Product!B:B,"Not Found")</f>
        <v>Louisiana Fiery Hot Pepper Sauce</v>
      </c>
    </row>
    <row r="1189" spans="1:11">
      <c r="A1189" s="2">
        <v>10698</v>
      </c>
      <c r="B1189" s="2">
        <v>70</v>
      </c>
      <c r="C1189" s="2">
        <v>15</v>
      </c>
      <c r="D1189" s="2">
        <v>8</v>
      </c>
      <c r="E1189" s="4">
        <v>5.000000074505806E-2</v>
      </c>
      <c r="F1189" s="1" t="str">
        <f>_xlfn.XLOOKUP(A1189,Orders!A:A,Orders!B:B,"not found")</f>
        <v>ERNSH</v>
      </c>
      <c r="G1189" s="13">
        <f>_xlfn.XLOOKUP(OrderDetails[[#This Row],[OrderID]],Orders!A:A,Orders!C:C,"Not Found")</f>
        <v>35712</v>
      </c>
      <c r="H1189" s="16">
        <f>(OrderDetails[[#This Row],[UnitPrice]]*OrderDetails[[#This Row],[Quantity]])*(1-OrderDetails[[#This Row],[Discount]])</f>
        <v>113.99999991059303</v>
      </c>
      <c r="I1189" s="15" t="str">
        <f>_xlfn.XLOOKUP(OrderDetails[[#This Row],[ProductID]],Product!A:A,Product!G:G,"Not Found")</f>
        <v>Beverages</v>
      </c>
      <c r="J1189" s="15" t="str">
        <f>LOOKUP(MONTH(G1189),{1,4,7,10},{"Winter","Spring","Summer","Autumn"})</f>
        <v>Autumn</v>
      </c>
      <c r="K1189" s="15" t="str">
        <f>_xlfn.XLOOKUP(OrderDetails[[#This Row],[ProductID]],Product!A:A,Product!B:B,"Not Found")</f>
        <v>Outback Lager</v>
      </c>
    </row>
    <row r="1190" spans="1:11">
      <c r="A1190" s="1">
        <v>10699</v>
      </c>
      <c r="B1190" s="1">
        <v>47</v>
      </c>
      <c r="C1190" s="1">
        <v>9.5</v>
      </c>
      <c r="D1190" s="1">
        <v>12</v>
      </c>
      <c r="E1190" s="3">
        <v>0</v>
      </c>
      <c r="F1190" s="1" t="str">
        <f>_xlfn.XLOOKUP(A1190,Orders!A:A,Orders!B:B,"not found")</f>
        <v>MORGK</v>
      </c>
      <c r="G1190" s="13">
        <f>_xlfn.XLOOKUP(OrderDetails[[#This Row],[OrderID]],Orders!A:A,Orders!C:C,"Not Found")</f>
        <v>35712</v>
      </c>
      <c r="H1190" s="16">
        <f>(OrderDetails[[#This Row],[UnitPrice]]*OrderDetails[[#This Row],[Quantity]])*(1-OrderDetails[[#This Row],[Discount]])</f>
        <v>114</v>
      </c>
      <c r="I1190" s="15" t="str">
        <f>_xlfn.XLOOKUP(OrderDetails[[#This Row],[ProductID]],Product!A:A,Product!G:G,"Not Found")</f>
        <v>Confections</v>
      </c>
      <c r="J1190" s="15" t="str">
        <f>LOOKUP(MONTH(G1190),{1,4,7,10},{"Winter","Spring","Summer","Autumn"})</f>
        <v>Autumn</v>
      </c>
      <c r="K1190" s="15" t="str">
        <f>_xlfn.XLOOKUP(OrderDetails[[#This Row],[ProductID]],Product!A:A,Product!B:B,"Not Found")</f>
        <v>Zaanse koeken</v>
      </c>
    </row>
    <row r="1191" spans="1:11">
      <c r="A1191" s="2">
        <v>10700</v>
      </c>
      <c r="B1191" s="2">
        <v>1</v>
      </c>
      <c r="C1191" s="2">
        <v>18</v>
      </c>
      <c r="D1191" s="2">
        <v>5</v>
      </c>
      <c r="E1191" s="4">
        <v>0.20000000298023224</v>
      </c>
      <c r="F1191" s="1" t="str">
        <f>_xlfn.XLOOKUP(A1191,Orders!A:A,Orders!B:B,"not found")</f>
        <v>SAVEA</v>
      </c>
      <c r="G1191" s="13">
        <f>_xlfn.XLOOKUP(OrderDetails[[#This Row],[OrderID]],Orders!A:A,Orders!C:C,"Not Found")</f>
        <v>35713</v>
      </c>
      <c r="H1191" s="16">
        <f>(OrderDetails[[#This Row],[UnitPrice]]*OrderDetails[[#This Row],[Quantity]])*(1-OrderDetails[[#This Row],[Discount]])</f>
        <v>71.999999731779099</v>
      </c>
      <c r="I1191" s="15" t="str">
        <f>_xlfn.XLOOKUP(OrderDetails[[#This Row],[ProductID]],Product!A:A,Product!G:G,"Not Found")</f>
        <v>Beverages</v>
      </c>
      <c r="J1191" s="15" t="str">
        <f>LOOKUP(MONTH(G1191),{1,4,7,10},{"Winter","Spring","Summer","Autumn"})</f>
        <v>Autumn</v>
      </c>
      <c r="K1191" s="15" t="str">
        <f>_xlfn.XLOOKUP(OrderDetails[[#This Row],[ProductID]],Product!A:A,Product!B:B,"Not Found")</f>
        <v>Chai</v>
      </c>
    </row>
    <row r="1192" spans="1:11">
      <c r="A1192" s="1">
        <v>10700</v>
      </c>
      <c r="B1192" s="1">
        <v>34</v>
      </c>
      <c r="C1192" s="1">
        <v>14</v>
      </c>
      <c r="D1192" s="1">
        <v>12</v>
      </c>
      <c r="E1192" s="3">
        <v>0.20000000298023224</v>
      </c>
      <c r="F1192" s="1" t="str">
        <f>_xlfn.XLOOKUP(A1192,Orders!A:A,Orders!B:B,"not found")</f>
        <v>SAVEA</v>
      </c>
      <c r="G1192" s="13">
        <f>_xlfn.XLOOKUP(OrderDetails[[#This Row],[OrderID]],Orders!A:A,Orders!C:C,"Not Found")</f>
        <v>35713</v>
      </c>
      <c r="H1192" s="16">
        <f>(OrderDetails[[#This Row],[UnitPrice]]*OrderDetails[[#This Row],[Quantity]])*(1-OrderDetails[[#This Row],[Discount]])</f>
        <v>134.39999949932098</v>
      </c>
      <c r="I1192" s="15" t="str">
        <f>_xlfn.XLOOKUP(OrderDetails[[#This Row],[ProductID]],Product!A:A,Product!G:G,"Not Found")</f>
        <v>Beverages</v>
      </c>
      <c r="J1192" s="15" t="str">
        <f>LOOKUP(MONTH(G1192),{1,4,7,10},{"Winter","Spring","Summer","Autumn"})</f>
        <v>Autumn</v>
      </c>
      <c r="K1192" s="15" t="str">
        <f>_xlfn.XLOOKUP(OrderDetails[[#This Row],[ProductID]],Product!A:A,Product!B:B,"Not Found")</f>
        <v>Sasquatch Ale</v>
      </c>
    </row>
    <row r="1193" spans="1:11">
      <c r="A1193" s="2">
        <v>10700</v>
      </c>
      <c r="B1193" s="2">
        <v>68</v>
      </c>
      <c r="C1193" s="2">
        <v>12.5</v>
      </c>
      <c r="D1193" s="2">
        <v>40</v>
      </c>
      <c r="E1193" s="4">
        <v>0.20000000298023224</v>
      </c>
      <c r="F1193" s="1" t="str">
        <f>_xlfn.XLOOKUP(A1193,Orders!A:A,Orders!B:B,"not found")</f>
        <v>SAVEA</v>
      </c>
      <c r="G1193" s="13">
        <f>_xlfn.XLOOKUP(OrderDetails[[#This Row],[OrderID]],Orders!A:A,Orders!C:C,"Not Found")</f>
        <v>35713</v>
      </c>
      <c r="H1193" s="16">
        <f>(OrderDetails[[#This Row],[UnitPrice]]*OrderDetails[[#This Row],[Quantity]])*(1-OrderDetails[[#This Row],[Discount]])</f>
        <v>399.99999850988388</v>
      </c>
      <c r="I1193" s="15" t="str">
        <f>_xlfn.XLOOKUP(OrderDetails[[#This Row],[ProductID]],Product!A:A,Product!G:G,"Not Found")</f>
        <v>Confections</v>
      </c>
      <c r="J1193" s="15" t="str">
        <f>LOOKUP(MONTH(G1193),{1,4,7,10},{"Winter","Spring","Summer","Autumn"})</f>
        <v>Autumn</v>
      </c>
      <c r="K1193" s="15" t="str">
        <f>_xlfn.XLOOKUP(OrderDetails[[#This Row],[ProductID]],Product!A:A,Product!B:B,"Not Found")</f>
        <v>Scottish Longbreads</v>
      </c>
    </row>
    <row r="1194" spans="1:11">
      <c r="A1194" s="1">
        <v>10700</v>
      </c>
      <c r="B1194" s="1">
        <v>71</v>
      </c>
      <c r="C1194" s="1">
        <v>21.5</v>
      </c>
      <c r="D1194" s="1">
        <v>60</v>
      </c>
      <c r="E1194" s="3">
        <v>0.20000000298023224</v>
      </c>
      <c r="F1194" s="1" t="str">
        <f>_xlfn.XLOOKUP(A1194,Orders!A:A,Orders!B:B,"not found")</f>
        <v>SAVEA</v>
      </c>
      <c r="G1194" s="13">
        <f>_xlfn.XLOOKUP(OrderDetails[[#This Row],[OrderID]],Orders!A:A,Orders!C:C,"Not Found")</f>
        <v>35713</v>
      </c>
      <c r="H1194" s="16">
        <f>(OrderDetails[[#This Row],[UnitPrice]]*OrderDetails[[#This Row],[Quantity]])*(1-OrderDetails[[#This Row],[Discount]])</f>
        <v>1031.9999961555004</v>
      </c>
      <c r="I1194" s="15" t="str">
        <f>_xlfn.XLOOKUP(OrderDetails[[#This Row],[ProductID]],Product!A:A,Product!G:G,"Not Found")</f>
        <v>Dairy Products</v>
      </c>
      <c r="J1194" s="15" t="str">
        <f>LOOKUP(MONTH(G1194),{1,4,7,10},{"Winter","Spring","Summer","Autumn"})</f>
        <v>Autumn</v>
      </c>
      <c r="K1194" s="15" t="str">
        <f>_xlfn.XLOOKUP(OrderDetails[[#This Row],[ProductID]],Product!A:A,Product!B:B,"Not Found")</f>
        <v>Flotemysost</v>
      </c>
    </row>
    <row r="1195" spans="1:11">
      <c r="A1195" s="2">
        <v>10701</v>
      </c>
      <c r="B1195" s="2">
        <v>59</v>
      </c>
      <c r="C1195" s="2">
        <v>55</v>
      </c>
      <c r="D1195" s="2">
        <v>42</v>
      </c>
      <c r="E1195" s="4">
        <v>0.15000000596046448</v>
      </c>
      <c r="F1195" s="1" t="str">
        <f>_xlfn.XLOOKUP(A1195,Orders!A:A,Orders!B:B,"not found")</f>
        <v>HUNGO</v>
      </c>
      <c r="G1195" s="13">
        <f>_xlfn.XLOOKUP(OrderDetails[[#This Row],[OrderID]],Orders!A:A,Orders!C:C,"Not Found")</f>
        <v>35716</v>
      </c>
      <c r="H1195" s="16">
        <f>(OrderDetails[[#This Row],[UnitPrice]]*OrderDetails[[#This Row],[Quantity]])*(1-OrderDetails[[#This Row],[Discount]])</f>
        <v>1963.4999862313271</v>
      </c>
      <c r="I1195" s="15" t="str">
        <f>_xlfn.XLOOKUP(OrderDetails[[#This Row],[ProductID]],Product!A:A,Product!G:G,"Not Found")</f>
        <v>Dairy Products</v>
      </c>
      <c r="J1195" s="15" t="str">
        <f>LOOKUP(MONTH(G1195),{1,4,7,10},{"Winter","Spring","Summer","Autumn"})</f>
        <v>Autumn</v>
      </c>
      <c r="K1195" s="15" t="str">
        <f>_xlfn.XLOOKUP(OrderDetails[[#This Row],[ProductID]],Product!A:A,Product!B:B,"Not Found")</f>
        <v>Raclette Courdavault</v>
      </c>
    </row>
    <row r="1196" spans="1:11">
      <c r="A1196" s="1">
        <v>10701</v>
      </c>
      <c r="B1196" s="1">
        <v>71</v>
      </c>
      <c r="C1196" s="1">
        <v>21.5</v>
      </c>
      <c r="D1196" s="1">
        <v>20</v>
      </c>
      <c r="E1196" s="3">
        <v>0.15000000596046448</v>
      </c>
      <c r="F1196" s="1" t="str">
        <f>_xlfn.XLOOKUP(A1196,Orders!A:A,Orders!B:B,"not found")</f>
        <v>HUNGO</v>
      </c>
      <c r="G1196" s="13">
        <f>_xlfn.XLOOKUP(OrderDetails[[#This Row],[OrderID]],Orders!A:A,Orders!C:C,"Not Found")</f>
        <v>35716</v>
      </c>
      <c r="H1196" s="16">
        <f>(OrderDetails[[#This Row],[UnitPrice]]*OrderDetails[[#This Row],[Quantity]])*(1-OrderDetails[[#This Row],[Discount]])</f>
        <v>365.49999743700027</v>
      </c>
      <c r="I1196" s="15" t="str">
        <f>_xlfn.XLOOKUP(OrderDetails[[#This Row],[ProductID]],Product!A:A,Product!G:G,"Not Found")</f>
        <v>Dairy Products</v>
      </c>
      <c r="J1196" s="15" t="str">
        <f>LOOKUP(MONTH(G1196),{1,4,7,10},{"Winter","Spring","Summer","Autumn"})</f>
        <v>Autumn</v>
      </c>
      <c r="K1196" s="15" t="str">
        <f>_xlfn.XLOOKUP(OrderDetails[[#This Row],[ProductID]],Product!A:A,Product!B:B,"Not Found")</f>
        <v>Flotemysost</v>
      </c>
    </row>
    <row r="1197" spans="1:11">
      <c r="A1197" s="2">
        <v>10701</v>
      </c>
      <c r="B1197" s="2">
        <v>76</v>
      </c>
      <c r="C1197" s="2">
        <v>18</v>
      </c>
      <c r="D1197" s="2">
        <v>35</v>
      </c>
      <c r="E1197" s="4">
        <v>0.15000000596046448</v>
      </c>
      <c r="F1197" s="1" t="str">
        <f>_xlfn.XLOOKUP(A1197,Orders!A:A,Orders!B:B,"not found")</f>
        <v>HUNGO</v>
      </c>
      <c r="G1197" s="13">
        <f>_xlfn.XLOOKUP(OrderDetails[[#This Row],[OrderID]],Orders!A:A,Orders!C:C,"Not Found")</f>
        <v>35716</v>
      </c>
      <c r="H1197" s="16">
        <f>(OrderDetails[[#This Row],[UnitPrice]]*OrderDetails[[#This Row],[Quantity]])*(1-OrderDetails[[#This Row],[Discount]])</f>
        <v>535.49999624490738</v>
      </c>
      <c r="I1197" s="15" t="str">
        <f>_xlfn.XLOOKUP(OrderDetails[[#This Row],[ProductID]],Product!A:A,Product!G:G,"Not Found")</f>
        <v>Beverages</v>
      </c>
      <c r="J1197" s="15" t="str">
        <f>LOOKUP(MONTH(G1197),{1,4,7,10},{"Winter","Spring","Summer","Autumn"})</f>
        <v>Autumn</v>
      </c>
      <c r="K1197" s="15" t="str">
        <f>_xlfn.XLOOKUP(OrderDetails[[#This Row],[ProductID]],Product!A:A,Product!B:B,"Not Found")</f>
        <v>Lakkalikööri</v>
      </c>
    </row>
    <row r="1198" spans="1:11">
      <c r="A1198" s="1">
        <v>10702</v>
      </c>
      <c r="B1198" s="1">
        <v>3</v>
      </c>
      <c r="C1198" s="1">
        <v>10</v>
      </c>
      <c r="D1198" s="1">
        <v>6</v>
      </c>
      <c r="E1198" s="3">
        <v>0</v>
      </c>
      <c r="F1198" s="1" t="str">
        <f>_xlfn.XLOOKUP(A1198,Orders!A:A,Orders!B:B,"not found")</f>
        <v>ALFKI</v>
      </c>
      <c r="G1198" s="13">
        <f>_xlfn.XLOOKUP(OrderDetails[[#This Row],[OrderID]],Orders!A:A,Orders!C:C,"Not Found")</f>
        <v>35716</v>
      </c>
      <c r="H1198" s="16">
        <f>(OrderDetails[[#This Row],[UnitPrice]]*OrderDetails[[#This Row],[Quantity]])*(1-OrderDetails[[#This Row],[Discount]])</f>
        <v>60</v>
      </c>
      <c r="I1198" s="15" t="str">
        <f>_xlfn.XLOOKUP(OrderDetails[[#This Row],[ProductID]],Product!A:A,Product!G:G,"Not Found")</f>
        <v>Condiments</v>
      </c>
      <c r="J1198" s="15" t="str">
        <f>LOOKUP(MONTH(G1198),{1,4,7,10},{"Winter","Spring","Summer","Autumn"})</f>
        <v>Autumn</v>
      </c>
      <c r="K1198" s="15" t="str">
        <f>_xlfn.XLOOKUP(OrderDetails[[#This Row],[ProductID]],Product!A:A,Product!B:B,"Not Found")</f>
        <v>Aniseed Syrup</v>
      </c>
    </row>
    <row r="1199" spans="1:11">
      <c r="A1199" s="2">
        <v>10702</v>
      </c>
      <c r="B1199" s="2">
        <v>76</v>
      </c>
      <c r="C1199" s="2">
        <v>18</v>
      </c>
      <c r="D1199" s="2">
        <v>15</v>
      </c>
      <c r="E1199" s="4">
        <v>0</v>
      </c>
      <c r="F1199" s="1" t="str">
        <f>_xlfn.XLOOKUP(A1199,Orders!A:A,Orders!B:B,"not found")</f>
        <v>ALFKI</v>
      </c>
      <c r="G1199" s="13">
        <f>_xlfn.XLOOKUP(OrderDetails[[#This Row],[OrderID]],Orders!A:A,Orders!C:C,"Not Found")</f>
        <v>35716</v>
      </c>
      <c r="H1199" s="16">
        <f>(OrderDetails[[#This Row],[UnitPrice]]*OrderDetails[[#This Row],[Quantity]])*(1-OrderDetails[[#This Row],[Discount]])</f>
        <v>270</v>
      </c>
      <c r="I1199" s="15" t="str">
        <f>_xlfn.XLOOKUP(OrderDetails[[#This Row],[ProductID]],Product!A:A,Product!G:G,"Not Found")</f>
        <v>Beverages</v>
      </c>
      <c r="J1199" s="15" t="str">
        <f>LOOKUP(MONTH(G1199),{1,4,7,10},{"Winter","Spring","Summer","Autumn"})</f>
        <v>Autumn</v>
      </c>
      <c r="K1199" s="15" t="str">
        <f>_xlfn.XLOOKUP(OrderDetails[[#This Row],[ProductID]],Product!A:A,Product!B:B,"Not Found")</f>
        <v>Lakkalikööri</v>
      </c>
    </row>
    <row r="1200" spans="1:11">
      <c r="A1200" s="1">
        <v>10703</v>
      </c>
      <c r="B1200" s="1">
        <v>2</v>
      </c>
      <c r="C1200" s="1">
        <v>19</v>
      </c>
      <c r="D1200" s="1">
        <v>5</v>
      </c>
      <c r="E1200" s="3">
        <v>0</v>
      </c>
      <c r="F1200" s="1" t="str">
        <f>_xlfn.XLOOKUP(A1200,Orders!A:A,Orders!B:B,"not found")</f>
        <v>FOLKO</v>
      </c>
      <c r="G1200" s="13">
        <f>_xlfn.XLOOKUP(OrderDetails[[#This Row],[OrderID]],Orders!A:A,Orders!C:C,"Not Found")</f>
        <v>35717</v>
      </c>
      <c r="H1200" s="16">
        <f>(OrderDetails[[#This Row],[UnitPrice]]*OrderDetails[[#This Row],[Quantity]])*(1-OrderDetails[[#This Row],[Discount]])</f>
        <v>95</v>
      </c>
      <c r="I1200" s="15" t="str">
        <f>_xlfn.XLOOKUP(OrderDetails[[#This Row],[ProductID]],Product!A:A,Product!G:G,"Not Found")</f>
        <v>Beverages</v>
      </c>
      <c r="J1200" s="15" t="str">
        <f>LOOKUP(MONTH(G1200),{1,4,7,10},{"Winter","Spring","Summer","Autumn"})</f>
        <v>Autumn</v>
      </c>
      <c r="K1200" s="15" t="str">
        <f>_xlfn.XLOOKUP(OrderDetails[[#This Row],[ProductID]],Product!A:A,Product!B:B,"Not Found")</f>
        <v>Chang</v>
      </c>
    </row>
    <row r="1201" spans="1:11">
      <c r="A1201" s="2">
        <v>10703</v>
      </c>
      <c r="B1201" s="2">
        <v>59</v>
      </c>
      <c r="C1201" s="2">
        <v>55</v>
      </c>
      <c r="D1201" s="2">
        <v>35</v>
      </c>
      <c r="E1201" s="4">
        <v>0</v>
      </c>
      <c r="F1201" s="1" t="str">
        <f>_xlfn.XLOOKUP(A1201,Orders!A:A,Orders!B:B,"not found")</f>
        <v>FOLKO</v>
      </c>
      <c r="G1201" s="13">
        <f>_xlfn.XLOOKUP(OrderDetails[[#This Row],[OrderID]],Orders!A:A,Orders!C:C,"Not Found")</f>
        <v>35717</v>
      </c>
      <c r="H1201" s="16">
        <f>(OrderDetails[[#This Row],[UnitPrice]]*OrderDetails[[#This Row],[Quantity]])*(1-OrderDetails[[#This Row],[Discount]])</f>
        <v>1925</v>
      </c>
      <c r="I1201" s="15" t="str">
        <f>_xlfn.XLOOKUP(OrderDetails[[#This Row],[ProductID]],Product!A:A,Product!G:G,"Not Found")</f>
        <v>Dairy Products</v>
      </c>
      <c r="J1201" s="15" t="str">
        <f>LOOKUP(MONTH(G1201),{1,4,7,10},{"Winter","Spring","Summer","Autumn"})</f>
        <v>Autumn</v>
      </c>
      <c r="K1201" s="15" t="str">
        <f>_xlfn.XLOOKUP(OrderDetails[[#This Row],[ProductID]],Product!A:A,Product!B:B,"Not Found")</f>
        <v>Raclette Courdavault</v>
      </c>
    </row>
    <row r="1202" spans="1:11">
      <c r="A1202" s="1">
        <v>10703</v>
      </c>
      <c r="B1202" s="1">
        <v>73</v>
      </c>
      <c r="C1202" s="1">
        <v>15</v>
      </c>
      <c r="D1202" s="1">
        <v>35</v>
      </c>
      <c r="E1202" s="3">
        <v>0</v>
      </c>
      <c r="F1202" s="1" t="str">
        <f>_xlfn.XLOOKUP(A1202,Orders!A:A,Orders!B:B,"not found")</f>
        <v>FOLKO</v>
      </c>
      <c r="G1202" s="13">
        <f>_xlfn.XLOOKUP(OrderDetails[[#This Row],[OrderID]],Orders!A:A,Orders!C:C,"Not Found")</f>
        <v>35717</v>
      </c>
      <c r="H1202" s="16">
        <f>(OrderDetails[[#This Row],[UnitPrice]]*OrderDetails[[#This Row],[Quantity]])*(1-OrderDetails[[#This Row],[Discount]])</f>
        <v>525</v>
      </c>
      <c r="I1202" s="15" t="str">
        <f>_xlfn.XLOOKUP(OrderDetails[[#This Row],[ProductID]],Product!A:A,Product!G:G,"Not Found")</f>
        <v>Seafood</v>
      </c>
      <c r="J1202" s="15" t="str">
        <f>LOOKUP(MONTH(G1202),{1,4,7,10},{"Winter","Spring","Summer","Autumn"})</f>
        <v>Autumn</v>
      </c>
      <c r="K1202" s="15" t="str">
        <f>_xlfn.XLOOKUP(OrderDetails[[#This Row],[ProductID]],Product!A:A,Product!B:B,"Not Found")</f>
        <v>Röd Kaviar</v>
      </c>
    </row>
    <row r="1203" spans="1:11">
      <c r="A1203" s="2">
        <v>10704</v>
      </c>
      <c r="B1203" s="2">
        <v>4</v>
      </c>
      <c r="C1203" s="2">
        <v>22</v>
      </c>
      <c r="D1203" s="2">
        <v>6</v>
      </c>
      <c r="E1203" s="4">
        <v>0</v>
      </c>
      <c r="F1203" s="1" t="str">
        <f>_xlfn.XLOOKUP(A1203,Orders!A:A,Orders!B:B,"not found")</f>
        <v>QUEEN</v>
      </c>
      <c r="G1203" s="13">
        <f>_xlfn.XLOOKUP(OrderDetails[[#This Row],[OrderID]],Orders!A:A,Orders!C:C,"Not Found")</f>
        <v>35717</v>
      </c>
      <c r="H1203" s="16">
        <f>(OrderDetails[[#This Row],[UnitPrice]]*OrderDetails[[#This Row],[Quantity]])*(1-OrderDetails[[#This Row],[Discount]])</f>
        <v>132</v>
      </c>
      <c r="I1203" s="15" t="str">
        <f>_xlfn.XLOOKUP(OrderDetails[[#This Row],[ProductID]],Product!A:A,Product!G:G,"Not Found")</f>
        <v>Condiments</v>
      </c>
      <c r="J1203" s="15" t="str">
        <f>LOOKUP(MONTH(G1203),{1,4,7,10},{"Winter","Spring","Summer","Autumn"})</f>
        <v>Autumn</v>
      </c>
      <c r="K1203" s="15" t="str">
        <f>_xlfn.XLOOKUP(OrderDetails[[#This Row],[ProductID]],Product!A:A,Product!B:B,"Not Found")</f>
        <v>Chef Anton's Cajun Seasoning</v>
      </c>
    </row>
    <row r="1204" spans="1:11">
      <c r="A1204" s="1">
        <v>10704</v>
      </c>
      <c r="B1204" s="1">
        <v>24</v>
      </c>
      <c r="C1204" s="1">
        <v>4.5</v>
      </c>
      <c r="D1204" s="1">
        <v>35</v>
      </c>
      <c r="E1204" s="3">
        <v>0</v>
      </c>
      <c r="F1204" s="1" t="str">
        <f>_xlfn.XLOOKUP(A1204,Orders!A:A,Orders!B:B,"not found")</f>
        <v>QUEEN</v>
      </c>
      <c r="G1204" s="13">
        <f>_xlfn.XLOOKUP(OrderDetails[[#This Row],[OrderID]],Orders!A:A,Orders!C:C,"Not Found")</f>
        <v>35717</v>
      </c>
      <c r="H1204" s="16">
        <f>(OrderDetails[[#This Row],[UnitPrice]]*OrderDetails[[#This Row],[Quantity]])*(1-OrderDetails[[#This Row],[Discount]])</f>
        <v>157.5</v>
      </c>
      <c r="I1204" s="15" t="str">
        <f>_xlfn.XLOOKUP(OrderDetails[[#This Row],[ProductID]],Product!A:A,Product!G:G,"Not Found")</f>
        <v>Beverages</v>
      </c>
      <c r="J1204" s="15" t="str">
        <f>LOOKUP(MONTH(G1204),{1,4,7,10},{"Winter","Spring","Summer","Autumn"})</f>
        <v>Autumn</v>
      </c>
      <c r="K1204" s="15" t="str">
        <f>_xlfn.XLOOKUP(OrderDetails[[#This Row],[ProductID]],Product!A:A,Product!B:B,"Not Found")</f>
        <v>Guaraná Fantástica</v>
      </c>
    </row>
    <row r="1205" spans="1:11">
      <c r="A1205" s="2">
        <v>10704</v>
      </c>
      <c r="B1205" s="2">
        <v>48</v>
      </c>
      <c r="C1205" s="2">
        <v>12.75</v>
      </c>
      <c r="D1205" s="2">
        <v>24</v>
      </c>
      <c r="E1205" s="4">
        <v>0</v>
      </c>
      <c r="F1205" s="1" t="str">
        <f>_xlfn.XLOOKUP(A1205,Orders!A:A,Orders!B:B,"not found")</f>
        <v>QUEEN</v>
      </c>
      <c r="G1205" s="13">
        <f>_xlfn.XLOOKUP(OrderDetails[[#This Row],[OrderID]],Orders!A:A,Orders!C:C,"Not Found")</f>
        <v>35717</v>
      </c>
      <c r="H1205" s="16">
        <f>(OrderDetails[[#This Row],[UnitPrice]]*OrderDetails[[#This Row],[Quantity]])*(1-OrderDetails[[#This Row],[Discount]])</f>
        <v>306</v>
      </c>
      <c r="I1205" s="15" t="str">
        <f>_xlfn.XLOOKUP(OrderDetails[[#This Row],[ProductID]],Product!A:A,Product!G:G,"Not Found")</f>
        <v>Confections</v>
      </c>
      <c r="J1205" s="15" t="str">
        <f>LOOKUP(MONTH(G1205),{1,4,7,10},{"Winter","Spring","Summer","Autumn"})</f>
        <v>Autumn</v>
      </c>
      <c r="K1205" s="15" t="str">
        <f>_xlfn.XLOOKUP(OrderDetails[[#This Row],[ProductID]],Product!A:A,Product!B:B,"Not Found")</f>
        <v>Chocolade</v>
      </c>
    </row>
    <row r="1206" spans="1:11">
      <c r="A1206" s="1">
        <v>10705</v>
      </c>
      <c r="B1206" s="1">
        <v>31</v>
      </c>
      <c r="C1206" s="1">
        <v>12.5</v>
      </c>
      <c r="D1206" s="1">
        <v>20</v>
      </c>
      <c r="E1206" s="3">
        <v>0</v>
      </c>
      <c r="F1206" s="1" t="str">
        <f>_xlfn.XLOOKUP(A1206,Orders!A:A,Orders!B:B,"not found")</f>
        <v>HILAA</v>
      </c>
      <c r="G1206" s="13">
        <f>_xlfn.XLOOKUP(OrderDetails[[#This Row],[OrderID]],Orders!A:A,Orders!C:C,"Not Found")</f>
        <v>35718</v>
      </c>
      <c r="H1206" s="16">
        <f>(OrderDetails[[#This Row],[UnitPrice]]*OrderDetails[[#This Row],[Quantity]])*(1-OrderDetails[[#This Row],[Discount]])</f>
        <v>250</v>
      </c>
      <c r="I1206" s="15" t="str">
        <f>_xlfn.XLOOKUP(OrderDetails[[#This Row],[ProductID]],Product!A:A,Product!G:G,"Not Found")</f>
        <v>Dairy Products</v>
      </c>
      <c r="J1206" s="15" t="str">
        <f>LOOKUP(MONTH(G1206),{1,4,7,10},{"Winter","Spring","Summer","Autumn"})</f>
        <v>Autumn</v>
      </c>
      <c r="K1206" s="15" t="str">
        <f>_xlfn.XLOOKUP(OrderDetails[[#This Row],[ProductID]],Product!A:A,Product!B:B,"Not Found")</f>
        <v>Gorgonzola Telino</v>
      </c>
    </row>
    <row r="1207" spans="1:11">
      <c r="A1207" s="2">
        <v>10705</v>
      </c>
      <c r="B1207" s="2">
        <v>32</v>
      </c>
      <c r="C1207" s="2">
        <v>32</v>
      </c>
      <c r="D1207" s="2">
        <v>4</v>
      </c>
      <c r="E1207" s="4">
        <v>0</v>
      </c>
      <c r="F1207" s="1" t="str">
        <f>_xlfn.XLOOKUP(A1207,Orders!A:A,Orders!B:B,"not found")</f>
        <v>HILAA</v>
      </c>
      <c r="G1207" s="13">
        <f>_xlfn.XLOOKUP(OrderDetails[[#This Row],[OrderID]],Orders!A:A,Orders!C:C,"Not Found")</f>
        <v>35718</v>
      </c>
      <c r="H1207" s="16">
        <f>(OrderDetails[[#This Row],[UnitPrice]]*OrderDetails[[#This Row],[Quantity]])*(1-OrderDetails[[#This Row],[Discount]])</f>
        <v>128</v>
      </c>
      <c r="I1207" s="15" t="str">
        <f>_xlfn.XLOOKUP(OrderDetails[[#This Row],[ProductID]],Product!A:A,Product!G:G,"Not Found")</f>
        <v>Dairy Products</v>
      </c>
      <c r="J1207" s="15" t="str">
        <f>LOOKUP(MONTH(G1207),{1,4,7,10},{"Winter","Spring","Summer","Autumn"})</f>
        <v>Autumn</v>
      </c>
      <c r="K1207" s="15" t="str">
        <f>_xlfn.XLOOKUP(OrderDetails[[#This Row],[ProductID]],Product!A:A,Product!B:B,"Not Found")</f>
        <v>Mascarpone Fabioli</v>
      </c>
    </row>
    <row r="1208" spans="1:11">
      <c r="A1208" s="1">
        <v>10706</v>
      </c>
      <c r="B1208" s="1">
        <v>16</v>
      </c>
      <c r="C1208" s="1">
        <v>17.45</v>
      </c>
      <c r="D1208" s="1">
        <v>20</v>
      </c>
      <c r="E1208" s="3">
        <v>0</v>
      </c>
      <c r="F1208" s="1" t="str">
        <f>_xlfn.XLOOKUP(A1208,Orders!A:A,Orders!B:B,"not found")</f>
        <v>OLDWO</v>
      </c>
      <c r="G1208" s="13">
        <f>_xlfn.XLOOKUP(OrderDetails[[#This Row],[OrderID]],Orders!A:A,Orders!C:C,"Not Found")</f>
        <v>35719</v>
      </c>
      <c r="H1208" s="16">
        <f>(OrderDetails[[#This Row],[UnitPrice]]*OrderDetails[[#This Row],[Quantity]])*(1-OrderDetails[[#This Row],[Discount]])</f>
        <v>349</v>
      </c>
      <c r="I1208" s="15" t="str">
        <f>_xlfn.XLOOKUP(OrderDetails[[#This Row],[ProductID]],Product!A:A,Product!G:G,"Not Found")</f>
        <v>Confections</v>
      </c>
      <c r="J1208" s="15" t="str">
        <f>LOOKUP(MONTH(G1208),{1,4,7,10},{"Winter","Spring","Summer","Autumn"})</f>
        <v>Autumn</v>
      </c>
      <c r="K1208" s="15" t="str">
        <f>_xlfn.XLOOKUP(OrderDetails[[#This Row],[ProductID]],Product!A:A,Product!B:B,"Not Found")</f>
        <v>Pavlova</v>
      </c>
    </row>
    <row r="1209" spans="1:11">
      <c r="A1209" s="2">
        <v>10706</v>
      </c>
      <c r="B1209" s="2">
        <v>43</v>
      </c>
      <c r="C1209" s="2">
        <v>46</v>
      </c>
      <c r="D1209" s="2">
        <v>24</v>
      </c>
      <c r="E1209" s="4">
        <v>0</v>
      </c>
      <c r="F1209" s="1" t="str">
        <f>_xlfn.XLOOKUP(A1209,Orders!A:A,Orders!B:B,"not found")</f>
        <v>OLDWO</v>
      </c>
      <c r="G1209" s="13">
        <f>_xlfn.XLOOKUP(OrderDetails[[#This Row],[OrderID]],Orders!A:A,Orders!C:C,"Not Found")</f>
        <v>35719</v>
      </c>
      <c r="H1209" s="16">
        <f>(OrderDetails[[#This Row],[UnitPrice]]*OrderDetails[[#This Row],[Quantity]])*(1-OrderDetails[[#This Row],[Discount]])</f>
        <v>1104</v>
      </c>
      <c r="I1209" s="15" t="str">
        <f>_xlfn.XLOOKUP(OrderDetails[[#This Row],[ProductID]],Product!A:A,Product!G:G,"Not Found")</f>
        <v>Beverages</v>
      </c>
      <c r="J1209" s="15" t="str">
        <f>LOOKUP(MONTH(G1209),{1,4,7,10},{"Winter","Spring","Summer","Autumn"})</f>
        <v>Autumn</v>
      </c>
      <c r="K1209" s="15" t="str">
        <f>_xlfn.XLOOKUP(OrderDetails[[#This Row],[ProductID]],Product!A:A,Product!B:B,"Not Found")</f>
        <v>Ipoh Coffee</v>
      </c>
    </row>
    <row r="1210" spans="1:11">
      <c r="A1210" s="1">
        <v>10706</v>
      </c>
      <c r="B1210" s="1">
        <v>59</v>
      </c>
      <c r="C1210" s="1">
        <v>55</v>
      </c>
      <c r="D1210" s="1">
        <v>8</v>
      </c>
      <c r="E1210" s="3">
        <v>0</v>
      </c>
      <c r="F1210" s="1" t="str">
        <f>_xlfn.XLOOKUP(A1210,Orders!A:A,Orders!B:B,"not found")</f>
        <v>OLDWO</v>
      </c>
      <c r="G1210" s="13">
        <f>_xlfn.XLOOKUP(OrderDetails[[#This Row],[OrderID]],Orders!A:A,Orders!C:C,"Not Found")</f>
        <v>35719</v>
      </c>
      <c r="H1210" s="16">
        <f>(OrderDetails[[#This Row],[UnitPrice]]*OrderDetails[[#This Row],[Quantity]])*(1-OrderDetails[[#This Row],[Discount]])</f>
        <v>440</v>
      </c>
      <c r="I1210" s="15" t="str">
        <f>_xlfn.XLOOKUP(OrderDetails[[#This Row],[ProductID]],Product!A:A,Product!G:G,"Not Found")</f>
        <v>Dairy Products</v>
      </c>
      <c r="J1210" s="15" t="str">
        <f>LOOKUP(MONTH(G1210),{1,4,7,10},{"Winter","Spring","Summer","Autumn"})</f>
        <v>Autumn</v>
      </c>
      <c r="K1210" s="15" t="str">
        <f>_xlfn.XLOOKUP(OrderDetails[[#This Row],[ProductID]],Product!A:A,Product!B:B,"Not Found")</f>
        <v>Raclette Courdavault</v>
      </c>
    </row>
    <row r="1211" spans="1:11">
      <c r="A1211" s="2">
        <v>10707</v>
      </c>
      <c r="B1211" s="2">
        <v>55</v>
      </c>
      <c r="C1211" s="2">
        <v>24</v>
      </c>
      <c r="D1211" s="2">
        <v>21</v>
      </c>
      <c r="E1211" s="4">
        <v>0</v>
      </c>
      <c r="F1211" s="1" t="str">
        <f>_xlfn.XLOOKUP(A1211,Orders!A:A,Orders!B:B,"not found")</f>
        <v>AROUT</v>
      </c>
      <c r="G1211" s="13">
        <f>_xlfn.XLOOKUP(OrderDetails[[#This Row],[OrderID]],Orders!A:A,Orders!C:C,"Not Found")</f>
        <v>35719</v>
      </c>
      <c r="H1211" s="16">
        <f>(OrderDetails[[#This Row],[UnitPrice]]*OrderDetails[[#This Row],[Quantity]])*(1-OrderDetails[[#This Row],[Discount]])</f>
        <v>504</v>
      </c>
      <c r="I1211" s="15" t="str">
        <f>_xlfn.XLOOKUP(OrderDetails[[#This Row],[ProductID]],Product!A:A,Product!G:G,"Not Found")</f>
        <v>Meat/Poultry</v>
      </c>
      <c r="J1211" s="15" t="str">
        <f>LOOKUP(MONTH(G1211),{1,4,7,10},{"Winter","Spring","Summer","Autumn"})</f>
        <v>Autumn</v>
      </c>
      <c r="K1211" s="15" t="str">
        <f>_xlfn.XLOOKUP(OrderDetails[[#This Row],[ProductID]],Product!A:A,Product!B:B,"Not Found")</f>
        <v>Pâté chinois</v>
      </c>
    </row>
    <row r="1212" spans="1:11">
      <c r="A1212" s="1">
        <v>10707</v>
      </c>
      <c r="B1212" s="1">
        <v>57</v>
      </c>
      <c r="C1212" s="1">
        <v>19.5</v>
      </c>
      <c r="D1212" s="1">
        <v>40</v>
      </c>
      <c r="E1212" s="3">
        <v>0</v>
      </c>
      <c r="F1212" s="1" t="str">
        <f>_xlfn.XLOOKUP(A1212,Orders!A:A,Orders!B:B,"not found")</f>
        <v>AROUT</v>
      </c>
      <c r="G1212" s="13">
        <f>_xlfn.XLOOKUP(OrderDetails[[#This Row],[OrderID]],Orders!A:A,Orders!C:C,"Not Found")</f>
        <v>35719</v>
      </c>
      <c r="H1212" s="16">
        <f>(OrderDetails[[#This Row],[UnitPrice]]*OrderDetails[[#This Row],[Quantity]])*(1-OrderDetails[[#This Row],[Discount]])</f>
        <v>780</v>
      </c>
      <c r="I1212" s="15" t="str">
        <f>_xlfn.XLOOKUP(OrderDetails[[#This Row],[ProductID]],Product!A:A,Product!G:G,"Not Found")</f>
        <v>Grains/Cereals</v>
      </c>
      <c r="J1212" s="15" t="str">
        <f>LOOKUP(MONTH(G1212),{1,4,7,10},{"Winter","Spring","Summer","Autumn"})</f>
        <v>Autumn</v>
      </c>
      <c r="K1212" s="15" t="str">
        <f>_xlfn.XLOOKUP(OrderDetails[[#This Row],[ProductID]],Product!A:A,Product!B:B,"Not Found")</f>
        <v>Ravioli Angelo</v>
      </c>
    </row>
    <row r="1213" spans="1:11">
      <c r="A1213" s="2">
        <v>10707</v>
      </c>
      <c r="B1213" s="2">
        <v>70</v>
      </c>
      <c r="C1213" s="2">
        <v>15</v>
      </c>
      <c r="D1213" s="2">
        <v>28</v>
      </c>
      <c r="E1213" s="4">
        <v>0.15000000596046448</v>
      </c>
      <c r="F1213" s="1" t="str">
        <f>_xlfn.XLOOKUP(A1213,Orders!A:A,Orders!B:B,"not found")</f>
        <v>AROUT</v>
      </c>
      <c r="G1213" s="13">
        <f>_xlfn.XLOOKUP(OrderDetails[[#This Row],[OrderID]],Orders!A:A,Orders!C:C,"Not Found")</f>
        <v>35719</v>
      </c>
      <c r="H1213" s="16">
        <f>(OrderDetails[[#This Row],[UnitPrice]]*OrderDetails[[#This Row],[Quantity]])*(1-OrderDetails[[#This Row],[Discount]])</f>
        <v>356.99999749660492</v>
      </c>
      <c r="I1213" s="15" t="str">
        <f>_xlfn.XLOOKUP(OrderDetails[[#This Row],[ProductID]],Product!A:A,Product!G:G,"Not Found")</f>
        <v>Beverages</v>
      </c>
      <c r="J1213" s="15" t="str">
        <f>LOOKUP(MONTH(G1213),{1,4,7,10},{"Winter","Spring","Summer","Autumn"})</f>
        <v>Autumn</v>
      </c>
      <c r="K1213" s="15" t="str">
        <f>_xlfn.XLOOKUP(OrderDetails[[#This Row],[ProductID]],Product!A:A,Product!B:B,"Not Found")</f>
        <v>Outback Lager</v>
      </c>
    </row>
    <row r="1214" spans="1:11">
      <c r="A1214" s="1">
        <v>10708</v>
      </c>
      <c r="B1214" s="1">
        <v>5</v>
      </c>
      <c r="C1214" s="1">
        <v>21.35</v>
      </c>
      <c r="D1214" s="1">
        <v>4</v>
      </c>
      <c r="E1214" s="3">
        <v>0</v>
      </c>
      <c r="F1214" s="1" t="str">
        <f>_xlfn.XLOOKUP(A1214,Orders!A:A,Orders!B:B,"not found")</f>
        <v>THEBI</v>
      </c>
      <c r="G1214" s="13">
        <f>_xlfn.XLOOKUP(OrderDetails[[#This Row],[OrderID]],Orders!A:A,Orders!C:C,"Not Found")</f>
        <v>35720</v>
      </c>
      <c r="H1214" s="16">
        <f>(OrderDetails[[#This Row],[UnitPrice]]*OrderDetails[[#This Row],[Quantity]])*(1-OrderDetails[[#This Row],[Discount]])</f>
        <v>85.4</v>
      </c>
      <c r="I1214" s="15" t="str">
        <f>_xlfn.XLOOKUP(OrderDetails[[#This Row],[ProductID]],Product!A:A,Product!G:G,"Not Found")</f>
        <v>Condiments</v>
      </c>
      <c r="J1214" s="15" t="str">
        <f>LOOKUP(MONTH(G1214),{1,4,7,10},{"Winter","Spring","Summer","Autumn"})</f>
        <v>Autumn</v>
      </c>
      <c r="K1214" s="15" t="str">
        <f>_xlfn.XLOOKUP(OrderDetails[[#This Row],[ProductID]],Product!A:A,Product!B:B,"Not Found")</f>
        <v>Chef Anton's Gumbo Mix</v>
      </c>
    </row>
    <row r="1215" spans="1:11">
      <c r="A1215" s="2">
        <v>10708</v>
      </c>
      <c r="B1215" s="2">
        <v>36</v>
      </c>
      <c r="C1215" s="2">
        <v>19</v>
      </c>
      <c r="D1215" s="2">
        <v>5</v>
      </c>
      <c r="E1215" s="4">
        <v>0</v>
      </c>
      <c r="F1215" s="1" t="str">
        <f>_xlfn.XLOOKUP(A1215,Orders!A:A,Orders!B:B,"not found")</f>
        <v>THEBI</v>
      </c>
      <c r="G1215" s="13">
        <f>_xlfn.XLOOKUP(OrderDetails[[#This Row],[OrderID]],Orders!A:A,Orders!C:C,"Not Found")</f>
        <v>35720</v>
      </c>
      <c r="H1215" s="16">
        <f>(OrderDetails[[#This Row],[UnitPrice]]*OrderDetails[[#This Row],[Quantity]])*(1-OrderDetails[[#This Row],[Discount]])</f>
        <v>95</v>
      </c>
      <c r="I1215" s="15" t="str">
        <f>_xlfn.XLOOKUP(OrderDetails[[#This Row],[ProductID]],Product!A:A,Product!G:G,"Not Found")</f>
        <v>Seafood</v>
      </c>
      <c r="J1215" s="15" t="str">
        <f>LOOKUP(MONTH(G1215),{1,4,7,10},{"Winter","Spring","Summer","Autumn"})</f>
        <v>Autumn</v>
      </c>
      <c r="K1215" s="15" t="str">
        <f>_xlfn.XLOOKUP(OrderDetails[[#This Row],[ProductID]],Product!A:A,Product!B:B,"Not Found")</f>
        <v>Inlagd Sill</v>
      </c>
    </row>
    <row r="1216" spans="1:11">
      <c r="A1216" s="1">
        <v>10709</v>
      </c>
      <c r="B1216" s="1">
        <v>8</v>
      </c>
      <c r="C1216" s="1">
        <v>40</v>
      </c>
      <c r="D1216" s="1">
        <v>40</v>
      </c>
      <c r="E1216" s="3">
        <v>0</v>
      </c>
      <c r="F1216" s="1" t="str">
        <f>_xlfn.XLOOKUP(A1216,Orders!A:A,Orders!B:B,"not found")</f>
        <v>GOURL</v>
      </c>
      <c r="G1216" s="13">
        <f>_xlfn.XLOOKUP(OrderDetails[[#This Row],[OrderID]],Orders!A:A,Orders!C:C,"Not Found")</f>
        <v>35720</v>
      </c>
      <c r="H1216" s="16">
        <f>(OrderDetails[[#This Row],[UnitPrice]]*OrderDetails[[#This Row],[Quantity]])*(1-OrderDetails[[#This Row],[Discount]])</f>
        <v>1600</v>
      </c>
      <c r="I1216" s="15" t="str">
        <f>_xlfn.XLOOKUP(OrderDetails[[#This Row],[ProductID]],Product!A:A,Product!G:G,"Not Found")</f>
        <v>Condiments</v>
      </c>
      <c r="J1216" s="15" t="str">
        <f>LOOKUP(MONTH(G1216),{1,4,7,10},{"Winter","Spring","Summer","Autumn"})</f>
        <v>Autumn</v>
      </c>
      <c r="K1216" s="15" t="str">
        <f>_xlfn.XLOOKUP(OrderDetails[[#This Row],[ProductID]],Product!A:A,Product!B:B,"Not Found")</f>
        <v>Northwoods Cranberry Sauce</v>
      </c>
    </row>
    <row r="1217" spans="1:11">
      <c r="A1217" s="2">
        <v>10709</v>
      </c>
      <c r="B1217" s="2">
        <v>51</v>
      </c>
      <c r="C1217" s="2">
        <v>53</v>
      </c>
      <c r="D1217" s="2">
        <v>28</v>
      </c>
      <c r="E1217" s="4">
        <v>0</v>
      </c>
      <c r="F1217" s="1" t="str">
        <f>_xlfn.XLOOKUP(A1217,Orders!A:A,Orders!B:B,"not found")</f>
        <v>GOURL</v>
      </c>
      <c r="G1217" s="13">
        <f>_xlfn.XLOOKUP(OrderDetails[[#This Row],[OrderID]],Orders!A:A,Orders!C:C,"Not Found")</f>
        <v>35720</v>
      </c>
      <c r="H1217" s="16">
        <f>(OrderDetails[[#This Row],[UnitPrice]]*OrderDetails[[#This Row],[Quantity]])*(1-OrderDetails[[#This Row],[Discount]])</f>
        <v>1484</v>
      </c>
      <c r="I1217" s="15" t="str">
        <f>_xlfn.XLOOKUP(OrderDetails[[#This Row],[ProductID]],Product!A:A,Product!G:G,"Not Found")</f>
        <v>Produce</v>
      </c>
      <c r="J1217" s="15" t="str">
        <f>LOOKUP(MONTH(G1217),{1,4,7,10},{"Winter","Spring","Summer","Autumn"})</f>
        <v>Autumn</v>
      </c>
      <c r="K1217" s="15" t="str">
        <f>_xlfn.XLOOKUP(OrderDetails[[#This Row],[ProductID]],Product!A:A,Product!B:B,"Not Found")</f>
        <v>Manjimup Dried Apples</v>
      </c>
    </row>
    <row r="1218" spans="1:11">
      <c r="A1218" s="1">
        <v>10709</v>
      </c>
      <c r="B1218" s="1">
        <v>60</v>
      </c>
      <c r="C1218" s="1">
        <v>34</v>
      </c>
      <c r="D1218" s="1">
        <v>10</v>
      </c>
      <c r="E1218" s="3">
        <v>0</v>
      </c>
      <c r="F1218" s="1" t="str">
        <f>_xlfn.XLOOKUP(A1218,Orders!A:A,Orders!B:B,"not found")</f>
        <v>GOURL</v>
      </c>
      <c r="G1218" s="13">
        <f>_xlfn.XLOOKUP(OrderDetails[[#This Row],[OrderID]],Orders!A:A,Orders!C:C,"Not Found")</f>
        <v>35720</v>
      </c>
      <c r="H1218" s="16">
        <f>(OrderDetails[[#This Row],[UnitPrice]]*OrderDetails[[#This Row],[Quantity]])*(1-OrderDetails[[#This Row],[Discount]])</f>
        <v>340</v>
      </c>
      <c r="I1218" s="15" t="str">
        <f>_xlfn.XLOOKUP(OrderDetails[[#This Row],[ProductID]],Product!A:A,Product!G:G,"Not Found")</f>
        <v>Dairy Products</v>
      </c>
      <c r="J1218" s="15" t="str">
        <f>LOOKUP(MONTH(G1218),{1,4,7,10},{"Winter","Spring","Summer","Autumn"})</f>
        <v>Autumn</v>
      </c>
      <c r="K1218" s="15" t="str">
        <f>_xlfn.XLOOKUP(OrderDetails[[#This Row],[ProductID]],Product!A:A,Product!B:B,"Not Found")</f>
        <v>Camembert Pierrot</v>
      </c>
    </row>
    <row r="1219" spans="1:11">
      <c r="A1219" s="2">
        <v>10710</v>
      </c>
      <c r="B1219" s="2">
        <v>19</v>
      </c>
      <c r="C1219" s="2">
        <v>9.1999999999999993</v>
      </c>
      <c r="D1219" s="2">
        <v>5</v>
      </c>
      <c r="E1219" s="4">
        <v>0</v>
      </c>
      <c r="F1219" s="1" t="str">
        <f>_xlfn.XLOOKUP(A1219,Orders!A:A,Orders!B:B,"not found")</f>
        <v>FRANS</v>
      </c>
      <c r="G1219" s="13">
        <f>_xlfn.XLOOKUP(OrderDetails[[#This Row],[OrderID]],Orders!A:A,Orders!C:C,"Not Found")</f>
        <v>35723</v>
      </c>
      <c r="H1219" s="16">
        <f>(OrderDetails[[#This Row],[UnitPrice]]*OrderDetails[[#This Row],[Quantity]])*(1-OrderDetails[[#This Row],[Discount]])</f>
        <v>46</v>
      </c>
      <c r="I1219" s="15" t="str">
        <f>_xlfn.XLOOKUP(OrderDetails[[#This Row],[ProductID]],Product!A:A,Product!G:G,"Not Found")</f>
        <v>Confections</v>
      </c>
      <c r="J1219" s="15" t="str">
        <f>LOOKUP(MONTH(G1219),{1,4,7,10},{"Winter","Spring","Summer","Autumn"})</f>
        <v>Autumn</v>
      </c>
      <c r="K1219" s="15" t="str">
        <f>_xlfn.XLOOKUP(OrderDetails[[#This Row],[ProductID]],Product!A:A,Product!B:B,"Not Found")</f>
        <v>Teatime Chocolate Biscuits</v>
      </c>
    </row>
    <row r="1220" spans="1:11">
      <c r="A1220" s="1">
        <v>10710</v>
      </c>
      <c r="B1220" s="1">
        <v>47</v>
      </c>
      <c r="C1220" s="1">
        <v>9.5</v>
      </c>
      <c r="D1220" s="1">
        <v>5</v>
      </c>
      <c r="E1220" s="3">
        <v>0</v>
      </c>
      <c r="F1220" s="1" t="str">
        <f>_xlfn.XLOOKUP(A1220,Orders!A:A,Orders!B:B,"not found")</f>
        <v>FRANS</v>
      </c>
      <c r="G1220" s="13">
        <f>_xlfn.XLOOKUP(OrderDetails[[#This Row],[OrderID]],Orders!A:A,Orders!C:C,"Not Found")</f>
        <v>35723</v>
      </c>
      <c r="H1220" s="16">
        <f>(OrderDetails[[#This Row],[UnitPrice]]*OrderDetails[[#This Row],[Quantity]])*(1-OrderDetails[[#This Row],[Discount]])</f>
        <v>47.5</v>
      </c>
      <c r="I1220" s="15" t="str">
        <f>_xlfn.XLOOKUP(OrderDetails[[#This Row],[ProductID]],Product!A:A,Product!G:G,"Not Found")</f>
        <v>Confections</v>
      </c>
      <c r="J1220" s="15" t="str">
        <f>LOOKUP(MONTH(G1220),{1,4,7,10},{"Winter","Spring","Summer","Autumn"})</f>
        <v>Autumn</v>
      </c>
      <c r="K1220" s="15" t="str">
        <f>_xlfn.XLOOKUP(OrderDetails[[#This Row],[ProductID]],Product!A:A,Product!B:B,"Not Found")</f>
        <v>Zaanse koeken</v>
      </c>
    </row>
    <row r="1221" spans="1:11">
      <c r="A1221" s="2">
        <v>10711</v>
      </c>
      <c r="B1221" s="2">
        <v>19</v>
      </c>
      <c r="C1221" s="2">
        <v>9.1999999999999993</v>
      </c>
      <c r="D1221" s="2">
        <v>12</v>
      </c>
      <c r="E1221" s="4">
        <v>0</v>
      </c>
      <c r="F1221" s="1" t="str">
        <f>_xlfn.XLOOKUP(A1221,Orders!A:A,Orders!B:B,"not found")</f>
        <v>SAVEA</v>
      </c>
      <c r="G1221" s="13">
        <f>_xlfn.XLOOKUP(OrderDetails[[#This Row],[OrderID]],Orders!A:A,Orders!C:C,"Not Found")</f>
        <v>35724</v>
      </c>
      <c r="H1221" s="16">
        <f>(OrderDetails[[#This Row],[UnitPrice]]*OrderDetails[[#This Row],[Quantity]])*(1-OrderDetails[[#This Row],[Discount]])</f>
        <v>110.39999999999999</v>
      </c>
      <c r="I1221" s="15" t="str">
        <f>_xlfn.XLOOKUP(OrderDetails[[#This Row],[ProductID]],Product!A:A,Product!G:G,"Not Found")</f>
        <v>Confections</v>
      </c>
      <c r="J1221" s="15" t="str">
        <f>LOOKUP(MONTH(G1221),{1,4,7,10},{"Winter","Spring","Summer","Autumn"})</f>
        <v>Autumn</v>
      </c>
      <c r="K1221" s="15" t="str">
        <f>_xlfn.XLOOKUP(OrderDetails[[#This Row],[ProductID]],Product!A:A,Product!B:B,"Not Found")</f>
        <v>Teatime Chocolate Biscuits</v>
      </c>
    </row>
    <row r="1222" spans="1:11">
      <c r="A1222" s="1">
        <v>10711</v>
      </c>
      <c r="B1222" s="1">
        <v>41</v>
      </c>
      <c r="C1222" s="1">
        <v>9.65</v>
      </c>
      <c r="D1222" s="1">
        <v>42</v>
      </c>
      <c r="E1222" s="3">
        <v>0</v>
      </c>
      <c r="F1222" s="1" t="str">
        <f>_xlfn.XLOOKUP(A1222,Orders!A:A,Orders!B:B,"not found")</f>
        <v>SAVEA</v>
      </c>
      <c r="G1222" s="13">
        <f>_xlfn.XLOOKUP(OrderDetails[[#This Row],[OrderID]],Orders!A:A,Orders!C:C,"Not Found")</f>
        <v>35724</v>
      </c>
      <c r="H1222" s="16">
        <f>(OrderDetails[[#This Row],[UnitPrice]]*OrderDetails[[#This Row],[Quantity]])*(1-OrderDetails[[#This Row],[Discount]])</f>
        <v>405.3</v>
      </c>
      <c r="I1222" s="15" t="str">
        <f>_xlfn.XLOOKUP(OrderDetails[[#This Row],[ProductID]],Product!A:A,Product!G:G,"Not Found")</f>
        <v>Seafood</v>
      </c>
      <c r="J1222" s="15" t="str">
        <f>LOOKUP(MONTH(G1222),{1,4,7,10},{"Winter","Spring","Summer","Autumn"})</f>
        <v>Autumn</v>
      </c>
      <c r="K1222" s="15" t="str">
        <f>_xlfn.XLOOKUP(OrderDetails[[#This Row],[ProductID]],Product!A:A,Product!B:B,"Not Found")</f>
        <v>Jack's New England Clam Chowder</v>
      </c>
    </row>
    <row r="1223" spans="1:11">
      <c r="A1223" s="2">
        <v>10711</v>
      </c>
      <c r="B1223" s="2">
        <v>53</v>
      </c>
      <c r="C1223" s="2">
        <v>32.799999999999997</v>
      </c>
      <c r="D1223" s="2">
        <v>120</v>
      </c>
      <c r="E1223" s="4">
        <v>0</v>
      </c>
      <c r="F1223" s="1" t="str">
        <f>_xlfn.XLOOKUP(A1223,Orders!A:A,Orders!B:B,"not found")</f>
        <v>SAVEA</v>
      </c>
      <c r="G1223" s="13">
        <f>_xlfn.XLOOKUP(OrderDetails[[#This Row],[OrderID]],Orders!A:A,Orders!C:C,"Not Found")</f>
        <v>35724</v>
      </c>
      <c r="H1223" s="16">
        <f>(OrderDetails[[#This Row],[UnitPrice]]*OrderDetails[[#This Row],[Quantity]])*(1-OrderDetails[[#This Row],[Discount]])</f>
        <v>3935.9999999999995</v>
      </c>
      <c r="I1223" s="15" t="str">
        <f>_xlfn.XLOOKUP(OrderDetails[[#This Row],[ProductID]],Product!A:A,Product!G:G,"Not Found")</f>
        <v>Meat/Poultry</v>
      </c>
      <c r="J1223" s="15" t="str">
        <f>LOOKUP(MONTH(G1223),{1,4,7,10},{"Winter","Spring","Summer","Autumn"})</f>
        <v>Autumn</v>
      </c>
      <c r="K1223" s="15" t="str">
        <f>_xlfn.XLOOKUP(OrderDetails[[#This Row],[ProductID]],Product!A:A,Product!B:B,"Not Found")</f>
        <v>Perth Pasties</v>
      </c>
    </row>
    <row r="1224" spans="1:11">
      <c r="A1224" s="1">
        <v>10712</v>
      </c>
      <c r="B1224" s="1">
        <v>53</v>
      </c>
      <c r="C1224" s="1">
        <v>32.799999999999997</v>
      </c>
      <c r="D1224" s="1">
        <v>3</v>
      </c>
      <c r="E1224" s="3">
        <v>5.000000074505806E-2</v>
      </c>
      <c r="F1224" s="1" t="str">
        <f>_xlfn.XLOOKUP(A1224,Orders!A:A,Orders!B:B,"not found")</f>
        <v>HUNGO</v>
      </c>
      <c r="G1224" s="13">
        <f>_xlfn.XLOOKUP(OrderDetails[[#This Row],[OrderID]],Orders!A:A,Orders!C:C,"Not Found")</f>
        <v>35724</v>
      </c>
      <c r="H1224" s="16">
        <f>(OrderDetails[[#This Row],[UnitPrice]]*OrderDetails[[#This Row],[Quantity]])*(1-OrderDetails[[#This Row],[Discount]])</f>
        <v>93.479999926686276</v>
      </c>
      <c r="I1224" s="15" t="str">
        <f>_xlfn.XLOOKUP(OrderDetails[[#This Row],[ProductID]],Product!A:A,Product!G:G,"Not Found")</f>
        <v>Meat/Poultry</v>
      </c>
      <c r="J1224" s="15" t="str">
        <f>LOOKUP(MONTH(G1224),{1,4,7,10},{"Winter","Spring","Summer","Autumn"})</f>
        <v>Autumn</v>
      </c>
      <c r="K1224" s="15" t="str">
        <f>_xlfn.XLOOKUP(OrderDetails[[#This Row],[ProductID]],Product!A:A,Product!B:B,"Not Found")</f>
        <v>Perth Pasties</v>
      </c>
    </row>
    <row r="1225" spans="1:11">
      <c r="A1225" s="2">
        <v>10712</v>
      </c>
      <c r="B1225" s="2">
        <v>56</v>
      </c>
      <c r="C1225" s="2">
        <v>38</v>
      </c>
      <c r="D1225" s="2">
        <v>30</v>
      </c>
      <c r="E1225" s="4">
        <v>0</v>
      </c>
      <c r="F1225" s="1" t="str">
        <f>_xlfn.XLOOKUP(A1225,Orders!A:A,Orders!B:B,"not found")</f>
        <v>HUNGO</v>
      </c>
      <c r="G1225" s="13">
        <f>_xlfn.XLOOKUP(OrderDetails[[#This Row],[OrderID]],Orders!A:A,Orders!C:C,"Not Found")</f>
        <v>35724</v>
      </c>
      <c r="H1225" s="16">
        <f>(OrderDetails[[#This Row],[UnitPrice]]*OrderDetails[[#This Row],[Quantity]])*(1-OrderDetails[[#This Row],[Discount]])</f>
        <v>1140</v>
      </c>
      <c r="I1225" s="15" t="str">
        <f>_xlfn.XLOOKUP(OrderDetails[[#This Row],[ProductID]],Product!A:A,Product!G:G,"Not Found")</f>
        <v>Grains/Cereals</v>
      </c>
      <c r="J1225" s="15" t="str">
        <f>LOOKUP(MONTH(G1225),{1,4,7,10},{"Winter","Spring","Summer","Autumn"})</f>
        <v>Autumn</v>
      </c>
      <c r="K1225" s="15" t="str">
        <f>_xlfn.XLOOKUP(OrderDetails[[#This Row],[ProductID]],Product!A:A,Product!B:B,"Not Found")</f>
        <v>Gnocchi di nonna Alice</v>
      </c>
    </row>
    <row r="1226" spans="1:11">
      <c r="A1226" s="1">
        <v>10713</v>
      </c>
      <c r="B1226" s="1">
        <v>10</v>
      </c>
      <c r="C1226" s="1">
        <v>31</v>
      </c>
      <c r="D1226" s="1">
        <v>18</v>
      </c>
      <c r="E1226" s="3">
        <v>0</v>
      </c>
      <c r="F1226" s="1" t="str">
        <f>_xlfn.XLOOKUP(A1226,Orders!A:A,Orders!B:B,"not found")</f>
        <v>SAVEA</v>
      </c>
      <c r="G1226" s="13">
        <f>_xlfn.XLOOKUP(OrderDetails[[#This Row],[OrderID]],Orders!A:A,Orders!C:C,"Not Found")</f>
        <v>35725</v>
      </c>
      <c r="H1226" s="16">
        <f>(OrderDetails[[#This Row],[UnitPrice]]*OrderDetails[[#This Row],[Quantity]])*(1-OrderDetails[[#This Row],[Discount]])</f>
        <v>558</v>
      </c>
      <c r="I1226" s="15" t="str">
        <f>_xlfn.XLOOKUP(OrderDetails[[#This Row],[ProductID]],Product!A:A,Product!G:G,"Not Found")</f>
        <v>Seafood</v>
      </c>
      <c r="J1226" s="15" t="str">
        <f>LOOKUP(MONTH(G1226),{1,4,7,10},{"Winter","Spring","Summer","Autumn"})</f>
        <v>Autumn</v>
      </c>
      <c r="K1226" s="15" t="str">
        <f>_xlfn.XLOOKUP(OrderDetails[[#This Row],[ProductID]],Product!A:A,Product!B:B,"Not Found")</f>
        <v>Ikura</v>
      </c>
    </row>
    <row r="1227" spans="1:11">
      <c r="A1227" s="2">
        <v>10713</v>
      </c>
      <c r="B1227" s="2">
        <v>26</v>
      </c>
      <c r="C1227" s="2">
        <v>31.23</v>
      </c>
      <c r="D1227" s="2">
        <v>30</v>
      </c>
      <c r="E1227" s="4">
        <v>0</v>
      </c>
      <c r="F1227" s="1" t="str">
        <f>_xlfn.XLOOKUP(A1227,Orders!A:A,Orders!B:B,"not found")</f>
        <v>SAVEA</v>
      </c>
      <c r="G1227" s="13">
        <f>_xlfn.XLOOKUP(OrderDetails[[#This Row],[OrderID]],Orders!A:A,Orders!C:C,"Not Found")</f>
        <v>35725</v>
      </c>
      <c r="H1227" s="16">
        <f>(OrderDetails[[#This Row],[UnitPrice]]*OrderDetails[[#This Row],[Quantity]])*(1-OrderDetails[[#This Row],[Discount]])</f>
        <v>936.9</v>
      </c>
      <c r="I1227" s="15" t="str">
        <f>_xlfn.XLOOKUP(OrderDetails[[#This Row],[ProductID]],Product!A:A,Product!G:G,"Not Found")</f>
        <v>Confections</v>
      </c>
      <c r="J1227" s="15" t="str">
        <f>LOOKUP(MONTH(G1227),{1,4,7,10},{"Winter","Spring","Summer","Autumn"})</f>
        <v>Autumn</v>
      </c>
      <c r="K1227" s="15" t="str">
        <f>_xlfn.XLOOKUP(OrderDetails[[#This Row],[ProductID]],Product!A:A,Product!B:B,"Not Found")</f>
        <v>Gumbär Gummibärchen</v>
      </c>
    </row>
    <row r="1228" spans="1:11">
      <c r="A1228" s="1">
        <v>10713</v>
      </c>
      <c r="B1228" s="1">
        <v>45</v>
      </c>
      <c r="C1228" s="1">
        <v>9.5</v>
      </c>
      <c r="D1228" s="1">
        <v>110</v>
      </c>
      <c r="E1228" s="3">
        <v>0</v>
      </c>
      <c r="F1228" s="1" t="str">
        <f>_xlfn.XLOOKUP(A1228,Orders!A:A,Orders!B:B,"not found")</f>
        <v>SAVEA</v>
      </c>
      <c r="G1228" s="13">
        <f>_xlfn.XLOOKUP(OrderDetails[[#This Row],[OrderID]],Orders!A:A,Orders!C:C,"Not Found")</f>
        <v>35725</v>
      </c>
      <c r="H1228" s="16">
        <f>(OrderDetails[[#This Row],[UnitPrice]]*OrderDetails[[#This Row],[Quantity]])*(1-OrderDetails[[#This Row],[Discount]])</f>
        <v>1045</v>
      </c>
      <c r="I1228" s="15" t="str">
        <f>_xlfn.XLOOKUP(OrderDetails[[#This Row],[ProductID]],Product!A:A,Product!G:G,"Not Found")</f>
        <v>Seafood</v>
      </c>
      <c r="J1228" s="15" t="str">
        <f>LOOKUP(MONTH(G1228),{1,4,7,10},{"Winter","Spring","Summer","Autumn"})</f>
        <v>Autumn</v>
      </c>
      <c r="K1228" s="15" t="str">
        <f>_xlfn.XLOOKUP(OrderDetails[[#This Row],[ProductID]],Product!A:A,Product!B:B,"Not Found")</f>
        <v>Rogede sild</v>
      </c>
    </row>
    <row r="1229" spans="1:11">
      <c r="A1229" s="2">
        <v>10713</v>
      </c>
      <c r="B1229" s="2">
        <v>46</v>
      </c>
      <c r="C1229" s="2">
        <v>12</v>
      </c>
      <c r="D1229" s="2">
        <v>24</v>
      </c>
      <c r="E1229" s="4">
        <v>0</v>
      </c>
      <c r="F1229" s="1" t="str">
        <f>_xlfn.XLOOKUP(A1229,Orders!A:A,Orders!B:B,"not found")</f>
        <v>SAVEA</v>
      </c>
      <c r="G1229" s="13">
        <f>_xlfn.XLOOKUP(OrderDetails[[#This Row],[OrderID]],Orders!A:A,Orders!C:C,"Not Found")</f>
        <v>35725</v>
      </c>
      <c r="H1229" s="16">
        <f>(OrderDetails[[#This Row],[UnitPrice]]*OrderDetails[[#This Row],[Quantity]])*(1-OrderDetails[[#This Row],[Discount]])</f>
        <v>288</v>
      </c>
      <c r="I1229" s="15" t="str">
        <f>_xlfn.XLOOKUP(OrderDetails[[#This Row],[ProductID]],Product!A:A,Product!G:G,"Not Found")</f>
        <v>Seafood</v>
      </c>
      <c r="J1229" s="15" t="str">
        <f>LOOKUP(MONTH(G1229),{1,4,7,10},{"Winter","Spring","Summer","Autumn"})</f>
        <v>Autumn</v>
      </c>
      <c r="K1229" s="15" t="str">
        <f>_xlfn.XLOOKUP(OrderDetails[[#This Row],[ProductID]],Product!A:A,Product!B:B,"Not Found")</f>
        <v>Spegesild</v>
      </c>
    </row>
    <row r="1230" spans="1:11">
      <c r="A1230" s="1">
        <v>10714</v>
      </c>
      <c r="B1230" s="1">
        <v>2</v>
      </c>
      <c r="C1230" s="1">
        <v>19</v>
      </c>
      <c r="D1230" s="1">
        <v>30</v>
      </c>
      <c r="E1230" s="3">
        <v>0.25</v>
      </c>
      <c r="F1230" s="1" t="str">
        <f>_xlfn.XLOOKUP(A1230,Orders!A:A,Orders!B:B,"not found")</f>
        <v>SAVEA</v>
      </c>
      <c r="G1230" s="13">
        <f>_xlfn.XLOOKUP(OrderDetails[[#This Row],[OrderID]],Orders!A:A,Orders!C:C,"Not Found")</f>
        <v>35725</v>
      </c>
      <c r="H1230" s="16">
        <f>(OrderDetails[[#This Row],[UnitPrice]]*OrderDetails[[#This Row],[Quantity]])*(1-OrderDetails[[#This Row],[Discount]])</f>
        <v>427.5</v>
      </c>
      <c r="I1230" s="15" t="str">
        <f>_xlfn.XLOOKUP(OrderDetails[[#This Row],[ProductID]],Product!A:A,Product!G:G,"Not Found")</f>
        <v>Beverages</v>
      </c>
      <c r="J1230" s="15" t="str">
        <f>LOOKUP(MONTH(G1230),{1,4,7,10},{"Winter","Spring","Summer","Autumn"})</f>
        <v>Autumn</v>
      </c>
      <c r="K1230" s="15" t="str">
        <f>_xlfn.XLOOKUP(OrderDetails[[#This Row],[ProductID]],Product!A:A,Product!B:B,"Not Found")</f>
        <v>Chang</v>
      </c>
    </row>
    <row r="1231" spans="1:11">
      <c r="A1231" s="2">
        <v>10714</v>
      </c>
      <c r="B1231" s="2">
        <v>17</v>
      </c>
      <c r="C1231" s="2">
        <v>39</v>
      </c>
      <c r="D1231" s="2">
        <v>27</v>
      </c>
      <c r="E1231" s="4">
        <v>0.25</v>
      </c>
      <c r="F1231" s="1" t="str">
        <f>_xlfn.XLOOKUP(A1231,Orders!A:A,Orders!B:B,"not found")</f>
        <v>SAVEA</v>
      </c>
      <c r="G1231" s="13">
        <f>_xlfn.XLOOKUP(OrderDetails[[#This Row],[OrderID]],Orders!A:A,Orders!C:C,"Not Found")</f>
        <v>35725</v>
      </c>
      <c r="H1231" s="16">
        <f>(OrderDetails[[#This Row],[UnitPrice]]*OrderDetails[[#This Row],[Quantity]])*(1-OrderDetails[[#This Row],[Discount]])</f>
        <v>789.75</v>
      </c>
      <c r="I1231" s="15" t="str">
        <f>_xlfn.XLOOKUP(OrderDetails[[#This Row],[ProductID]],Product!A:A,Product!G:G,"Not Found")</f>
        <v>Meat/Poultry</v>
      </c>
      <c r="J1231" s="15" t="str">
        <f>LOOKUP(MONTH(G1231),{1,4,7,10},{"Winter","Spring","Summer","Autumn"})</f>
        <v>Autumn</v>
      </c>
      <c r="K1231" s="15" t="str">
        <f>_xlfn.XLOOKUP(OrderDetails[[#This Row],[ProductID]],Product!A:A,Product!B:B,"Not Found")</f>
        <v>Alice Mutton</v>
      </c>
    </row>
    <row r="1232" spans="1:11">
      <c r="A1232" s="1">
        <v>10714</v>
      </c>
      <c r="B1232" s="1">
        <v>47</v>
      </c>
      <c r="C1232" s="1">
        <v>9.5</v>
      </c>
      <c r="D1232" s="1">
        <v>50</v>
      </c>
      <c r="E1232" s="3">
        <v>0.25</v>
      </c>
      <c r="F1232" s="1" t="str">
        <f>_xlfn.XLOOKUP(A1232,Orders!A:A,Orders!B:B,"not found")</f>
        <v>SAVEA</v>
      </c>
      <c r="G1232" s="13">
        <f>_xlfn.XLOOKUP(OrderDetails[[#This Row],[OrderID]],Orders!A:A,Orders!C:C,"Not Found")</f>
        <v>35725</v>
      </c>
      <c r="H1232" s="16">
        <f>(OrderDetails[[#This Row],[UnitPrice]]*OrderDetails[[#This Row],[Quantity]])*(1-OrderDetails[[#This Row],[Discount]])</f>
        <v>356.25</v>
      </c>
      <c r="I1232" s="15" t="str">
        <f>_xlfn.XLOOKUP(OrderDetails[[#This Row],[ProductID]],Product!A:A,Product!G:G,"Not Found")</f>
        <v>Confections</v>
      </c>
      <c r="J1232" s="15" t="str">
        <f>LOOKUP(MONTH(G1232),{1,4,7,10},{"Winter","Spring","Summer","Autumn"})</f>
        <v>Autumn</v>
      </c>
      <c r="K1232" s="15" t="str">
        <f>_xlfn.XLOOKUP(OrderDetails[[#This Row],[ProductID]],Product!A:A,Product!B:B,"Not Found")</f>
        <v>Zaanse koeken</v>
      </c>
    </row>
    <row r="1233" spans="1:11">
      <c r="A1233" s="2">
        <v>10714</v>
      </c>
      <c r="B1233" s="2">
        <v>56</v>
      </c>
      <c r="C1233" s="2">
        <v>38</v>
      </c>
      <c r="D1233" s="2">
        <v>18</v>
      </c>
      <c r="E1233" s="4">
        <v>0.25</v>
      </c>
      <c r="F1233" s="1" t="str">
        <f>_xlfn.XLOOKUP(A1233,Orders!A:A,Orders!B:B,"not found")</f>
        <v>SAVEA</v>
      </c>
      <c r="G1233" s="13">
        <f>_xlfn.XLOOKUP(OrderDetails[[#This Row],[OrderID]],Orders!A:A,Orders!C:C,"Not Found")</f>
        <v>35725</v>
      </c>
      <c r="H1233" s="16">
        <f>(OrderDetails[[#This Row],[UnitPrice]]*OrderDetails[[#This Row],[Quantity]])*(1-OrderDetails[[#This Row],[Discount]])</f>
        <v>513</v>
      </c>
      <c r="I1233" s="15" t="str">
        <f>_xlfn.XLOOKUP(OrderDetails[[#This Row],[ProductID]],Product!A:A,Product!G:G,"Not Found")</f>
        <v>Grains/Cereals</v>
      </c>
      <c r="J1233" s="15" t="str">
        <f>LOOKUP(MONTH(G1233),{1,4,7,10},{"Winter","Spring","Summer","Autumn"})</f>
        <v>Autumn</v>
      </c>
      <c r="K1233" s="15" t="str">
        <f>_xlfn.XLOOKUP(OrderDetails[[#This Row],[ProductID]],Product!A:A,Product!B:B,"Not Found")</f>
        <v>Gnocchi di nonna Alice</v>
      </c>
    </row>
    <row r="1234" spans="1:11">
      <c r="A1234" s="1">
        <v>10714</v>
      </c>
      <c r="B1234" s="1">
        <v>58</v>
      </c>
      <c r="C1234" s="1">
        <v>13.25</v>
      </c>
      <c r="D1234" s="1">
        <v>12</v>
      </c>
      <c r="E1234" s="3">
        <v>0.25</v>
      </c>
      <c r="F1234" s="1" t="str">
        <f>_xlfn.XLOOKUP(A1234,Orders!A:A,Orders!B:B,"not found")</f>
        <v>SAVEA</v>
      </c>
      <c r="G1234" s="13">
        <f>_xlfn.XLOOKUP(OrderDetails[[#This Row],[OrderID]],Orders!A:A,Orders!C:C,"Not Found")</f>
        <v>35725</v>
      </c>
      <c r="H1234" s="16">
        <f>(OrderDetails[[#This Row],[UnitPrice]]*OrderDetails[[#This Row],[Quantity]])*(1-OrderDetails[[#This Row],[Discount]])</f>
        <v>119.25</v>
      </c>
      <c r="I1234" s="15" t="str">
        <f>_xlfn.XLOOKUP(OrderDetails[[#This Row],[ProductID]],Product!A:A,Product!G:G,"Not Found")</f>
        <v>Seafood</v>
      </c>
      <c r="J1234" s="15" t="str">
        <f>LOOKUP(MONTH(G1234),{1,4,7,10},{"Winter","Spring","Summer","Autumn"})</f>
        <v>Autumn</v>
      </c>
      <c r="K1234" s="15" t="str">
        <f>_xlfn.XLOOKUP(OrderDetails[[#This Row],[ProductID]],Product!A:A,Product!B:B,"Not Found")</f>
        <v>Escargots de Bourgogne</v>
      </c>
    </row>
    <row r="1235" spans="1:11">
      <c r="A1235" s="2">
        <v>10715</v>
      </c>
      <c r="B1235" s="2">
        <v>10</v>
      </c>
      <c r="C1235" s="2">
        <v>31</v>
      </c>
      <c r="D1235" s="2">
        <v>21</v>
      </c>
      <c r="E1235" s="4">
        <v>0</v>
      </c>
      <c r="F1235" s="1" t="str">
        <f>_xlfn.XLOOKUP(A1235,Orders!A:A,Orders!B:B,"not found")</f>
        <v>BONAP</v>
      </c>
      <c r="G1235" s="13">
        <f>_xlfn.XLOOKUP(OrderDetails[[#This Row],[OrderID]],Orders!A:A,Orders!C:C,"Not Found")</f>
        <v>35726</v>
      </c>
      <c r="H1235" s="16">
        <f>(OrderDetails[[#This Row],[UnitPrice]]*OrderDetails[[#This Row],[Quantity]])*(1-OrderDetails[[#This Row],[Discount]])</f>
        <v>651</v>
      </c>
      <c r="I1235" s="15" t="str">
        <f>_xlfn.XLOOKUP(OrderDetails[[#This Row],[ProductID]],Product!A:A,Product!G:G,"Not Found")</f>
        <v>Seafood</v>
      </c>
      <c r="J1235" s="15" t="str">
        <f>LOOKUP(MONTH(G1235),{1,4,7,10},{"Winter","Spring","Summer","Autumn"})</f>
        <v>Autumn</v>
      </c>
      <c r="K1235" s="15" t="str">
        <f>_xlfn.XLOOKUP(OrderDetails[[#This Row],[ProductID]],Product!A:A,Product!B:B,"Not Found")</f>
        <v>Ikura</v>
      </c>
    </row>
    <row r="1236" spans="1:11">
      <c r="A1236" s="1">
        <v>10715</v>
      </c>
      <c r="B1236" s="1">
        <v>71</v>
      </c>
      <c r="C1236" s="1">
        <v>21.5</v>
      </c>
      <c r="D1236" s="1">
        <v>30</v>
      </c>
      <c r="E1236" s="3">
        <v>0</v>
      </c>
      <c r="F1236" s="1" t="str">
        <f>_xlfn.XLOOKUP(A1236,Orders!A:A,Orders!B:B,"not found")</f>
        <v>BONAP</v>
      </c>
      <c r="G1236" s="13">
        <f>_xlfn.XLOOKUP(OrderDetails[[#This Row],[OrderID]],Orders!A:A,Orders!C:C,"Not Found")</f>
        <v>35726</v>
      </c>
      <c r="H1236" s="16">
        <f>(OrderDetails[[#This Row],[UnitPrice]]*OrderDetails[[#This Row],[Quantity]])*(1-OrderDetails[[#This Row],[Discount]])</f>
        <v>645</v>
      </c>
      <c r="I1236" s="15" t="str">
        <f>_xlfn.XLOOKUP(OrderDetails[[#This Row],[ProductID]],Product!A:A,Product!G:G,"Not Found")</f>
        <v>Dairy Products</v>
      </c>
      <c r="J1236" s="15" t="str">
        <f>LOOKUP(MONTH(G1236),{1,4,7,10},{"Winter","Spring","Summer","Autumn"})</f>
        <v>Autumn</v>
      </c>
      <c r="K1236" s="15" t="str">
        <f>_xlfn.XLOOKUP(OrderDetails[[#This Row],[ProductID]],Product!A:A,Product!B:B,"Not Found")</f>
        <v>Flotemysost</v>
      </c>
    </row>
    <row r="1237" spans="1:11">
      <c r="A1237" s="2">
        <v>10716</v>
      </c>
      <c r="B1237" s="2">
        <v>21</v>
      </c>
      <c r="C1237" s="2">
        <v>10</v>
      </c>
      <c r="D1237" s="2">
        <v>5</v>
      </c>
      <c r="E1237" s="4">
        <v>0</v>
      </c>
      <c r="F1237" s="1" t="str">
        <f>_xlfn.XLOOKUP(A1237,Orders!A:A,Orders!B:B,"not found")</f>
        <v>RANCH</v>
      </c>
      <c r="G1237" s="13">
        <f>_xlfn.XLOOKUP(OrderDetails[[#This Row],[OrderID]],Orders!A:A,Orders!C:C,"Not Found")</f>
        <v>35727</v>
      </c>
      <c r="H1237" s="16">
        <f>(OrderDetails[[#This Row],[UnitPrice]]*OrderDetails[[#This Row],[Quantity]])*(1-OrderDetails[[#This Row],[Discount]])</f>
        <v>50</v>
      </c>
      <c r="I1237" s="15" t="str">
        <f>_xlfn.XLOOKUP(OrderDetails[[#This Row],[ProductID]],Product!A:A,Product!G:G,"Not Found")</f>
        <v>Confections</v>
      </c>
      <c r="J1237" s="15" t="str">
        <f>LOOKUP(MONTH(G1237),{1,4,7,10},{"Winter","Spring","Summer","Autumn"})</f>
        <v>Autumn</v>
      </c>
      <c r="K1237" s="15" t="str">
        <f>_xlfn.XLOOKUP(OrderDetails[[#This Row],[ProductID]],Product!A:A,Product!B:B,"Not Found")</f>
        <v>Sir Rodney's Scones</v>
      </c>
    </row>
    <row r="1238" spans="1:11">
      <c r="A1238" s="1">
        <v>10716</v>
      </c>
      <c r="B1238" s="1">
        <v>51</v>
      </c>
      <c r="C1238" s="1">
        <v>53</v>
      </c>
      <c r="D1238" s="1">
        <v>7</v>
      </c>
      <c r="E1238" s="3">
        <v>0</v>
      </c>
      <c r="F1238" s="1" t="str">
        <f>_xlfn.XLOOKUP(A1238,Orders!A:A,Orders!B:B,"not found")</f>
        <v>RANCH</v>
      </c>
      <c r="G1238" s="13">
        <f>_xlfn.XLOOKUP(OrderDetails[[#This Row],[OrderID]],Orders!A:A,Orders!C:C,"Not Found")</f>
        <v>35727</v>
      </c>
      <c r="H1238" s="16">
        <f>(OrderDetails[[#This Row],[UnitPrice]]*OrderDetails[[#This Row],[Quantity]])*(1-OrderDetails[[#This Row],[Discount]])</f>
        <v>371</v>
      </c>
      <c r="I1238" s="15" t="str">
        <f>_xlfn.XLOOKUP(OrderDetails[[#This Row],[ProductID]],Product!A:A,Product!G:G,"Not Found")</f>
        <v>Produce</v>
      </c>
      <c r="J1238" s="15" t="str">
        <f>LOOKUP(MONTH(G1238),{1,4,7,10},{"Winter","Spring","Summer","Autumn"})</f>
        <v>Autumn</v>
      </c>
      <c r="K1238" s="15" t="str">
        <f>_xlfn.XLOOKUP(OrderDetails[[#This Row],[ProductID]],Product!A:A,Product!B:B,"Not Found")</f>
        <v>Manjimup Dried Apples</v>
      </c>
    </row>
    <row r="1239" spans="1:11">
      <c r="A1239" s="2">
        <v>10716</v>
      </c>
      <c r="B1239" s="2">
        <v>61</v>
      </c>
      <c r="C1239" s="2">
        <v>28.5</v>
      </c>
      <c r="D1239" s="2">
        <v>10</v>
      </c>
      <c r="E1239" s="4">
        <v>0</v>
      </c>
      <c r="F1239" s="1" t="str">
        <f>_xlfn.XLOOKUP(A1239,Orders!A:A,Orders!B:B,"not found")</f>
        <v>RANCH</v>
      </c>
      <c r="G1239" s="13">
        <f>_xlfn.XLOOKUP(OrderDetails[[#This Row],[OrderID]],Orders!A:A,Orders!C:C,"Not Found")</f>
        <v>35727</v>
      </c>
      <c r="H1239" s="16">
        <f>(OrderDetails[[#This Row],[UnitPrice]]*OrderDetails[[#This Row],[Quantity]])*(1-OrderDetails[[#This Row],[Discount]])</f>
        <v>285</v>
      </c>
      <c r="I1239" s="15" t="str">
        <f>_xlfn.XLOOKUP(OrderDetails[[#This Row],[ProductID]],Product!A:A,Product!G:G,"Not Found")</f>
        <v>Condiments</v>
      </c>
      <c r="J1239" s="15" t="str">
        <f>LOOKUP(MONTH(G1239),{1,4,7,10},{"Winter","Spring","Summer","Autumn"})</f>
        <v>Autumn</v>
      </c>
      <c r="K1239" s="15" t="str">
        <f>_xlfn.XLOOKUP(OrderDetails[[#This Row],[ProductID]],Product!A:A,Product!B:B,"Not Found")</f>
        <v>Sirop d'érable</v>
      </c>
    </row>
    <row r="1240" spans="1:11">
      <c r="A1240" s="1">
        <v>10717</v>
      </c>
      <c r="B1240" s="1">
        <v>21</v>
      </c>
      <c r="C1240" s="1">
        <v>10</v>
      </c>
      <c r="D1240" s="1">
        <v>32</v>
      </c>
      <c r="E1240" s="3">
        <v>5.000000074505806E-2</v>
      </c>
      <c r="F1240" s="1" t="str">
        <f>_xlfn.XLOOKUP(A1240,Orders!A:A,Orders!B:B,"not found")</f>
        <v>FRANK</v>
      </c>
      <c r="G1240" s="13">
        <f>_xlfn.XLOOKUP(OrderDetails[[#This Row],[OrderID]],Orders!A:A,Orders!C:C,"Not Found")</f>
        <v>35727</v>
      </c>
      <c r="H1240" s="16">
        <f>(OrderDetails[[#This Row],[UnitPrice]]*OrderDetails[[#This Row],[Quantity]])*(1-OrderDetails[[#This Row],[Discount]])</f>
        <v>303.99999976158142</v>
      </c>
      <c r="I1240" s="15" t="str">
        <f>_xlfn.XLOOKUP(OrderDetails[[#This Row],[ProductID]],Product!A:A,Product!G:G,"Not Found")</f>
        <v>Confections</v>
      </c>
      <c r="J1240" s="15" t="str">
        <f>LOOKUP(MONTH(G1240),{1,4,7,10},{"Winter","Spring","Summer","Autumn"})</f>
        <v>Autumn</v>
      </c>
      <c r="K1240" s="15" t="str">
        <f>_xlfn.XLOOKUP(OrderDetails[[#This Row],[ProductID]],Product!A:A,Product!B:B,"Not Found")</f>
        <v>Sir Rodney's Scones</v>
      </c>
    </row>
    <row r="1241" spans="1:11">
      <c r="A1241" s="2">
        <v>10717</v>
      </c>
      <c r="B1241" s="2">
        <v>54</v>
      </c>
      <c r="C1241" s="2">
        <v>7.45</v>
      </c>
      <c r="D1241" s="2">
        <v>15</v>
      </c>
      <c r="E1241" s="4">
        <v>0</v>
      </c>
      <c r="F1241" s="1" t="str">
        <f>_xlfn.XLOOKUP(A1241,Orders!A:A,Orders!B:B,"not found")</f>
        <v>FRANK</v>
      </c>
      <c r="G1241" s="13">
        <f>_xlfn.XLOOKUP(OrderDetails[[#This Row],[OrderID]],Orders!A:A,Orders!C:C,"Not Found")</f>
        <v>35727</v>
      </c>
      <c r="H1241" s="16">
        <f>(OrderDetails[[#This Row],[UnitPrice]]*OrderDetails[[#This Row],[Quantity]])*(1-OrderDetails[[#This Row],[Discount]])</f>
        <v>111.75</v>
      </c>
      <c r="I1241" s="15" t="str">
        <f>_xlfn.XLOOKUP(OrderDetails[[#This Row],[ProductID]],Product!A:A,Product!G:G,"Not Found")</f>
        <v>Meat/Poultry</v>
      </c>
      <c r="J1241" s="15" t="str">
        <f>LOOKUP(MONTH(G1241),{1,4,7,10},{"Winter","Spring","Summer","Autumn"})</f>
        <v>Autumn</v>
      </c>
      <c r="K1241" s="15" t="str">
        <f>_xlfn.XLOOKUP(OrderDetails[[#This Row],[ProductID]],Product!A:A,Product!B:B,"Not Found")</f>
        <v>Tourtière</v>
      </c>
    </row>
    <row r="1242" spans="1:11">
      <c r="A1242" s="1">
        <v>10717</v>
      </c>
      <c r="B1242" s="1">
        <v>69</v>
      </c>
      <c r="C1242" s="1">
        <v>36</v>
      </c>
      <c r="D1242" s="1">
        <v>25</v>
      </c>
      <c r="E1242" s="3">
        <v>5.000000074505806E-2</v>
      </c>
      <c r="F1242" s="1" t="str">
        <f>_xlfn.XLOOKUP(A1242,Orders!A:A,Orders!B:B,"not found")</f>
        <v>FRANK</v>
      </c>
      <c r="G1242" s="13">
        <f>_xlfn.XLOOKUP(OrderDetails[[#This Row],[OrderID]],Orders!A:A,Orders!C:C,"Not Found")</f>
        <v>35727</v>
      </c>
      <c r="H1242" s="16">
        <f>(OrderDetails[[#This Row],[UnitPrice]]*OrderDetails[[#This Row],[Quantity]])*(1-OrderDetails[[#This Row],[Discount]])</f>
        <v>854.99999932944775</v>
      </c>
      <c r="I1242" s="15" t="str">
        <f>_xlfn.XLOOKUP(OrderDetails[[#This Row],[ProductID]],Product!A:A,Product!G:G,"Not Found")</f>
        <v>Dairy Products</v>
      </c>
      <c r="J1242" s="15" t="str">
        <f>LOOKUP(MONTH(G1242),{1,4,7,10},{"Winter","Spring","Summer","Autumn"})</f>
        <v>Autumn</v>
      </c>
      <c r="K1242" s="15" t="str">
        <f>_xlfn.XLOOKUP(OrderDetails[[#This Row],[ProductID]],Product!A:A,Product!B:B,"Not Found")</f>
        <v>Gudbrandsdalsost</v>
      </c>
    </row>
    <row r="1243" spans="1:11">
      <c r="A1243" s="2">
        <v>10718</v>
      </c>
      <c r="B1243" s="2">
        <v>12</v>
      </c>
      <c r="C1243" s="2">
        <v>38</v>
      </c>
      <c r="D1243" s="2">
        <v>36</v>
      </c>
      <c r="E1243" s="4">
        <v>0</v>
      </c>
      <c r="F1243" s="1" t="str">
        <f>_xlfn.XLOOKUP(A1243,Orders!A:A,Orders!B:B,"not found")</f>
        <v>KOENE</v>
      </c>
      <c r="G1243" s="13">
        <f>_xlfn.XLOOKUP(OrderDetails[[#This Row],[OrderID]],Orders!A:A,Orders!C:C,"Not Found")</f>
        <v>35730</v>
      </c>
      <c r="H1243" s="16">
        <f>(OrderDetails[[#This Row],[UnitPrice]]*OrderDetails[[#This Row],[Quantity]])*(1-OrderDetails[[#This Row],[Discount]])</f>
        <v>1368</v>
      </c>
      <c r="I1243" s="15" t="str">
        <f>_xlfn.XLOOKUP(OrderDetails[[#This Row],[ProductID]],Product!A:A,Product!G:G,"Not Found")</f>
        <v>Dairy Products</v>
      </c>
      <c r="J1243" s="15" t="str">
        <f>LOOKUP(MONTH(G1243),{1,4,7,10},{"Winter","Spring","Summer","Autumn"})</f>
        <v>Autumn</v>
      </c>
      <c r="K1243" s="15" t="str">
        <f>_xlfn.XLOOKUP(OrderDetails[[#This Row],[ProductID]],Product!A:A,Product!B:B,"Not Found")</f>
        <v>Queso Manchego La Pastora</v>
      </c>
    </row>
    <row r="1244" spans="1:11">
      <c r="A1244" s="1">
        <v>10718</v>
      </c>
      <c r="B1244" s="1">
        <v>16</v>
      </c>
      <c r="C1244" s="1">
        <v>17.45</v>
      </c>
      <c r="D1244" s="1">
        <v>20</v>
      </c>
      <c r="E1244" s="3">
        <v>0</v>
      </c>
      <c r="F1244" s="1" t="str">
        <f>_xlfn.XLOOKUP(A1244,Orders!A:A,Orders!B:B,"not found")</f>
        <v>KOENE</v>
      </c>
      <c r="G1244" s="13">
        <f>_xlfn.XLOOKUP(OrderDetails[[#This Row],[OrderID]],Orders!A:A,Orders!C:C,"Not Found")</f>
        <v>35730</v>
      </c>
      <c r="H1244" s="16">
        <f>(OrderDetails[[#This Row],[UnitPrice]]*OrderDetails[[#This Row],[Quantity]])*(1-OrderDetails[[#This Row],[Discount]])</f>
        <v>349</v>
      </c>
      <c r="I1244" s="15" t="str">
        <f>_xlfn.XLOOKUP(OrderDetails[[#This Row],[ProductID]],Product!A:A,Product!G:G,"Not Found")</f>
        <v>Confections</v>
      </c>
      <c r="J1244" s="15" t="str">
        <f>LOOKUP(MONTH(G1244),{1,4,7,10},{"Winter","Spring","Summer","Autumn"})</f>
        <v>Autumn</v>
      </c>
      <c r="K1244" s="15" t="str">
        <f>_xlfn.XLOOKUP(OrderDetails[[#This Row],[ProductID]],Product!A:A,Product!B:B,"Not Found")</f>
        <v>Pavlova</v>
      </c>
    </row>
    <row r="1245" spans="1:11">
      <c r="A1245" s="2">
        <v>10718</v>
      </c>
      <c r="B1245" s="2">
        <v>36</v>
      </c>
      <c r="C1245" s="2">
        <v>19</v>
      </c>
      <c r="D1245" s="2">
        <v>40</v>
      </c>
      <c r="E1245" s="4">
        <v>0</v>
      </c>
      <c r="F1245" s="1" t="str">
        <f>_xlfn.XLOOKUP(A1245,Orders!A:A,Orders!B:B,"not found")</f>
        <v>KOENE</v>
      </c>
      <c r="G1245" s="13">
        <f>_xlfn.XLOOKUP(OrderDetails[[#This Row],[OrderID]],Orders!A:A,Orders!C:C,"Not Found")</f>
        <v>35730</v>
      </c>
      <c r="H1245" s="16">
        <f>(OrderDetails[[#This Row],[UnitPrice]]*OrderDetails[[#This Row],[Quantity]])*(1-OrderDetails[[#This Row],[Discount]])</f>
        <v>760</v>
      </c>
      <c r="I1245" s="15" t="str">
        <f>_xlfn.XLOOKUP(OrderDetails[[#This Row],[ProductID]],Product!A:A,Product!G:G,"Not Found")</f>
        <v>Seafood</v>
      </c>
      <c r="J1245" s="15" t="str">
        <f>LOOKUP(MONTH(G1245),{1,4,7,10},{"Winter","Spring","Summer","Autumn"})</f>
        <v>Autumn</v>
      </c>
      <c r="K1245" s="15" t="str">
        <f>_xlfn.XLOOKUP(OrderDetails[[#This Row],[ProductID]],Product!A:A,Product!B:B,"Not Found")</f>
        <v>Inlagd Sill</v>
      </c>
    </row>
    <row r="1246" spans="1:11">
      <c r="A1246" s="1">
        <v>10718</v>
      </c>
      <c r="B1246" s="1">
        <v>62</v>
      </c>
      <c r="C1246" s="1">
        <v>49.3</v>
      </c>
      <c r="D1246" s="1">
        <v>20</v>
      </c>
      <c r="E1246" s="3">
        <v>0</v>
      </c>
      <c r="F1246" s="1" t="str">
        <f>_xlfn.XLOOKUP(A1246,Orders!A:A,Orders!B:B,"not found")</f>
        <v>KOENE</v>
      </c>
      <c r="G1246" s="13">
        <f>_xlfn.XLOOKUP(OrderDetails[[#This Row],[OrderID]],Orders!A:A,Orders!C:C,"Not Found")</f>
        <v>35730</v>
      </c>
      <c r="H1246" s="16">
        <f>(OrderDetails[[#This Row],[UnitPrice]]*OrderDetails[[#This Row],[Quantity]])*(1-OrderDetails[[#This Row],[Discount]])</f>
        <v>986</v>
      </c>
      <c r="I1246" s="15" t="str">
        <f>_xlfn.XLOOKUP(OrderDetails[[#This Row],[ProductID]],Product!A:A,Product!G:G,"Not Found")</f>
        <v>Confections</v>
      </c>
      <c r="J1246" s="15" t="str">
        <f>LOOKUP(MONTH(G1246),{1,4,7,10},{"Winter","Spring","Summer","Autumn"})</f>
        <v>Autumn</v>
      </c>
      <c r="K1246" s="15" t="str">
        <f>_xlfn.XLOOKUP(OrderDetails[[#This Row],[ProductID]],Product!A:A,Product!B:B,"Not Found")</f>
        <v>Tarte au sucre</v>
      </c>
    </row>
    <row r="1247" spans="1:11">
      <c r="A1247" s="2">
        <v>10719</v>
      </c>
      <c r="B1247" s="2">
        <v>18</v>
      </c>
      <c r="C1247" s="2">
        <v>62.5</v>
      </c>
      <c r="D1247" s="2">
        <v>12</v>
      </c>
      <c r="E1247" s="4">
        <v>0.25</v>
      </c>
      <c r="F1247" s="1" t="str">
        <f>_xlfn.XLOOKUP(A1247,Orders!A:A,Orders!B:B,"not found")</f>
        <v>LETSS</v>
      </c>
      <c r="G1247" s="13">
        <f>_xlfn.XLOOKUP(OrderDetails[[#This Row],[OrderID]],Orders!A:A,Orders!C:C,"Not Found")</f>
        <v>35730</v>
      </c>
      <c r="H1247" s="16">
        <f>(OrderDetails[[#This Row],[UnitPrice]]*OrderDetails[[#This Row],[Quantity]])*(1-OrderDetails[[#This Row],[Discount]])</f>
        <v>562.5</v>
      </c>
      <c r="I1247" s="15" t="str">
        <f>_xlfn.XLOOKUP(OrderDetails[[#This Row],[ProductID]],Product!A:A,Product!G:G,"Not Found")</f>
        <v>Seafood</v>
      </c>
      <c r="J1247" s="15" t="str">
        <f>LOOKUP(MONTH(G1247),{1,4,7,10},{"Winter","Spring","Summer","Autumn"})</f>
        <v>Autumn</v>
      </c>
      <c r="K1247" s="15" t="str">
        <f>_xlfn.XLOOKUP(OrderDetails[[#This Row],[ProductID]],Product!A:A,Product!B:B,"Not Found")</f>
        <v>Carnarvon Tigers</v>
      </c>
    </row>
    <row r="1248" spans="1:11">
      <c r="A1248" s="1">
        <v>10719</v>
      </c>
      <c r="B1248" s="1">
        <v>30</v>
      </c>
      <c r="C1248" s="1">
        <v>25.89</v>
      </c>
      <c r="D1248" s="1">
        <v>3</v>
      </c>
      <c r="E1248" s="3">
        <v>0.25</v>
      </c>
      <c r="F1248" s="1" t="str">
        <f>_xlfn.XLOOKUP(A1248,Orders!A:A,Orders!B:B,"not found")</f>
        <v>LETSS</v>
      </c>
      <c r="G1248" s="13">
        <f>_xlfn.XLOOKUP(OrderDetails[[#This Row],[OrderID]],Orders!A:A,Orders!C:C,"Not Found")</f>
        <v>35730</v>
      </c>
      <c r="H1248" s="16">
        <f>(OrderDetails[[#This Row],[UnitPrice]]*OrderDetails[[#This Row],[Quantity]])*(1-OrderDetails[[#This Row],[Discount]])</f>
        <v>58.252499999999998</v>
      </c>
      <c r="I1248" s="15" t="str">
        <f>_xlfn.XLOOKUP(OrderDetails[[#This Row],[ProductID]],Product!A:A,Product!G:G,"Not Found")</f>
        <v>Seafood</v>
      </c>
      <c r="J1248" s="15" t="str">
        <f>LOOKUP(MONTH(G1248),{1,4,7,10},{"Winter","Spring","Summer","Autumn"})</f>
        <v>Autumn</v>
      </c>
      <c r="K1248" s="15" t="str">
        <f>_xlfn.XLOOKUP(OrderDetails[[#This Row],[ProductID]],Product!A:A,Product!B:B,"Not Found")</f>
        <v>Nord-Ost Matjeshering</v>
      </c>
    </row>
    <row r="1249" spans="1:11">
      <c r="A1249" s="2">
        <v>10719</v>
      </c>
      <c r="B1249" s="2">
        <v>54</v>
      </c>
      <c r="C1249" s="2">
        <v>7.45</v>
      </c>
      <c r="D1249" s="2">
        <v>40</v>
      </c>
      <c r="E1249" s="4">
        <v>0.25</v>
      </c>
      <c r="F1249" s="1" t="str">
        <f>_xlfn.XLOOKUP(A1249,Orders!A:A,Orders!B:B,"not found")</f>
        <v>LETSS</v>
      </c>
      <c r="G1249" s="13">
        <f>_xlfn.XLOOKUP(OrderDetails[[#This Row],[OrderID]],Orders!A:A,Orders!C:C,"Not Found")</f>
        <v>35730</v>
      </c>
      <c r="H1249" s="16">
        <f>(OrderDetails[[#This Row],[UnitPrice]]*OrderDetails[[#This Row],[Quantity]])*(1-OrderDetails[[#This Row],[Discount]])</f>
        <v>223.5</v>
      </c>
      <c r="I1249" s="15" t="str">
        <f>_xlfn.XLOOKUP(OrderDetails[[#This Row],[ProductID]],Product!A:A,Product!G:G,"Not Found")</f>
        <v>Meat/Poultry</v>
      </c>
      <c r="J1249" s="15" t="str">
        <f>LOOKUP(MONTH(G1249),{1,4,7,10},{"Winter","Spring","Summer","Autumn"})</f>
        <v>Autumn</v>
      </c>
      <c r="K1249" s="15" t="str">
        <f>_xlfn.XLOOKUP(OrderDetails[[#This Row],[ProductID]],Product!A:A,Product!B:B,"Not Found")</f>
        <v>Tourtière</v>
      </c>
    </row>
    <row r="1250" spans="1:11">
      <c r="A1250" s="1">
        <v>10720</v>
      </c>
      <c r="B1250" s="1">
        <v>35</v>
      </c>
      <c r="C1250" s="1">
        <v>18</v>
      </c>
      <c r="D1250" s="1">
        <v>21</v>
      </c>
      <c r="E1250" s="3">
        <v>0</v>
      </c>
      <c r="F1250" s="1" t="str">
        <f>_xlfn.XLOOKUP(A1250,Orders!A:A,Orders!B:B,"not found")</f>
        <v>QUEDE</v>
      </c>
      <c r="G1250" s="13">
        <f>_xlfn.XLOOKUP(OrderDetails[[#This Row],[OrderID]],Orders!A:A,Orders!C:C,"Not Found")</f>
        <v>35731</v>
      </c>
      <c r="H1250" s="16">
        <f>(OrderDetails[[#This Row],[UnitPrice]]*OrderDetails[[#This Row],[Quantity]])*(1-OrderDetails[[#This Row],[Discount]])</f>
        <v>378</v>
      </c>
      <c r="I1250" s="15" t="str">
        <f>_xlfn.XLOOKUP(OrderDetails[[#This Row],[ProductID]],Product!A:A,Product!G:G,"Not Found")</f>
        <v>Beverages</v>
      </c>
      <c r="J1250" s="15" t="str">
        <f>LOOKUP(MONTH(G1250),{1,4,7,10},{"Winter","Spring","Summer","Autumn"})</f>
        <v>Autumn</v>
      </c>
      <c r="K1250" s="15" t="str">
        <f>_xlfn.XLOOKUP(OrderDetails[[#This Row],[ProductID]],Product!A:A,Product!B:B,"Not Found")</f>
        <v>Steeleye Stout</v>
      </c>
    </row>
    <row r="1251" spans="1:11">
      <c r="A1251" s="2">
        <v>10720</v>
      </c>
      <c r="B1251" s="2">
        <v>71</v>
      </c>
      <c r="C1251" s="2">
        <v>21.5</v>
      </c>
      <c r="D1251" s="2">
        <v>8</v>
      </c>
      <c r="E1251" s="4">
        <v>0</v>
      </c>
      <c r="F1251" s="1" t="str">
        <f>_xlfn.XLOOKUP(A1251,Orders!A:A,Orders!B:B,"not found")</f>
        <v>QUEDE</v>
      </c>
      <c r="G1251" s="13">
        <f>_xlfn.XLOOKUP(OrderDetails[[#This Row],[OrderID]],Orders!A:A,Orders!C:C,"Not Found")</f>
        <v>35731</v>
      </c>
      <c r="H1251" s="16">
        <f>(OrderDetails[[#This Row],[UnitPrice]]*OrderDetails[[#This Row],[Quantity]])*(1-OrderDetails[[#This Row],[Discount]])</f>
        <v>172</v>
      </c>
      <c r="I1251" s="15" t="str">
        <f>_xlfn.XLOOKUP(OrderDetails[[#This Row],[ProductID]],Product!A:A,Product!G:G,"Not Found")</f>
        <v>Dairy Products</v>
      </c>
      <c r="J1251" s="15" t="str">
        <f>LOOKUP(MONTH(G1251),{1,4,7,10},{"Winter","Spring","Summer","Autumn"})</f>
        <v>Autumn</v>
      </c>
      <c r="K1251" s="15" t="str">
        <f>_xlfn.XLOOKUP(OrderDetails[[#This Row],[ProductID]],Product!A:A,Product!B:B,"Not Found")</f>
        <v>Flotemysost</v>
      </c>
    </row>
    <row r="1252" spans="1:11">
      <c r="A1252" s="1">
        <v>10721</v>
      </c>
      <c r="B1252" s="1">
        <v>44</v>
      </c>
      <c r="C1252" s="1">
        <v>19.45</v>
      </c>
      <c r="D1252" s="1">
        <v>50</v>
      </c>
      <c r="E1252" s="3">
        <v>5.000000074505806E-2</v>
      </c>
      <c r="F1252" s="1" t="str">
        <f>_xlfn.XLOOKUP(A1252,Orders!A:A,Orders!B:B,"not found")</f>
        <v>QUICK</v>
      </c>
      <c r="G1252" s="13">
        <f>_xlfn.XLOOKUP(OrderDetails[[#This Row],[OrderID]],Orders!A:A,Orders!C:C,"Not Found")</f>
        <v>35732</v>
      </c>
      <c r="H1252" s="16">
        <f>(OrderDetails[[#This Row],[UnitPrice]]*OrderDetails[[#This Row],[Quantity]])*(1-OrderDetails[[#This Row],[Discount]])</f>
        <v>923.87499927543104</v>
      </c>
      <c r="I1252" s="15" t="str">
        <f>_xlfn.XLOOKUP(OrderDetails[[#This Row],[ProductID]],Product!A:A,Product!G:G,"Not Found")</f>
        <v>Condiments</v>
      </c>
      <c r="J1252" s="15" t="str">
        <f>LOOKUP(MONTH(G1252),{1,4,7,10},{"Winter","Spring","Summer","Autumn"})</f>
        <v>Autumn</v>
      </c>
      <c r="K1252" s="15" t="str">
        <f>_xlfn.XLOOKUP(OrderDetails[[#This Row],[ProductID]],Product!A:A,Product!B:B,"Not Found")</f>
        <v>Gula Malacca</v>
      </c>
    </row>
    <row r="1253" spans="1:11">
      <c r="A1253" s="2">
        <v>10722</v>
      </c>
      <c r="B1253" s="2">
        <v>2</v>
      </c>
      <c r="C1253" s="2">
        <v>19</v>
      </c>
      <c r="D1253" s="2">
        <v>3</v>
      </c>
      <c r="E1253" s="4">
        <v>0</v>
      </c>
      <c r="F1253" s="1" t="str">
        <f>_xlfn.XLOOKUP(A1253,Orders!A:A,Orders!B:B,"not found")</f>
        <v>SAVEA</v>
      </c>
      <c r="G1253" s="13">
        <f>_xlfn.XLOOKUP(OrderDetails[[#This Row],[OrderID]],Orders!A:A,Orders!C:C,"Not Found")</f>
        <v>35732</v>
      </c>
      <c r="H1253" s="16">
        <f>(OrderDetails[[#This Row],[UnitPrice]]*OrderDetails[[#This Row],[Quantity]])*(1-OrderDetails[[#This Row],[Discount]])</f>
        <v>57</v>
      </c>
      <c r="I1253" s="15" t="str">
        <f>_xlfn.XLOOKUP(OrderDetails[[#This Row],[ProductID]],Product!A:A,Product!G:G,"Not Found")</f>
        <v>Beverages</v>
      </c>
      <c r="J1253" s="15" t="str">
        <f>LOOKUP(MONTH(G1253),{1,4,7,10},{"Winter","Spring","Summer","Autumn"})</f>
        <v>Autumn</v>
      </c>
      <c r="K1253" s="15" t="str">
        <f>_xlfn.XLOOKUP(OrderDetails[[#This Row],[ProductID]],Product!A:A,Product!B:B,"Not Found")</f>
        <v>Chang</v>
      </c>
    </row>
    <row r="1254" spans="1:11">
      <c r="A1254" s="1">
        <v>10722</v>
      </c>
      <c r="B1254" s="1">
        <v>31</v>
      </c>
      <c r="C1254" s="1">
        <v>12.5</v>
      </c>
      <c r="D1254" s="1">
        <v>50</v>
      </c>
      <c r="E1254" s="3">
        <v>0</v>
      </c>
      <c r="F1254" s="1" t="str">
        <f>_xlfn.XLOOKUP(A1254,Orders!A:A,Orders!B:B,"not found")</f>
        <v>SAVEA</v>
      </c>
      <c r="G1254" s="13">
        <f>_xlfn.XLOOKUP(OrderDetails[[#This Row],[OrderID]],Orders!A:A,Orders!C:C,"Not Found")</f>
        <v>35732</v>
      </c>
      <c r="H1254" s="16">
        <f>(OrderDetails[[#This Row],[UnitPrice]]*OrderDetails[[#This Row],[Quantity]])*(1-OrderDetails[[#This Row],[Discount]])</f>
        <v>625</v>
      </c>
      <c r="I1254" s="15" t="str">
        <f>_xlfn.XLOOKUP(OrderDetails[[#This Row],[ProductID]],Product!A:A,Product!G:G,"Not Found")</f>
        <v>Dairy Products</v>
      </c>
      <c r="J1254" s="15" t="str">
        <f>LOOKUP(MONTH(G1254),{1,4,7,10},{"Winter","Spring","Summer","Autumn"})</f>
        <v>Autumn</v>
      </c>
      <c r="K1254" s="15" t="str">
        <f>_xlfn.XLOOKUP(OrderDetails[[#This Row],[ProductID]],Product!A:A,Product!B:B,"Not Found")</f>
        <v>Gorgonzola Telino</v>
      </c>
    </row>
    <row r="1255" spans="1:11">
      <c r="A1255" s="2">
        <v>10722</v>
      </c>
      <c r="B1255" s="2">
        <v>68</v>
      </c>
      <c r="C1255" s="2">
        <v>12.5</v>
      </c>
      <c r="D1255" s="2">
        <v>45</v>
      </c>
      <c r="E1255" s="4">
        <v>0</v>
      </c>
      <c r="F1255" s="1" t="str">
        <f>_xlfn.XLOOKUP(A1255,Orders!A:A,Orders!B:B,"not found")</f>
        <v>SAVEA</v>
      </c>
      <c r="G1255" s="13">
        <f>_xlfn.XLOOKUP(OrderDetails[[#This Row],[OrderID]],Orders!A:A,Orders!C:C,"Not Found")</f>
        <v>35732</v>
      </c>
      <c r="H1255" s="16">
        <f>(OrderDetails[[#This Row],[UnitPrice]]*OrderDetails[[#This Row],[Quantity]])*(1-OrderDetails[[#This Row],[Discount]])</f>
        <v>562.5</v>
      </c>
      <c r="I1255" s="15" t="str">
        <f>_xlfn.XLOOKUP(OrderDetails[[#This Row],[ProductID]],Product!A:A,Product!G:G,"Not Found")</f>
        <v>Confections</v>
      </c>
      <c r="J1255" s="15" t="str">
        <f>LOOKUP(MONTH(G1255),{1,4,7,10},{"Winter","Spring","Summer","Autumn"})</f>
        <v>Autumn</v>
      </c>
      <c r="K1255" s="15" t="str">
        <f>_xlfn.XLOOKUP(OrderDetails[[#This Row],[ProductID]],Product!A:A,Product!B:B,"Not Found")</f>
        <v>Scottish Longbreads</v>
      </c>
    </row>
    <row r="1256" spans="1:11">
      <c r="A1256" s="1">
        <v>10722</v>
      </c>
      <c r="B1256" s="1">
        <v>75</v>
      </c>
      <c r="C1256" s="1">
        <v>7.75</v>
      </c>
      <c r="D1256" s="1">
        <v>42</v>
      </c>
      <c r="E1256" s="3">
        <v>0</v>
      </c>
      <c r="F1256" s="1" t="str">
        <f>_xlfn.XLOOKUP(A1256,Orders!A:A,Orders!B:B,"not found")</f>
        <v>SAVEA</v>
      </c>
      <c r="G1256" s="13">
        <f>_xlfn.XLOOKUP(OrderDetails[[#This Row],[OrderID]],Orders!A:A,Orders!C:C,"Not Found")</f>
        <v>35732</v>
      </c>
      <c r="H1256" s="16">
        <f>(OrderDetails[[#This Row],[UnitPrice]]*OrderDetails[[#This Row],[Quantity]])*(1-OrderDetails[[#This Row],[Discount]])</f>
        <v>325.5</v>
      </c>
      <c r="I1256" s="15" t="str">
        <f>_xlfn.XLOOKUP(OrderDetails[[#This Row],[ProductID]],Product!A:A,Product!G:G,"Not Found")</f>
        <v>Beverages</v>
      </c>
      <c r="J1256" s="15" t="str">
        <f>LOOKUP(MONTH(G1256),{1,4,7,10},{"Winter","Spring","Summer","Autumn"})</f>
        <v>Autumn</v>
      </c>
      <c r="K1256" s="15" t="str">
        <f>_xlfn.XLOOKUP(OrderDetails[[#This Row],[ProductID]],Product!A:A,Product!B:B,"Not Found")</f>
        <v>Rhönbräu Klosterbier</v>
      </c>
    </row>
    <row r="1257" spans="1:11">
      <c r="A1257" s="2">
        <v>10723</v>
      </c>
      <c r="B1257" s="2">
        <v>26</v>
      </c>
      <c r="C1257" s="2">
        <v>31.23</v>
      </c>
      <c r="D1257" s="2">
        <v>15</v>
      </c>
      <c r="E1257" s="4">
        <v>0</v>
      </c>
      <c r="F1257" s="1" t="str">
        <f>_xlfn.XLOOKUP(A1257,Orders!A:A,Orders!B:B,"not found")</f>
        <v>WHITC</v>
      </c>
      <c r="G1257" s="13">
        <f>_xlfn.XLOOKUP(OrderDetails[[#This Row],[OrderID]],Orders!A:A,Orders!C:C,"Not Found")</f>
        <v>35733</v>
      </c>
      <c r="H1257" s="16">
        <f>(OrderDetails[[#This Row],[UnitPrice]]*OrderDetails[[#This Row],[Quantity]])*(1-OrderDetails[[#This Row],[Discount]])</f>
        <v>468.45</v>
      </c>
      <c r="I1257" s="15" t="str">
        <f>_xlfn.XLOOKUP(OrderDetails[[#This Row],[ProductID]],Product!A:A,Product!G:G,"Not Found")</f>
        <v>Confections</v>
      </c>
      <c r="J1257" s="15" t="str">
        <f>LOOKUP(MONTH(G1257),{1,4,7,10},{"Winter","Spring","Summer","Autumn"})</f>
        <v>Autumn</v>
      </c>
      <c r="K1257" s="15" t="str">
        <f>_xlfn.XLOOKUP(OrderDetails[[#This Row],[ProductID]],Product!A:A,Product!B:B,"Not Found")</f>
        <v>Gumbär Gummibärchen</v>
      </c>
    </row>
    <row r="1258" spans="1:11">
      <c r="A1258" s="1">
        <v>10724</v>
      </c>
      <c r="B1258" s="1">
        <v>10</v>
      </c>
      <c r="C1258" s="1">
        <v>31</v>
      </c>
      <c r="D1258" s="1">
        <v>16</v>
      </c>
      <c r="E1258" s="3">
        <v>0</v>
      </c>
      <c r="F1258" s="1" t="str">
        <f>_xlfn.XLOOKUP(A1258,Orders!A:A,Orders!B:B,"not found")</f>
        <v>MEREP</v>
      </c>
      <c r="G1258" s="13">
        <f>_xlfn.XLOOKUP(OrderDetails[[#This Row],[OrderID]],Orders!A:A,Orders!C:C,"Not Found")</f>
        <v>35733</v>
      </c>
      <c r="H1258" s="16">
        <f>(OrderDetails[[#This Row],[UnitPrice]]*OrderDetails[[#This Row],[Quantity]])*(1-OrderDetails[[#This Row],[Discount]])</f>
        <v>496</v>
      </c>
      <c r="I1258" s="15" t="str">
        <f>_xlfn.XLOOKUP(OrderDetails[[#This Row],[ProductID]],Product!A:A,Product!G:G,"Not Found")</f>
        <v>Seafood</v>
      </c>
      <c r="J1258" s="15" t="str">
        <f>LOOKUP(MONTH(G1258),{1,4,7,10},{"Winter","Spring","Summer","Autumn"})</f>
        <v>Autumn</v>
      </c>
      <c r="K1258" s="15" t="str">
        <f>_xlfn.XLOOKUP(OrderDetails[[#This Row],[ProductID]],Product!A:A,Product!B:B,"Not Found")</f>
        <v>Ikura</v>
      </c>
    </row>
    <row r="1259" spans="1:11">
      <c r="A1259" s="2">
        <v>10724</v>
      </c>
      <c r="B1259" s="2">
        <v>61</v>
      </c>
      <c r="C1259" s="2">
        <v>28.5</v>
      </c>
      <c r="D1259" s="2">
        <v>5</v>
      </c>
      <c r="E1259" s="4">
        <v>0</v>
      </c>
      <c r="F1259" s="1" t="str">
        <f>_xlfn.XLOOKUP(A1259,Orders!A:A,Orders!B:B,"not found")</f>
        <v>MEREP</v>
      </c>
      <c r="G1259" s="13">
        <f>_xlfn.XLOOKUP(OrderDetails[[#This Row],[OrderID]],Orders!A:A,Orders!C:C,"Not Found")</f>
        <v>35733</v>
      </c>
      <c r="H1259" s="16">
        <f>(OrderDetails[[#This Row],[UnitPrice]]*OrderDetails[[#This Row],[Quantity]])*(1-OrderDetails[[#This Row],[Discount]])</f>
        <v>142.5</v>
      </c>
      <c r="I1259" s="15" t="str">
        <f>_xlfn.XLOOKUP(OrderDetails[[#This Row],[ProductID]],Product!A:A,Product!G:G,"Not Found")</f>
        <v>Condiments</v>
      </c>
      <c r="J1259" s="15" t="str">
        <f>LOOKUP(MONTH(G1259),{1,4,7,10},{"Winter","Spring","Summer","Autumn"})</f>
        <v>Autumn</v>
      </c>
      <c r="K1259" s="15" t="str">
        <f>_xlfn.XLOOKUP(OrderDetails[[#This Row],[ProductID]],Product!A:A,Product!B:B,"Not Found")</f>
        <v>Sirop d'érable</v>
      </c>
    </row>
    <row r="1260" spans="1:11">
      <c r="A1260" s="1">
        <v>10725</v>
      </c>
      <c r="B1260" s="1">
        <v>41</v>
      </c>
      <c r="C1260" s="1">
        <v>9.65</v>
      </c>
      <c r="D1260" s="1">
        <v>12</v>
      </c>
      <c r="E1260" s="3">
        <v>0</v>
      </c>
      <c r="F1260" s="1" t="str">
        <f>_xlfn.XLOOKUP(A1260,Orders!A:A,Orders!B:B,"not found")</f>
        <v>FAMIA</v>
      </c>
      <c r="G1260" s="13">
        <f>_xlfn.XLOOKUP(OrderDetails[[#This Row],[OrderID]],Orders!A:A,Orders!C:C,"Not Found")</f>
        <v>35734</v>
      </c>
      <c r="H1260" s="16">
        <f>(OrderDetails[[#This Row],[UnitPrice]]*OrderDetails[[#This Row],[Quantity]])*(1-OrderDetails[[#This Row],[Discount]])</f>
        <v>115.80000000000001</v>
      </c>
      <c r="I1260" s="15" t="str">
        <f>_xlfn.XLOOKUP(OrderDetails[[#This Row],[ProductID]],Product!A:A,Product!G:G,"Not Found")</f>
        <v>Seafood</v>
      </c>
      <c r="J1260" s="15" t="str">
        <f>LOOKUP(MONTH(G1260),{1,4,7,10},{"Winter","Spring","Summer","Autumn"})</f>
        <v>Autumn</v>
      </c>
      <c r="K1260" s="15" t="str">
        <f>_xlfn.XLOOKUP(OrderDetails[[#This Row],[ProductID]],Product!A:A,Product!B:B,"Not Found")</f>
        <v>Jack's New England Clam Chowder</v>
      </c>
    </row>
    <row r="1261" spans="1:11">
      <c r="A1261" s="2">
        <v>10725</v>
      </c>
      <c r="B1261" s="2">
        <v>52</v>
      </c>
      <c r="C1261" s="2">
        <v>7</v>
      </c>
      <c r="D1261" s="2">
        <v>4</v>
      </c>
      <c r="E1261" s="4">
        <v>0</v>
      </c>
      <c r="F1261" s="1" t="str">
        <f>_xlfn.XLOOKUP(A1261,Orders!A:A,Orders!B:B,"not found")</f>
        <v>FAMIA</v>
      </c>
      <c r="G1261" s="13">
        <f>_xlfn.XLOOKUP(OrderDetails[[#This Row],[OrderID]],Orders!A:A,Orders!C:C,"Not Found")</f>
        <v>35734</v>
      </c>
      <c r="H1261" s="16">
        <f>(OrderDetails[[#This Row],[UnitPrice]]*OrderDetails[[#This Row],[Quantity]])*(1-OrderDetails[[#This Row],[Discount]])</f>
        <v>28</v>
      </c>
      <c r="I1261" s="15" t="str">
        <f>_xlfn.XLOOKUP(OrderDetails[[#This Row],[ProductID]],Product!A:A,Product!G:G,"Not Found")</f>
        <v>Grains/Cereals</v>
      </c>
      <c r="J1261" s="15" t="str">
        <f>LOOKUP(MONTH(G1261),{1,4,7,10},{"Winter","Spring","Summer","Autumn"})</f>
        <v>Autumn</v>
      </c>
      <c r="K1261" s="15" t="str">
        <f>_xlfn.XLOOKUP(OrderDetails[[#This Row],[ProductID]],Product!A:A,Product!B:B,"Not Found")</f>
        <v>Filo Mix</v>
      </c>
    </row>
    <row r="1262" spans="1:11">
      <c r="A1262" s="1">
        <v>10725</v>
      </c>
      <c r="B1262" s="1">
        <v>55</v>
      </c>
      <c r="C1262" s="1">
        <v>24</v>
      </c>
      <c r="D1262" s="1">
        <v>6</v>
      </c>
      <c r="E1262" s="3">
        <v>0</v>
      </c>
      <c r="F1262" s="1" t="str">
        <f>_xlfn.XLOOKUP(A1262,Orders!A:A,Orders!B:B,"not found")</f>
        <v>FAMIA</v>
      </c>
      <c r="G1262" s="13">
        <f>_xlfn.XLOOKUP(OrderDetails[[#This Row],[OrderID]],Orders!A:A,Orders!C:C,"Not Found")</f>
        <v>35734</v>
      </c>
      <c r="H1262" s="16">
        <f>(OrderDetails[[#This Row],[UnitPrice]]*OrderDetails[[#This Row],[Quantity]])*(1-OrderDetails[[#This Row],[Discount]])</f>
        <v>144</v>
      </c>
      <c r="I1262" s="15" t="str">
        <f>_xlfn.XLOOKUP(OrderDetails[[#This Row],[ProductID]],Product!A:A,Product!G:G,"Not Found")</f>
        <v>Meat/Poultry</v>
      </c>
      <c r="J1262" s="15" t="str">
        <f>LOOKUP(MONTH(G1262),{1,4,7,10},{"Winter","Spring","Summer","Autumn"})</f>
        <v>Autumn</v>
      </c>
      <c r="K1262" s="15" t="str">
        <f>_xlfn.XLOOKUP(OrderDetails[[#This Row],[ProductID]],Product!A:A,Product!B:B,"Not Found")</f>
        <v>Pâté chinois</v>
      </c>
    </row>
    <row r="1263" spans="1:11">
      <c r="A1263" s="2">
        <v>10726</v>
      </c>
      <c r="B1263" s="2">
        <v>4</v>
      </c>
      <c r="C1263" s="2">
        <v>22</v>
      </c>
      <c r="D1263" s="2">
        <v>25</v>
      </c>
      <c r="E1263" s="4">
        <v>0</v>
      </c>
      <c r="F1263" s="1" t="str">
        <f>_xlfn.XLOOKUP(A1263,Orders!A:A,Orders!B:B,"not found")</f>
        <v>EASTC</v>
      </c>
      <c r="G1263" s="13">
        <f>_xlfn.XLOOKUP(OrderDetails[[#This Row],[OrderID]],Orders!A:A,Orders!C:C,"Not Found")</f>
        <v>35737</v>
      </c>
      <c r="H1263" s="16">
        <f>(OrderDetails[[#This Row],[UnitPrice]]*OrderDetails[[#This Row],[Quantity]])*(1-OrderDetails[[#This Row],[Discount]])</f>
        <v>550</v>
      </c>
      <c r="I1263" s="15" t="str">
        <f>_xlfn.XLOOKUP(OrderDetails[[#This Row],[ProductID]],Product!A:A,Product!G:G,"Not Found")</f>
        <v>Condiments</v>
      </c>
      <c r="J1263" s="15" t="str">
        <f>LOOKUP(MONTH(G1263),{1,4,7,10},{"Winter","Spring","Summer","Autumn"})</f>
        <v>Autumn</v>
      </c>
      <c r="K1263" s="15" t="str">
        <f>_xlfn.XLOOKUP(OrderDetails[[#This Row],[ProductID]],Product!A:A,Product!B:B,"Not Found")</f>
        <v>Chef Anton's Cajun Seasoning</v>
      </c>
    </row>
    <row r="1264" spans="1:11">
      <c r="A1264" s="1">
        <v>10726</v>
      </c>
      <c r="B1264" s="1">
        <v>11</v>
      </c>
      <c r="C1264" s="1">
        <v>21</v>
      </c>
      <c r="D1264" s="1">
        <v>5</v>
      </c>
      <c r="E1264" s="3">
        <v>0</v>
      </c>
      <c r="F1264" s="1" t="str">
        <f>_xlfn.XLOOKUP(A1264,Orders!A:A,Orders!B:B,"not found")</f>
        <v>EASTC</v>
      </c>
      <c r="G1264" s="13">
        <f>_xlfn.XLOOKUP(OrderDetails[[#This Row],[OrderID]],Orders!A:A,Orders!C:C,"Not Found")</f>
        <v>35737</v>
      </c>
      <c r="H1264" s="16">
        <f>(OrderDetails[[#This Row],[UnitPrice]]*OrderDetails[[#This Row],[Quantity]])*(1-OrderDetails[[#This Row],[Discount]])</f>
        <v>105</v>
      </c>
      <c r="I1264" s="15" t="str">
        <f>_xlfn.XLOOKUP(OrderDetails[[#This Row],[ProductID]],Product!A:A,Product!G:G,"Not Found")</f>
        <v>Dairy Products</v>
      </c>
      <c r="J1264" s="15" t="str">
        <f>LOOKUP(MONTH(G1264),{1,4,7,10},{"Winter","Spring","Summer","Autumn"})</f>
        <v>Autumn</v>
      </c>
      <c r="K1264" s="15" t="str">
        <f>_xlfn.XLOOKUP(OrderDetails[[#This Row],[ProductID]],Product!A:A,Product!B:B,"Not Found")</f>
        <v>Queso Cabrales</v>
      </c>
    </row>
    <row r="1265" spans="1:11">
      <c r="A1265" s="2">
        <v>10727</v>
      </c>
      <c r="B1265" s="2">
        <v>17</v>
      </c>
      <c r="C1265" s="2">
        <v>39</v>
      </c>
      <c r="D1265" s="2">
        <v>20</v>
      </c>
      <c r="E1265" s="4">
        <v>5.000000074505806E-2</v>
      </c>
      <c r="F1265" s="1" t="str">
        <f>_xlfn.XLOOKUP(A1265,Orders!A:A,Orders!B:B,"not found")</f>
        <v>REGGC</v>
      </c>
      <c r="G1265" s="13">
        <f>_xlfn.XLOOKUP(OrderDetails[[#This Row],[OrderID]],Orders!A:A,Orders!C:C,"Not Found")</f>
        <v>35737</v>
      </c>
      <c r="H1265" s="16">
        <f>(OrderDetails[[#This Row],[UnitPrice]]*OrderDetails[[#This Row],[Quantity]])*(1-OrderDetails[[#This Row],[Discount]])</f>
        <v>740.99999941885471</v>
      </c>
      <c r="I1265" s="15" t="str">
        <f>_xlfn.XLOOKUP(OrderDetails[[#This Row],[ProductID]],Product!A:A,Product!G:G,"Not Found")</f>
        <v>Meat/Poultry</v>
      </c>
      <c r="J1265" s="15" t="str">
        <f>LOOKUP(MONTH(G1265),{1,4,7,10},{"Winter","Spring","Summer","Autumn"})</f>
        <v>Autumn</v>
      </c>
      <c r="K1265" s="15" t="str">
        <f>_xlfn.XLOOKUP(OrderDetails[[#This Row],[ProductID]],Product!A:A,Product!B:B,"Not Found")</f>
        <v>Alice Mutton</v>
      </c>
    </row>
    <row r="1266" spans="1:11">
      <c r="A1266" s="1">
        <v>10727</v>
      </c>
      <c r="B1266" s="1">
        <v>56</v>
      </c>
      <c r="C1266" s="1">
        <v>38</v>
      </c>
      <c r="D1266" s="1">
        <v>10</v>
      </c>
      <c r="E1266" s="3">
        <v>5.000000074505806E-2</v>
      </c>
      <c r="F1266" s="1" t="str">
        <f>_xlfn.XLOOKUP(A1266,Orders!A:A,Orders!B:B,"not found")</f>
        <v>REGGC</v>
      </c>
      <c r="G1266" s="13">
        <f>_xlfn.XLOOKUP(OrderDetails[[#This Row],[OrderID]],Orders!A:A,Orders!C:C,"Not Found")</f>
        <v>35737</v>
      </c>
      <c r="H1266" s="16">
        <f>(OrderDetails[[#This Row],[UnitPrice]]*OrderDetails[[#This Row],[Quantity]])*(1-OrderDetails[[#This Row],[Discount]])</f>
        <v>360.99999971687794</v>
      </c>
      <c r="I1266" s="15" t="str">
        <f>_xlfn.XLOOKUP(OrderDetails[[#This Row],[ProductID]],Product!A:A,Product!G:G,"Not Found")</f>
        <v>Grains/Cereals</v>
      </c>
      <c r="J1266" s="15" t="str">
        <f>LOOKUP(MONTH(G1266),{1,4,7,10},{"Winter","Spring","Summer","Autumn"})</f>
        <v>Autumn</v>
      </c>
      <c r="K1266" s="15" t="str">
        <f>_xlfn.XLOOKUP(OrderDetails[[#This Row],[ProductID]],Product!A:A,Product!B:B,"Not Found")</f>
        <v>Gnocchi di nonna Alice</v>
      </c>
    </row>
    <row r="1267" spans="1:11">
      <c r="A1267" s="2">
        <v>10727</v>
      </c>
      <c r="B1267" s="2">
        <v>59</v>
      </c>
      <c r="C1267" s="2">
        <v>55</v>
      </c>
      <c r="D1267" s="2">
        <v>10</v>
      </c>
      <c r="E1267" s="4">
        <v>5.000000074505806E-2</v>
      </c>
      <c r="F1267" s="1" t="str">
        <f>_xlfn.XLOOKUP(A1267,Orders!A:A,Orders!B:B,"not found")</f>
        <v>REGGC</v>
      </c>
      <c r="G1267" s="13">
        <f>_xlfn.XLOOKUP(OrderDetails[[#This Row],[OrderID]],Orders!A:A,Orders!C:C,"Not Found")</f>
        <v>35737</v>
      </c>
      <c r="H1267" s="16">
        <f>(OrderDetails[[#This Row],[UnitPrice]]*OrderDetails[[#This Row],[Quantity]])*(1-OrderDetails[[#This Row],[Discount]])</f>
        <v>522.49999959021807</v>
      </c>
      <c r="I1267" s="15" t="str">
        <f>_xlfn.XLOOKUP(OrderDetails[[#This Row],[ProductID]],Product!A:A,Product!G:G,"Not Found")</f>
        <v>Dairy Products</v>
      </c>
      <c r="J1267" s="15" t="str">
        <f>LOOKUP(MONTH(G1267),{1,4,7,10},{"Winter","Spring","Summer","Autumn"})</f>
        <v>Autumn</v>
      </c>
      <c r="K1267" s="15" t="str">
        <f>_xlfn.XLOOKUP(OrderDetails[[#This Row],[ProductID]],Product!A:A,Product!B:B,"Not Found")</f>
        <v>Raclette Courdavault</v>
      </c>
    </row>
    <row r="1268" spans="1:11">
      <c r="A1268" s="1">
        <v>10728</v>
      </c>
      <c r="B1268" s="1">
        <v>30</v>
      </c>
      <c r="C1268" s="1">
        <v>25.89</v>
      </c>
      <c r="D1268" s="1">
        <v>15</v>
      </c>
      <c r="E1268" s="3">
        <v>0</v>
      </c>
      <c r="F1268" s="1" t="str">
        <f>_xlfn.XLOOKUP(A1268,Orders!A:A,Orders!B:B,"not found")</f>
        <v>QUEEN</v>
      </c>
      <c r="G1268" s="13">
        <f>_xlfn.XLOOKUP(OrderDetails[[#This Row],[OrderID]],Orders!A:A,Orders!C:C,"Not Found")</f>
        <v>35738</v>
      </c>
      <c r="H1268" s="16">
        <f>(OrderDetails[[#This Row],[UnitPrice]]*OrderDetails[[#This Row],[Quantity]])*(1-OrderDetails[[#This Row],[Discount]])</f>
        <v>388.35</v>
      </c>
      <c r="I1268" s="15" t="str">
        <f>_xlfn.XLOOKUP(OrderDetails[[#This Row],[ProductID]],Product!A:A,Product!G:G,"Not Found")</f>
        <v>Seafood</v>
      </c>
      <c r="J1268" s="15" t="str">
        <f>LOOKUP(MONTH(G1268),{1,4,7,10},{"Winter","Spring","Summer","Autumn"})</f>
        <v>Autumn</v>
      </c>
      <c r="K1268" s="15" t="str">
        <f>_xlfn.XLOOKUP(OrderDetails[[#This Row],[ProductID]],Product!A:A,Product!B:B,"Not Found")</f>
        <v>Nord-Ost Matjeshering</v>
      </c>
    </row>
    <row r="1269" spans="1:11">
      <c r="A1269" s="2">
        <v>10728</v>
      </c>
      <c r="B1269" s="2">
        <v>40</v>
      </c>
      <c r="C1269" s="2">
        <v>18.399999999999999</v>
      </c>
      <c r="D1269" s="2">
        <v>6</v>
      </c>
      <c r="E1269" s="4">
        <v>0</v>
      </c>
      <c r="F1269" s="1" t="str">
        <f>_xlfn.XLOOKUP(A1269,Orders!A:A,Orders!B:B,"not found")</f>
        <v>QUEEN</v>
      </c>
      <c r="G1269" s="13">
        <f>_xlfn.XLOOKUP(OrderDetails[[#This Row],[OrderID]],Orders!A:A,Orders!C:C,"Not Found")</f>
        <v>35738</v>
      </c>
      <c r="H1269" s="16">
        <f>(OrderDetails[[#This Row],[UnitPrice]]*OrderDetails[[#This Row],[Quantity]])*(1-OrderDetails[[#This Row],[Discount]])</f>
        <v>110.39999999999999</v>
      </c>
      <c r="I1269" s="15" t="str">
        <f>_xlfn.XLOOKUP(OrderDetails[[#This Row],[ProductID]],Product!A:A,Product!G:G,"Not Found")</f>
        <v>Seafood</v>
      </c>
      <c r="J1269" s="15" t="str">
        <f>LOOKUP(MONTH(G1269),{1,4,7,10},{"Winter","Spring","Summer","Autumn"})</f>
        <v>Autumn</v>
      </c>
      <c r="K1269" s="15" t="str">
        <f>_xlfn.XLOOKUP(OrderDetails[[#This Row],[ProductID]],Product!A:A,Product!B:B,"Not Found")</f>
        <v>Boston Crab Meat</v>
      </c>
    </row>
    <row r="1270" spans="1:11">
      <c r="A1270" s="1">
        <v>10728</v>
      </c>
      <c r="B1270" s="1">
        <v>55</v>
      </c>
      <c r="C1270" s="1">
        <v>24</v>
      </c>
      <c r="D1270" s="1">
        <v>12</v>
      </c>
      <c r="E1270" s="3">
        <v>0</v>
      </c>
      <c r="F1270" s="1" t="str">
        <f>_xlfn.XLOOKUP(A1270,Orders!A:A,Orders!B:B,"not found")</f>
        <v>QUEEN</v>
      </c>
      <c r="G1270" s="13">
        <f>_xlfn.XLOOKUP(OrderDetails[[#This Row],[OrderID]],Orders!A:A,Orders!C:C,"Not Found")</f>
        <v>35738</v>
      </c>
      <c r="H1270" s="16">
        <f>(OrderDetails[[#This Row],[UnitPrice]]*OrderDetails[[#This Row],[Quantity]])*(1-OrderDetails[[#This Row],[Discount]])</f>
        <v>288</v>
      </c>
      <c r="I1270" s="15" t="str">
        <f>_xlfn.XLOOKUP(OrderDetails[[#This Row],[ProductID]],Product!A:A,Product!G:G,"Not Found")</f>
        <v>Meat/Poultry</v>
      </c>
      <c r="J1270" s="15" t="str">
        <f>LOOKUP(MONTH(G1270),{1,4,7,10},{"Winter","Spring","Summer","Autumn"})</f>
        <v>Autumn</v>
      </c>
      <c r="K1270" s="15" t="str">
        <f>_xlfn.XLOOKUP(OrderDetails[[#This Row],[ProductID]],Product!A:A,Product!B:B,"Not Found")</f>
        <v>Pâté chinois</v>
      </c>
    </row>
    <row r="1271" spans="1:11">
      <c r="A1271" s="2">
        <v>10728</v>
      </c>
      <c r="B1271" s="2">
        <v>60</v>
      </c>
      <c r="C1271" s="2">
        <v>34</v>
      </c>
      <c r="D1271" s="2">
        <v>15</v>
      </c>
      <c r="E1271" s="4">
        <v>0</v>
      </c>
      <c r="F1271" s="1" t="str">
        <f>_xlfn.XLOOKUP(A1271,Orders!A:A,Orders!B:B,"not found")</f>
        <v>QUEEN</v>
      </c>
      <c r="G1271" s="13">
        <f>_xlfn.XLOOKUP(OrderDetails[[#This Row],[OrderID]],Orders!A:A,Orders!C:C,"Not Found")</f>
        <v>35738</v>
      </c>
      <c r="H1271" s="16">
        <f>(OrderDetails[[#This Row],[UnitPrice]]*OrderDetails[[#This Row],[Quantity]])*(1-OrderDetails[[#This Row],[Discount]])</f>
        <v>510</v>
      </c>
      <c r="I1271" s="15" t="str">
        <f>_xlfn.XLOOKUP(OrderDetails[[#This Row],[ProductID]],Product!A:A,Product!G:G,"Not Found")</f>
        <v>Dairy Products</v>
      </c>
      <c r="J1271" s="15" t="str">
        <f>LOOKUP(MONTH(G1271),{1,4,7,10},{"Winter","Spring","Summer","Autumn"})</f>
        <v>Autumn</v>
      </c>
      <c r="K1271" s="15" t="str">
        <f>_xlfn.XLOOKUP(OrderDetails[[#This Row],[ProductID]],Product!A:A,Product!B:B,"Not Found")</f>
        <v>Camembert Pierrot</v>
      </c>
    </row>
    <row r="1272" spans="1:11">
      <c r="A1272" s="1">
        <v>10729</v>
      </c>
      <c r="B1272" s="1">
        <v>1</v>
      </c>
      <c r="C1272" s="1">
        <v>18</v>
      </c>
      <c r="D1272" s="1">
        <v>50</v>
      </c>
      <c r="E1272" s="3">
        <v>0</v>
      </c>
      <c r="F1272" s="1" t="str">
        <f>_xlfn.XLOOKUP(A1272,Orders!A:A,Orders!B:B,"not found")</f>
        <v>LINOD</v>
      </c>
      <c r="G1272" s="13">
        <f>_xlfn.XLOOKUP(OrderDetails[[#This Row],[OrderID]],Orders!A:A,Orders!C:C,"Not Found")</f>
        <v>35738</v>
      </c>
      <c r="H1272" s="16">
        <f>(OrderDetails[[#This Row],[UnitPrice]]*OrderDetails[[#This Row],[Quantity]])*(1-OrderDetails[[#This Row],[Discount]])</f>
        <v>900</v>
      </c>
      <c r="I1272" s="15" t="str">
        <f>_xlfn.XLOOKUP(OrderDetails[[#This Row],[ProductID]],Product!A:A,Product!G:G,"Not Found")</f>
        <v>Beverages</v>
      </c>
      <c r="J1272" s="15" t="str">
        <f>LOOKUP(MONTH(G1272),{1,4,7,10},{"Winter","Spring","Summer","Autumn"})</f>
        <v>Autumn</v>
      </c>
      <c r="K1272" s="15" t="str">
        <f>_xlfn.XLOOKUP(OrderDetails[[#This Row],[ProductID]],Product!A:A,Product!B:B,"Not Found")</f>
        <v>Chai</v>
      </c>
    </row>
    <row r="1273" spans="1:11">
      <c r="A1273" s="2">
        <v>10729</v>
      </c>
      <c r="B1273" s="2">
        <v>21</v>
      </c>
      <c r="C1273" s="2">
        <v>10</v>
      </c>
      <c r="D1273" s="2">
        <v>30</v>
      </c>
      <c r="E1273" s="4">
        <v>0</v>
      </c>
      <c r="F1273" s="1" t="str">
        <f>_xlfn.XLOOKUP(A1273,Orders!A:A,Orders!B:B,"not found")</f>
        <v>LINOD</v>
      </c>
      <c r="G1273" s="13">
        <f>_xlfn.XLOOKUP(OrderDetails[[#This Row],[OrderID]],Orders!A:A,Orders!C:C,"Not Found")</f>
        <v>35738</v>
      </c>
      <c r="H1273" s="16">
        <f>(OrderDetails[[#This Row],[UnitPrice]]*OrderDetails[[#This Row],[Quantity]])*(1-OrderDetails[[#This Row],[Discount]])</f>
        <v>300</v>
      </c>
      <c r="I1273" s="15" t="str">
        <f>_xlfn.XLOOKUP(OrderDetails[[#This Row],[ProductID]],Product!A:A,Product!G:G,"Not Found")</f>
        <v>Confections</v>
      </c>
      <c r="J1273" s="15" t="str">
        <f>LOOKUP(MONTH(G1273),{1,4,7,10},{"Winter","Spring","Summer","Autumn"})</f>
        <v>Autumn</v>
      </c>
      <c r="K1273" s="15" t="str">
        <f>_xlfn.XLOOKUP(OrderDetails[[#This Row],[ProductID]],Product!A:A,Product!B:B,"Not Found")</f>
        <v>Sir Rodney's Scones</v>
      </c>
    </row>
    <row r="1274" spans="1:11">
      <c r="A1274" s="1">
        <v>10729</v>
      </c>
      <c r="B1274" s="1">
        <v>50</v>
      </c>
      <c r="C1274" s="1">
        <v>16.25</v>
      </c>
      <c r="D1274" s="1">
        <v>40</v>
      </c>
      <c r="E1274" s="3">
        <v>0</v>
      </c>
      <c r="F1274" s="1" t="str">
        <f>_xlfn.XLOOKUP(A1274,Orders!A:A,Orders!B:B,"not found")</f>
        <v>LINOD</v>
      </c>
      <c r="G1274" s="13">
        <f>_xlfn.XLOOKUP(OrderDetails[[#This Row],[OrderID]],Orders!A:A,Orders!C:C,"Not Found")</f>
        <v>35738</v>
      </c>
      <c r="H1274" s="16">
        <f>(OrderDetails[[#This Row],[UnitPrice]]*OrderDetails[[#This Row],[Quantity]])*(1-OrderDetails[[#This Row],[Discount]])</f>
        <v>650</v>
      </c>
      <c r="I1274" s="15" t="str">
        <f>_xlfn.XLOOKUP(OrderDetails[[#This Row],[ProductID]],Product!A:A,Product!G:G,"Not Found")</f>
        <v>Confections</v>
      </c>
      <c r="J1274" s="15" t="str">
        <f>LOOKUP(MONTH(G1274),{1,4,7,10},{"Winter","Spring","Summer","Autumn"})</f>
        <v>Autumn</v>
      </c>
      <c r="K1274" s="15" t="str">
        <f>_xlfn.XLOOKUP(OrderDetails[[#This Row],[ProductID]],Product!A:A,Product!B:B,"Not Found")</f>
        <v>Valkoinen suklaa</v>
      </c>
    </row>
    <row r="1275" spans="1:11">
      <c r="A1275" s="2">
        <v>10730</v>
      </c>
      <c r="B1275" s="2">
        <v>16</v>
      </c>
      <c r="C1275" s="2">
        <v>17.45</v>
      </c>
      <c r="D1275" s="2">
        <v>15</v>
      </c>
      <c r="E1275" s="4">
        <v>5.000000074505806E-2</v>
      </c>
      <c r="F1275" s="1" t="str">
        <f>_xlfn.XLOOKUP(A1275,Orders!A:A,Orders!B:B,"not found")</f>
        <v>BONAP</v>
      </c>
      <c r="G1275" s="13">
        <f>_xlfn.XLOOKUP(OrderDetails[[#This Row],[OrderID]],Orders!A:A,Orders!C:C,"Not Found")</f>
        <v>35739</v>
      </c>
      <c r="H1275" s="16">
        <f>(OrderDetails[[#This Row],[UnitPrice]]*OrderDetails[[#This Row],[Quantity]])*(1-OrderDetails[[#This Row],[Discount]])</f>
        <v>248.66249980498105</v>
      </c>
      <c r="I1275" s="15" t="str">
        <f>_xlfn.XLOOKUP(OrderDetails[[#This Row],[ProductID]],Product!A:A,Product!G:G,"Not Found")</f>
        <v>Confections</v>
      </c>
      <c r="J1275" s="15" t="str">
        <f>LOOKUP(MONTH(G1275),{1,4,7,10},{"Winter","Spring","Summer","Autumn"})</f>
        <v>Autumn</v>
      </c>
      <c r="K1275" s="15" t="str">
        <f>_xlfn.XLOOKUP(OrderDetails[[#This Row],[ProductID]],Product!A:A,Product!B:B,"Not Found")</f>
        <v>Pavlova</v>
      </c>
    </row>
    <row r="1276" spans="1:11">
      <c r="A1276" s="1">
        <v>10730</v>
      </c>
      <c r="B1276" s="1">
        <v>31</v>
      </c>
      <c r="C1276" s="1">
        <v>12.5</v>
      </c>
      <c r="D1276" s="1">
        <v>3</v>
      </c>
      <c r="E1276" s="3">
        <v>5.000000074505806E-2</v>
      </c>
      <c r="F1276" s="1" t="str">
        <f>_xlfn.XLOOKUP(A1276,Orders!A:A,Orders!B:B,"not found")</f>
        <v>BONAP</v>
      </c>
      <c r="G1276" s="13">
        <f>_xlfn.XLOOKUP(OrderDetails[[#This Row],[OrderID]],Orders!A:A,Orders!C:C,"Not Found")</f>
        <v>35739</v>
      </c>
      <c r="H1276" s="16">
        <f>(OrderDetails[[#This Row],[UnitPrice]]*OrderDetails[[#This Row],[Quantity]])*(1-OrderDetails[[#This Row],[Discount]])</f>
        <v>35.624999972060323</v>
      </c>
      <c r="I1276" s="15" t="str">
        <f>_xlfn.XLOOKUP(OrderDetails[[#This Row],[ProductID]],Product!A:A,Product!G:G,"Not Found")</f>
        <v>Dairy Products</v>
      </c>
      <c r="J1276" s="15" t="str">
        <f>LOOKUP(MONTH(G1276),{1,4,7,10},{"Winter","Spring","Summer","Autumn"})</f>
        <v>Autumn</v>
      </c>
      <c r="K1276" s="15" t="str">
        <f>_xlfn.XLOOKUP(OrderDetails[[#This Row],[ProductID]],Product!A:A,Product!B:B,"Not Found")</f>
        <v>Gorgonzola Telino</v>
      </c>
    </row>
    <row r="1277" spans="1:11">
      <c r="A1277" s="2">
        <v>10730</v>
      </c>
      <c r="B1277" s="2">
        <v>65</v>
      </c>
      <c r="C1277" s="2">
        <v>21.05</v>
      </c>
      <c r="D1277" s="2">
        <v>10</v>
      </c>
      <c r="E1277" s="4">
        <v>5.000000074505806E-2</v>
      </c>
      <c r="F1277" s="1" t="str">
        <f>_xlfn.XLOOKUP(A1277,Orders!A:A,Orders!B:B,"not found")</f>
        <v>BONAP</v>
      </c>
      <c r="G1277" s="13">
        <f>_xlfn.XLOOKUP(OrderDetails[[#This Row],[OrderID]],Orders!A:A,Orders!C:C,"Not Found")</f>
        <v>35739</v>
      </c>
      <c r="H1277" s="16">
        <f>(OrderDetails[[#This Row],[UnitPrice]]*OrderDetails[[#This Row],[Quantity]])*(1-OrderDetails[[#This Row],[Discount]])</f>
        <v>199.97499984316528</v>
      </c>
      <c r="I1277" s="15" t="str">
        <f>_xlfn.XLOOKUP(OrderDetails[[#This Row],[ProductID]],Product!A:A,Product!G:G,"Not Found")</f>
        <v>Condiments</v>
      </c>
      <c r="J1277" s="15" t="str">
        <f>LOOKUP(MONTH(G1277),{1,4,7,10},{"Winter","Spring","Summer","Autumn"})</f>
        <v>Autumn</v>
      </c>
      <c r="K1277" s="15" t="str">
        <f>_xlfn.XLOOKUP(OrderDetails[[#This Row],[ProductID]],Product!A:A,Product!B:B,"Not Found")</f>
        <v>Louisiana Fiery Hot Pepper Sauce</v>
      </c>
    </row>
    <row r="1278" spans="1:11">
      <c r="A1278" s="1">
        <v>10731</v>
      </c>
      <c r="B1278" s="1">
        <v>21</v>
      </c>
      <c r="C1278" s="1">
        <v>10</v>
      </c>
      <c r="D1278" s="1">
        <v>40</v>
      </c>
      <c r="E1278" s="3">
        <v>5.000000074505806E-2</v>
      </c>
      <c r="F1278" s="1" t="str">
        <f>_xlfn.XLOOKUP(A1278,Orders!A:A,Orders!B:B,"not found")</f>
        <v>CHOPS</v>
      </c>
      <c r="G1278" s="13">
        <f>_xlfn.XLOOKUP(OrderDetails[[#This Row],[OrderID]],Orders!A:A,Orders!C:C,"Not Found")</f>
        <v>35740</v>
      </c>
      <c r="H1278" s="16">
        <f>(OrderDetails[[#This Row],[UnitPrice]]*OrderDetails[[#This Row],[Quantity]])*(1-OrderDetails[[#This Row],[Discount]])</f>
        <v>379.99999970197678</v>
      </c>
      <c r="I1278" s="15" t="str">
        <f>_xlfn.XLOOKUP(OrderDetails[[#This Row],[ProductID]],Product!A:A,Product!G:G,"Not Found")</f>
        <v>Confections</v>
      </c>
      <c r="J1278" s="15" t="str">
        <f>LOOKUP(MONTH(G1278),{1,4,7,10},{"Winter","Spring","Summer","Autumn"})</f>
        <v>Autumn</v>
      </c>
      <c r="K1278" s="15" t="str">
        <f>_xlfn.XLOOKUP(OrderDetails[[#This Row],[ProductID]],Product!A:A,Product!B:B,"Not Found")</f>
        <v>Sir Rodney's Scones</v>
      </c>
    </row>
    <row r="1279" spans="1:11">
      <c r="A1279" s="2">
        <v>10731</v>
      </c>
      <c r="B1279" s="2">
        <v>51</v>
      </c>
      <c r="C1279" s="2">
        <v>53</v>
      </c>
      <c r="D1279" s="2">
        <v>30</v>
      </c>
      <c r="E1279" s="4">
        <v>5.000000074505806E-2</v>
      </c>
      <c r="F1279" s="1" t="str">
        <f>_xlfn.XLOOKUP(A1279,Orders!A:A,Orders!B:B,"not found")</f>
        <v>CHOPS</v>
      </c>
      <c r="G1279" s="13">
        <f>_xlfn.XLOOKUP(OrderDetails[[#This Row],[OrderID]],Orders!A:A,Orders!C:C,"Not Found")</f>
        <v>35740</v>
      </c>
      <c r="H1279" s="16">
        <f>(OrderDetails[[#This Row],[UnitPrice]]*OrderDetails[[#This Row],[Quantity]])*(1-OrderDetails[[#This Row],[Discount]])</f>
        <v>1510.4999988153577</v>
      </c>
      <c r="I1279" s="15" t="str">
        <f>_xlfn.XLOOKUP(OrderDetails[[#This Row],[ProductID]],Product!A:A,Product!G:G,"Not Found")</f>
        <v>Produce</v>
      </c>
      <c r="J1279" s="15" t="str">
        <f>LOOKUP(MONTH(G1279),{1,4,7,10},{"Winter","Spring","Summer","Autumn"})</f>
        <v>Autumn</v>
      </c>
      <c r="K1279" s="15" t="str">
        <f>_xlfn.XLOOKUP(OrderDetails[[#This Row],[ProductID]],Product!A:A,Product!B:B,"Not Found")</f>
        <v>Manjimup Dried Apples</v>
      </c>
    </row>
    <row r="1280" spans="1:11">
      <c r="A1280" s="1">
        <v>10732</v>
      </c>
      <c r="B1280" s="1">
        <v>76</v>
      </c>
      <c r="C1280" s="1">
        <v>18</v>
      </c>
      <c r="D1280" s="1">
        <v>20</v>
      </c>
      <c r="E1280" s="3">
        <v>0</v>
      </c>
      <c r="F1280" s="1" t="str">
        <f>_xlfn.XLOOKUP(A1280,Orders!A:A,Orders!B:B,"not found")</f>
        <v>BONAP</v>
      </c>
      <c r="G1280" s="13">
        <f>_xlfn.XLOOKUP(OrderDetails[[#This Row],[OrderID]],Orders!A:A,Orders!C:C,"Not Found")</f>
        <v>35740</v>
      </c>
      <c r="H1280" s="16">
        <f>(OrderDetails[[#This Row],[UnitPrice]]*OrderDetails[[#This Row],[Quantity]])*(1-OrderDetails[[#This Row],[Discount]])</f>
        <v>360</v>
      </c>
      <c r="I1280" s="15" t="str">
        <f>_xlfn.XLOOKUP(OrderDetails[[#This Row],[ProductID]],Product!A:A,Product!G:G,"Not Found")</f>
        <v>Beverages</v>
      </c>
      <c r="J1280" s="15" t="str">
        <f>LOOKUP(MONTH(G1280),{1,4,7,10},{"Winter","Spring","Summer","Autumn"})</f>
        <v>Autumn</v>
      </c>
      <c r="K1280" s="15" t="str">
        <f>_xlfn.XLOOKUP(OrderDetails[[#This Row],[ProductID]],Product!A:A,Product!B:B,"Not Found")</f>
        <v>Lakkalikööri</v>
      </c>
    </row>
    <row r="1281" spans="1:11">
      <c r="A1281" s="2">
        <v>10733</v>
      </c>
      <c r="B1281" s="2">
        <v>14</v>
      </c>
      <c r="C1281" s="2">
        <v>23.25</v>
      </c>
      <c r="D1281" s="2">
        <v>16</v>
      </c>
      <c r="E1281" s="4">
        <v>0</v>
      </c>
      <c r="F1281" s="1" t="str">
        <f>_xlfn.XLOOKUP(A1281,Orders!A:A,Orders!B:B,"not found")</f>
        <v>BERGS</v>
      </c>
      <c r="G1281" s="13">
        <f>_xlfn.XLOOKUP(OrderDetails[[#This Row],[OrderID]],Orders!A:A,Orders!C:C,"Not Found")</f>
        <v>35741</v>
      </c>
      <c r="H1281" s="16">
        <f>(OrderDetails[[#This Row],[UnitPrice]]*OrderDetails[[#This Row],[Quantity]])*(1-OrderDetails[[#This Row],[Discount]])</f>
        <v>372</v>
      </c>
      <c r="I1281" s="15" t="str">
        <f>_xlfn.XLOOKUP(OrderDetails[[#This Row],[ProductID]],Product!A:A,Product!G:G,"Not Found")</f>
        <v>Produce</v>
      </c>
      <c r="J1281" s="15" t="str">
        <f>LOOKUP(MONTH(G1281),{1,4,7,10},{"Winter","Spring","Summer","Autumn"})</f>
        <v>Autumn</v>
      </c>
      <c r="K1281" s="15" t="str">
        <f>_xlfn.XLOOKUP(OrderDetails[[#This Row],[ProductID]],Product!A:A,Product!B:B,"Not Found")</f>
        <v>Tofu</v>
      </c>
    </row>
    <row r="1282" spans="1:11">
      <c r="A1282" s="1">
        <v>10733</v>
      </c>
      <c r="B1282" s="1">
        <v>28</v>
      </c>
      <c r="C1282" s="1">
        <v>45.6</v>
      </c>
      <c r="D1282" s="1">
        <v>20</v>
      </c>
      <c r="E1282" s="3">
        <v>0</v>
      </c>
      <c r="F1282" s="1" t="str">
        <f>_xlfn.XLOOKUP(A1282,Orders!A:A,Orders!B:B,"not found")</f>
        <v>BERGS</v>
      </c>
      <c r="G1282" s="13">
        <f>_xlfn.XLOOKUP(OrderDetails[[#This Row],[OrderID]],Orders!A:A,Orders!C:C,"Not Found")</f>
        <v>35741</v>
      </c>
      <c r="H1282" s="16">
        <f>(OrderDetails[[#This Row],[UnitPrice]]*OrderDetails[[#This Row],[Quantity]])*(1-OrderDetails[[#This Row],[Discount]])</f>
        <v>912</v>
      </c>
      <c r="I1282" s="15" t="str">
        <f>_xlfn.XLOOKUP(OrderDetails[[#This Row],[ProductID]],Product!A:A,Product!G:G,"Not Found")</f>
        <v>Produce</v>
      </c>
      <c r="J1282" s="15" t="str">
        <f>LOOKUP(MONTH(G1282),{1,4,7,10},{"Winter","Spring","Summer","Autumn"})</f>
        <v>Autumn</v>
      </c>
      <c r="K1282" s="15" t="str">
        <f>_xlfn.XLOOKUP(OrderDetails[[#This Row],[ProductID]],Product!A:A,Product!B:B,"Not Found")</f>
        <v>Rössle Sauerkraut</v>
      </c>
    </row>
    <row r="1283" spans="1:11">
      <c r="A1283" s="2">
        <v>10733</v>
      </c>
      <c r="B1283" s="2">
        <v>52</v>
      </c>
      <c r="C1283" s="2">
        <v>7</v>
      </c>
      <c r="D1283" s="2">
        <v>25</v>
      </c>
      <c r="E1283" s="4">
        <v>0</v>
      </c>
      <c r="F1283" s="1" t="str">
        <f>_xlfn.XLOOKUP(A1283,Orders!A:A,Orders!B:B,"not found")</f>
        <v>BERGS</v>
      </c>
      <c r="G1283" s="13">
        <f>_xlfn.XLOOKUP(OrderDetails[[#This Row],[OrderID]],Orders!A:A,Orders!C:C,"Not Found")</f>
        <v>35741</v>
      </c>
      <c r="H1283" s="16">
        <f>(OrderDetails[[#This Row],[UnitPrice]]*OrderDetails[[#This Row],[Quantity]])*(1-OrderDetails[[#This Row],[Discount]])</f>
        <v>175</v>
      </c>
      <c r="I1283" s="15" t="str">
        <f>_xlfn.XLOOKUP(OrderDetails[[#This Row],[ProductID]],Product!A:A,Product!G:G,"Not Found")</f>
        <v>Grains/Cereals</v>
      </c>
      <c r="J1283" s="15" t="str">
        <f>LOOKUP(MONTH(G1283),{1,4,7,10},{"Winter","Spring","Summer","Autumn"})</f>
        <v>Autumn</v>
      </c>
      <c r="K1283" s="15" t="str">
        <f>_xlfn.XLOOKUP(OrderDetails[[#This Row],[ProductID]],Product!A:A,Product!B:B,"Not Found")</f>
        <v>Filo Mix</v>
      </c>
    </row>
    <row r="1284" spans="1:11">
      <c r="A1284" s="1">
        <v>10734</v>
      </c>
      <c r="B1284" s="1">
        <v>6</v>
      </c>
      <c r="C1284" s="1">
        <v>25</v>
      </c>
      <c r="D1284" s="1">
        <v>30</v>
      </c>
      <c r="E1284" s="3">
        <v>0</v>
      </c>
      <c r="F1284" s="1" t="str">
        <f>_xlfn.XLOOKUP(A1284,Orders!A:A,Orders!B:B,"not found")</f>
        <v>GOURL</v>
      </c>
      <c r="G1284" s="13">
        <f>_xlfn.XLOOKUP(OrderDetails[[#This Row],[OrderID]],Orders!A:A,Orders!C:C,"Not Found")</f>
        <v>35741</v>
      </c>
      <c r="H1284" s="16">
        <f>(OrderDetails[[#This Row],[UnitPrice]]*OrderDetails[[#This Row],[Quantity]])*(1-OrderDetails[[#This Row],[Discount]])</f>
        <v>750</v>
      </c>
      <c r="I1284" s="15" t="str">
        <f>_xlfn.XLOOKUP(OrderDetails[[#This Row],[ProductID]],Product!A:A,Product!G:G,"Not Found")</f>
        <v>Condiments</v>
      </c>
      <c r="J1284" s="15" t="str">
        <f>LOOKUP(MONTH(G1284),{1,4,7,10},{"Winter","Spring","Summer","Autumn"})</f>
        <v>Autumn</v>
      </c>
      <c r="K1284" s="15" t="str">
        <f>_xlfn.XLOOKUP(OrderDetails[[#This Row],[ProductID]],Product!A:A,Product!B:B,"Not Found")</f>
        <v>Grandma's Boysenberry Spread</v>
      </c>
    </row>
    <row r="1285" spans="1:11">
      <c r="A1285" s="2">
        <v>10734</v>
      </c>
      <c r="B1285" s="2">
        <v>30</v>
      </c>
      <c r="C1285" s="2">
        <v>25.89</v>
      </c>
      <c r="D1285" s="2">
        <v>15</v>
      </c>
      <c r="E1285" s="4">
        <v>0</v>
      </c>
      <c r="F1285" s="1" t="str">
        <f>_xlfn.XLOOKUP(A1285,Orders!A:A,Orders!B:B,"not found")</f>
        <v>GOURL</v>
      </c>
      <c r="G1285" s="13">
        <f>_xlfn.XLOOKUP(OrderDetails[[#This Row],[OrderID]],Orders!A:A,Orders!C:C,"Not Found")</f>
        <v>35741</v>
      </c>
      <c r="H1285" s="16">
        <f>(OrderDetails[[#This Row],[UnitPrice]]*OrderDetails[[#This Row],[Quantity]])*(1-OrderDetails[[#This Row],[Discount]])</f>
        <v>388.35</v>
      </c>
      <c r="I1285" s="15" t="str">
        <f>_xlfn.XLOOKUP(OrderDetails[[#This Row],[ProductID]],Product!A:A,Product!G:G,"Not Found")</f>
        <v>Seafood</v>
      </c>
      <c r="J1285" s="15" t="str">
        <f>LOOKUP(MONTH(G1285),{1,4,7,10},{"Winter","Spring","Summer","Autumn"})</f>
        <v>Autumn</v>
      </c>
      <c r="K1285" s="15" t="str">
        <f>_xlfn.XLOOKUP(OrderDetails[[#This Row],[ProductID]],Product!A:A,Product!B:B,"Not Found")</f>
        <v>Nord-Ost Matjeshering</v>
      </c>
    </row>
    <row r="1286" spans="1:11">
      <c r="A1286" s="1">
        <v>10734</v>
      </c>
      <c r="B1286" s="1">
        <v>76</v>
      </c>
      <c r="C1286" s="1">
        <v>18</v>
      </c>
      <c r="D1286" s="1">
        <v>20</v>
      </c>
      <c r="E1286" s="3">
        <v>0</v>
      </c>
      <c r="F1286" s="1" t="str">
        <f>_xlfn.XLOOKUP(A1286,Orders!A:A,Orders!B:B,"not found")</f>
        <v>GOURL</v>
      </c>
      <c r="G1286" s="13">
        <f>_xlfn.XLOOKUP(OrderDetails[[#This Row],[OrderID]],Orders!A:A,Orders!C:C,"Not Found")</f>
        <v>35741</v>
      </c>
      <c r="H1286" s="16">
        <f>(OrderDetails[[#This Row],[UnitPrice]]*OrderDetails[[#This Row],[Quantity]])*(1-OrderDetails[[#This Row],[Discount]])</f>
        <v>360</v>
      </c>
      <c r="I1286" s="15" t="str">
        <f>_xlfn.XLOOKUP(OrderDetails[[#This Row],[ProductID]],Product!A:A,Product!G:G,"Not Found")</f>
        <v>Beverages</v>
      </c>
      <c r="J1286" s="15" t="str">
        <f>LOOKUP(MONTH(G1286),{1,4,7,10},{"Winter","Spring","Summer","Autumn"})</f>
        <v>Autumn</v>
      </c>
      <c r="K1286" s="15" t="str">
        <f>_xlfn.XLOOKUP(OrderDetails[[#This Row],[ProductID]],Product!A:A,Product!B:B,"Not Found")</f>
        <v>Lakkalikööri</v>
      </c>
    </row>
    <row r="1287" spans="1:11">
      <c r="A1287" s="2">
        <v>10735</v>
      </c>
      <c r="B1287" s="2">
        <v>61</v>
      </c>
      <c r="C1287" s="2">
        <v>28.5</v>
      </c>
      <c r="D1287" s="2">
        <v>20</v>
      </c>
      <c r="E1287" s="4">
        <v>0.10000000149011612</v>
      </c>
      <c r="F1287" s="1" t="str">
        <f>_xlfn.XLOOKUP(A1287,Orders!A:A,Orders!B:B,"not found")</f>
        <v>LETSS</v>
      </c>
      <c r="G1287" s="13">
        <f>_xlfn.XLOOKUP(OrderDetails[[#This Row],[OrderID]],Orders!A:A,Orders!C:C,"Not Found")</f>
        <v>35744</v>
      </c>
      <c r="H1287" s="16">
        <f>(OrderDetails[[#This Row],[UnitPrice]]*OrderDetails[[#This Row],[Quantity]])*(1-OrderDetails[[#This Row],[Discount]])</f>
        <v>512.99999915063381</v>
      </c>
      <c r="I1287" s="15" t="str">
        <f>_xlfn.XLOOKUP(OrderDetails[[#This Row],[ProductID]],Product!A:A,Product!G:G,"Not Found")</f>
        <v>Condiments</v>
      </c>
      <c r="J1287" s="15" t="str">
        <f>LOOKUP(MONTH(G1287),{1,4,7,10},{"Winter","Spring","Summer","Autumn"})</f>
        <v>Autumn</v>
      </c>
      <c r="K1287" s="15" t="str">
        <f>_xlfn.XLOOKUP(OrderDetails[[#This Row],[ProductID]],Product!A:A,Product!B:B,"Not Found")</f>
        <v>Sirop d'érable</v>
      </c>
    </row>
    <row r="1288" spans="1:11">
      <c r="A1288" s="1">
        <v>10735</v>
      </c>
      <c r="B1288" s="1">
        <v>77</v>
      </c>
      <c r="C1288" s="1">
        <v>13</v>
      </c>
      <c r="D1288" s="1">
        <v>2</v>
      </c>
      <c r="E1288" s="3">
        <v>0.10000000149011612</v>
      </c>
      <c r="F1288" s="1" t="str">
        <f>_xlfn.XLOOKUP(A1288,Orders!A:A,Orders!B:B,"not found")</f>
        <v>LETSS</v>
      </c>
      <c r="G1288" s="13">
        <f>_xlfn.XLOOKUP(OrderDetails[[#This Row],[OrderID]],Orders!A:A,Orders!C:C,"Not Found")</f>
        <v>35744</v>
      </c>
      <c r="H1288" s="16">
        <f>(OrderDetails[[#This Row],[UnitPrice]]*OrderDetails[[#This Row],[Quantity]])*(1-OrderDetails[[#This Row],[Discount]])</f>
        <v>23.399999961256981</v>
      </c>
      <c r="I1288" s="15" t="str">
        <f>_xlfn.XLOOKUP(OrderDetails[[#This Row],[ProductID]],Product!A:A,Product!G:G,"Not Found")</f>
        <v>Condiments</v>
      </c>
      <c r="J1288" s="15" t="str">
        <f>LOOKUP(MONTH(G1288),{1,4,7,10},{"Winter","Spring","Summer","Autumn"})</f>
        <v>Autumn</v>
      </c>
      <c r="K1288" s="15" t="str">
        <f>_xlfn.XLOOKUP(OrderDetails[[#This Row],[ProductID]],Product!A:A,Product!B:B,"Not Found")</f>
        <v>Original Frankfurter grüne Soße</v>
      </c>
    </row>
    <row r="1289" spans="1:11">
      <c r="A1289" s="2">
        <v>10736</v>
      </c>
      <c r="B1289" s="2">
        <v>65</v>
      </c>
      <c r="C1289" s="2">
        <v>21.05</v>
      </c>
      <c r="D1289" s="2">
        <v>40</v>
      </c>
      <c r="E1289" s="4">
        <v>0</v>
      </c>
      <c r="F1289" s="1" t="str">
        <f>_xlfn.XLOOKUP(A1289,Orders!A:A,Orders!B:B,"not found")</f>
        <v>HUNGO</v>
      </c>
      <c r="G1289" s="13">
        <f>_xlfn.XLOOKUP(OrderDetails[[#This Row],[OrderID]],Orders!A:A,Orders!C:C,"Not Found")</f>
        <v>35745</v>
      </c>
      <c r="H1289" s="16">
        <f>(OrderDetails[[#This Row],[UnitPrice]]*OrderDetails[[#This Row],[Quantity]])*(1-OrderDetails[[#This Row],[Discount]])</f>
        <v>842</v>
      </c>
      <c r="I1289" s="15" t="str">
        <f>_xlfn.XLOOKUP(OrderDetails[[#This Row],[ProductID]],Product!A:A,Product!G:G,"Not Found")</f>
        <v>Condiments</v>
      </c>
      <c r="J1289" s="15" t="str">
        <f>LOOKUP(MONTH(G1289),{1,4,7,10},{"Winter","Spring","Summer","Autumn"})</f>
        <v>Autumn</v>
      </c>
      <c r="K1289" s="15" t="str">
        <f>_xlfn.XLOOKUP(OrderDetails[[#This Row],[ProductID]],Product!A:A,Product!B:B,"Not Found")</f>
        <v>Louisiana Fiery Hot Pepper Sauce</v>
      </c>
    </row>
    <row r="1290" spans="1:11">
      <c r="A1290" s="1">
        <v>10736</v>
      </c>
      <c r="B1290" s="1">
        <v>75</v>
      </c>
      <c r="C1290" s="1">
        <v>7.75</v>
      </c>
      <c r="D1290" s="1">
        <v>20</v>
      </c>
      <c r="E1290" s="3">
        <v>0</v>
      </c>
      <c r="F1290" s="1" t="str">
        <f>_xlfn.XLOOKUP(A1290,Orders!A:A,Orders!B:B,"not found")</f>
        <v>HUNGO</v>
      </c>
      <c r="G1290" s="13">
        <f>_xlfn.XLOOKUP(OrderDetails[[#This Row],[OrderID]],Orders!A:A,Orders!C:C,"Not Found")</f>
        <v>35745</v>
      </c>
      <c r="H1290" s="16">
        <f>(OrderDetails[[#This Row],[UnitPrice]]*OrderDetails[[#This Row],[Quantity]])*(1-OrderDetails[[#This Row],[Discount]])</f>
        <v>155</v>
      </c>
      <c r="I1290" s="15" t="str">
        <f>_xlfn.XLOOKUP(OrderDetails[[#This Row],[ProductID]],Product!A:A,Product!G:G,"Not Found")</f>
        <v>Beverages</v>
      </c>
      <c r="J1290" s="15" t="str">
        <f>LOOKUP(MONTH(G1290),{1,4,7,10},{"Winter","Spring","Summer","Autumn"})</f>
        <v>Autumn</v>
      </c>
      <c r="K1290" s="15" t="str">
        <f>_xlfn.XLOOKUP(OrderDetails[[#This Row],[ProductID]],Product!A:A,Product!B:B,"Not Found")</f>
        <v>Rhönbräu Klosterbier</v>
      </c>
    </row>
    <row r="1291" spans="1:11">
      <c r="A1291" s="2">
        <v>10737</v>
      </c>
      <c r="B1291" s="2">
        <v>13</v>
      </c>
      <c r="C1291" s="2">
        <v>6</v>
      </c>
      <c r="D1291" s="2">
        <v>4</v>
      </c>
      <c r="E1291" s="4">
        <v>0</v>
      </c>
      <c r="F1291" s="1" t="str">
        <f>_xlfn.XLOOKUP(A1291,Orders!A:A,Orders!B:B,"not found")</f>
        <v>VINET</v>
      </c>
      <c r="G1291" s="13">
        <f>_xlfn.XLOOKUP(OrderDetails[[#This Row],[OrderID]],Orders!A:A,Orders!C:C,"Not Found")</f>
        <v>35745</v>
      </c>
      <c r="H1291" s="16">
        <f>(OrderDetails[[#This Row],[UnitPrice]]*OrderDetails[[#This Row],[Quantity]])*(1-OrderDetails[[#This Row],[Discount]])</f>
        <v>24</v>
      </c>
      <c r="I1291" s="15" t="str">
        <f>_xlfn.XLOOKUP(OrderDetails[[#This Row],[ProductID]],Product!A:A,Product!G:G,"Not Found")</f>
        <v>Seafood</v>
      </c>
      <c r="J1291" s="15" t="str">
        <f>LOOKUP(MONTH(G1291),{1,4,7,10},{"Winter","Spring","Summer","Autumn"})</f>
        <v>Autumn</v>
      </c>
      <c r="K1291" s="15" t="str">
        <f>_xlfn.XLOOKUP(OrderDetails[[#This Row],[ProductID]],Product!A:A,Product!B:B,"Not Found")</f>
        <v>Konbu</v>
      </c>
    </row>
    <row r="1292" spans="1:11">
      <c r="A1292" s="1">
        <v>10737</v>
      </c>
      <c r="B1292" s="1">
        <v>41</v>
      </c>
      <c r="C1292" s="1">
        <v>9.65</v>
      </c>
      <c r="D1292" s="1">
        <v>12</v>
      </c>
      <c r="E1292" s="3">
        <v>0</v>
      </c>
      <c r="F1292" s="1" t="str">
        <f>_xlfn.XLOOKUP(A1292,Orders!A:A,Orders!B:B,"not found")</f>
        <v>VINET</v>
      </c>
      <c r="G1292" s="13">
        <f>_xlfn.XLOOKUP(OrderDetails[[#This Row],[OrderID]],Orders!A:A,Orders!C:C,"Not Found")</f>
        <v>35745</v>
      </c>
      <c r="H1292" s="16">
        <f>(OrderDetails[[#This Row],[UnitPrice]]*OrderDetails[[#This Row],[Quantity]])*(1-OrderDetails[[#This Row],[Discount]])</f>
        <v>115.80000000000001</v>
      </c>
      <c r="I1292" s="15" t="str">
        <f>_xlfn.XLOOKUP(OrderDetails[[#This Row],[ProductID]],Product!A:A,Product!G:G,"Not Found")</f>
        <v>Seafood</v>
      </c>
      <c r="J1292" s="15" t="str">
        <f>LOOKUP(MONTH(G1292),{1,4,7,10},{"Winter","Spring","Summer","Autumn"})</f>
        <v>Autumn</v>
      </c>
      <c r="K1292" s="15" t="str">
        <f>_xlfn.XLOOKUP(OrderDetails[[#This Row],[ProductID]],Product!A:A,Product!B:B,"Not Found")</f>
        <v>Jack's New England Clam Chowder</v>
      </c>
    </row>
    <row r="1293" spans="1:11">
      <c r="A1293" s="2">
        <v>10738</v>
      </c>
      <c r="B1293" s="2">
        <v>16</v>
      </c>
      <c r="C1293" s="2">
        <v>17.45</v>
      </c>
      <c r="D1293" s="2">
        <v>3</v>
      </c>
      <c r="E1293" s="4">
        <v>0</v>
      </c>
      <c r="F1293" s="1" t="str">
        <f>_xlfn.XLOOKUP(A1293,Orders!A:A,Orders!B:B,"not found")</f>
        <v>SPECD</v>
      </c>
      <c r="G1293" s="13">
        <f>_xlfn.XLOOKUP(OrderDetails[[#This Row],[OrderID]],Orders!A:A,Orders!C:C,"Not Found")</f>
        <v>35746</v>
      </c>
      <c r="H1293" s="16">
        <f>(OrderDetails[[#This Row],[UnitPrice]]*OrderDetails[[#This Row],[Quantity]])*(1-OrderDetails[[#This Row],[Discount]])</f>
        <v>52.349999999999994</v>
      </c>
      <c r="I1293" s="15" t="str">
        <f>_xlfn.XLOOKUP(OrderDetails[[#This Row],[ProductID]],Product!A:A,Product!G:G,"Not Found")</f>
        <v>Confections</v>
      </c>
      <c r="J1293" s="15" t="str">
        <f>LOOKUP(MONTH(G1293),{1,4,7,10},{"Winter","Spring","Summer","Autumn"})</f>
        <v>Autumn</v>
      </c>
      <c r="K1293" s="15" t="str">
        <f>_xlfn.XLOOKUP(OrderDetails[[#This Row],[ProductID]],Product!A:A,Product!B:B,"Not Found")</f>
        <v>Pavlova</v>
      </c>
    </row>
    <row r="1294" spans="1:11">
      <c r="A1294" s="1">
        <v>10739</v>
      </c>
      <c r="B1294" s="1">
        <v>36</v>
      </c>
      <c r="C1294" s="1">
        <v>19</v>
      </c>
      <c r="D1294" s="1">
        <v>6</v>
      </c>
      <c r="E1294" s="3">
        <v>0</v>
      </c>
      <c r="F1294" s="1" t="str">
        <f>_xlfn.XLOOKUP(A1294,Orders!A:A,Orders!B:B,"not found")</f>
        <v>VINET</v>
      </c>
      <c r="G1294" s="13">
        <f>_xlfn.XLOOKUP(OrderDetails[[#This Row],[OrderID]],Orders!A:A,Orders!C:C,"Not Found")</f>
        <v>35746</v>
      </c>
      <c r="H1294" s="16">
        <f>(OrderDetails[[#This Row],[UnitPrice]]*OrderDetails[[#This Row],[Quantity]])*(1-OrderDetails[[#This Row],[Discount]])</f>
        <v>114</v>
      </c>
      <c r="I1294" s="15" t="str">
        <f>_xlfn.XLOOKUP(OrderDetails[[#This Row],[ProductID]],Product!A:A,Product!G:G,"Not Found")</f>
        <v>Seafood</v>
      </c>
      <c r="J1294" s="15" t="str">
        <f>LOOKUP(MONTH(G1294),{1,4,7,10},{"Winter","Spring","Summer","Autumn"})</f>
        <v>Autumn</v>
      </c>
      <c r="K1294" s="15" t="str">
        <f>_xlfn.XLOOKUP(OrderDetails[[#This Row],[ProductID]],Product!A:A,Product!B:B,"Not Found")</f>
        <v>Inlagd Sill</v>
      </c>
    </row>
    <row r="1295" spans="1:11">
      <c r="A1295" s="2">
        <v>10739</v>
      </c>
      <c r="B1295" s="2">
        <v>52</v>
      </c>
      <c r="C1295" s="2">
        <v>7</v>
      </c>
      <c r="D1295" s="2">
        <v>18</v>
      </c>
      <c r="E1295" s="4">
        <v>0</v>
      </c>
      <c r="F1295" s="1" t="str">
        <f>_xlfn.XLOOKUP(A1295,Orders!A:A,Orders!B:B,"not found")</f>
        <v>VINET</v>
      </c>
      <c r="G1295" s="13">
        <f>_xlfn.XLOOKUP(OrderDetails[[#This Row],[OrderID]],Orders!A:A,Orders!C:C,"Not Found")</f>
        <v>35746</v>
      </c>
      <c r="H1295" s="16">
        <f>(OrderDetails[[#This Row],[UnitPrice]]*OrderDetails[[#This Row],[Quantity]])*(1-OrderDetails[[#This Row],[Discount]])</f>
        <v>126</v>
      </c>
      <c r="I1295" s="15" t="str">
        <f>_xlfn.XLOOKUP(OrderDetails[[#This Row],[ProductID]],Product!A:A,Product!G:G,"Not Found")</f>
        <v>Grains/Cereals</v>
      </c>
      <c r="J1295" s="15" t="str">
        <f>LOOKUP(MONTH(G1295),{1,4,7,10},{"Winter","Spring","Summer","Autumn"})</f>
        <v>Autumn</v>
      </c>
      <c r="K1295" s="15" t="str">
        <f>_xlfn.XLOOKUP(OrderDetails[[#This Row],[ProductID]],Product!A:A,Product!B:B,"Not Found")</f>
        <v>Filo Mix</v>
      </c>
    </row>
    <row r="1296" spans="1:11">
      <c r="A1296" s="1">
        <v>10740</v>
      </c>
      <c r="B1296" s="1">
        <v>28</v>
      </c>
      <c r="C1296" s="1">
        <v>45.6</v>
      </c>
      <c r="D1296" s="1">
        <v>5</v>
      </c>
      <c r="E1296" s="3">
        <v>0.20000000298023224</v>
      </c>
      <c r="F1296" s="1" t="str">
        <f>_xlfn.XLOOKUP(A1296,Orders!A:A,Orders!B:B,"not found")</f>
        <v>WHITC</v>
      </c>
      <c r="G1296" s="13">
        <f>_xlfn.XLOOKUP(OrderDetails[[#This Row],[OrderID]],Orders!A:A,Orders!C:C,"Not Found")</f>
        <v>35747</v>
      </c>
      <c r="H1296" s="16">
        <f>(OrderDetails[[#This Row],[UnitPrice]]*OrderDetails[[#This Row],[Quantity]])*(1-OrderDetails[[#This Row],[Discount]])</f>
        <v>182.39999932050705</v>
      </c>
      <c r="I1296" s="15" t="str">
        <f>_xlfn.XLOOKUP(OrderDetails[[#This Row],[ProductID]],Product!A:A,Product!G:G,"Not Found")</f>
        <v>Produce</v>
      </c>
      <c r="J1296" s="15" t="str">
        <f>LOOKUP(MONTH(G1296),{1,4,7,10},{"Winter","Spring","Summer","Autumn"})</f>
        <v>Autumn</v>
      </c>
      <c r="K1296" s="15" t="str">
        <f>_xlfn.XLOOKUP(OrderDetails[[#This Row],[ProductID]],Product!A:A,Product!B:B,"Not Found")</f>
        <v>Rössle Sauerkraut</v>
      </c>
    </row>
    <row r="1297" spans="1:11">
      <c r="A1297" s="2">
        <v>10740</v>
      </c>
      <c r="B1297" s="2">
        <v>35</v>
      </c>
      <c r="C1297" s="2">
        <v>18</v>
      </c>
      <c r="D1297" s="2">
        <v>35</v>
      </c>
      <c r="E1297" s="4">
        <v>0.20000000298023224</v>
      </c>
      <c r="F1297" s="1" t="str">
        <f>_xlfn.XLOOKUP(A1297,Orders!A:A,Orders!B:B,"not found")</f>
        <v>WHITC</v>
      </c>
      <c r="G1297" s="13">
        <f>_xlfn.XLOOKUP(OrderDetails[[#This Row],[OrderID]],Orders!A:A,Orders!C:C,"Not Found")</f>
        <v>35747</v>
      </c>
      <c r="H1297" s="16">
        <f>(OrderDetails[[#This Row],[UnitPrice]]*OrderDetails[[#This Row],[Quantity]])*(1-OrderDetails[[#This Row],[Discount]])</f>
        <v>503.99999812245369</v>
      </c>
      <c r="I1297" s="15" t="str">
        <f>_xlfn.XLOOKUP(OrderDetails[[#This Row],[ProductID]],Product!A:A,Product!G:G,"Not Found")</f>
        <v>Beverages</v>
      </c>
      <c r="J1297" s="15" t="str">
        <f>LOOKUP(MONTH(G1297),{1,4,7,10},{"Winter","Spring","Summer","Autumn"})</f>
        <v>Autumn</v>
      </c>
      <c r="K1297" s="15" t="str">
        <f>_xlfn.XLOOKUP(OrderDetails[[#This Row],[ProductID]],Product!A:A,Product!B:B,"Not Found")</f>
        <v>Steeleye Stout</v>
      </c>
    </row>
    <row r="1298" spans="1:11">
      <c r="A1298" s="1">
        <v>10740</v>
      </c>
      <c r="B1298" s="1">
        <v>45</v>
      </c>
      <c r="C1298" s="1">
        <v>9.5</v>
      </c>
      <c r="D1298" s="1">
        <v>40</v>
      </c>
      <c r="E1298" s="3">
        <v>0.20000000298023224</v>
      </c>
      <c r="F1298" s="1" t="str">
        <f>_xlfn.XLOOKUP(A1298,Orders!A:A,Orders!B:B,"not found")</f>
        <v>WHITC</v>
      </c>
      <c r="G1298" s="13">
        <f>_xlfn.XLOOKUP(OrderDetails[[#This Row],[OrderID]],Orders!A:A,Orders!C:C,"Not Found")</f>
        <v>35747</v>
      </c>
      <c r="H1298" s="16">
        <f>(OrderDetails[[#This Row],[UnitPrice]]*OrderDetails[[#This Row],[Quantity]])*(1-OrderDetails[[#This Row],[Discount]])</f>
        <v>303.99999886751175</v>
      </c>
      <c r="I1298" s="15" t="str">
        <f>_xlfn.XLOOKUP(OrderDetails[[#This Row],[ProductID]],Product!A:A,Product!G:G,"Not Found")</f>
        <v>Seafood</v>
      </c>
      <c r="J1298" s="15" t="str">
        <f>LOOKUP(MONTH(G1298),{1,4,7,10},{"Winter","Spring","Summer","Autumn"})</f>
        <v>Autumn</v>
      </c>
      <c r="K1298" s="15" t="str">
        <f>_xlfn.XLOOKUP(OrderDetails[[#This Row],[ProductID]],Product!A:A,Product!B:B,"Not Found")</f>
        <v>Rogede sild</v>
      </c>
    </row>
    <row r="1299" spans="1:11">
      <c r="A1299" s="2">
        <v>10740</v>
      </c>
      <c r="B1299" s="2">
        <v>56</v>
      </c>
      <c r="C1299" s="2">
        <v>38</v>
      </c>
      <c r="D1299" s="2">
        <v>14</v>
      </c>
      <c r="E1299" s="4">
        <v>0.20000000298023224</v>
      </c>
      <c r="F1299" s="1" t="str">
        <f>_xlfn.XLOOKUP(A1299,Orders!A:A,Orders!B:B,"not found")</f>
        <v>WHITC</v>
      </c>
      <c r="G1299" s="13">
        <f>_xlfn.XLOOKUP(OrderDetails[[#This Row],[OrderID]],Orders!A:A,Orders!C:C,"Not Found")</f>
        <v>35747</v>
      </c>
      <c r="H1299" s="16">
        <f>(OrderDetails[[#This Row],[UnitPrice]]*OrderDetails[[#This Row],[Quantity]])*(1-OrderDetails[[#This Row],[Discount]])</f>
        <v>425.59999841451645</v>
      </c>
      <c r="I1299" s="15" t="str">
        <f>_xlfn.XLOOKUP(OrderDetails[[#This Row],[ProductID]],Product!A:A,Product!G:G,"Not Found")</f>
        <v>Grains/Cereals</v>
      </c>
      <c r="J1299" s="15" t="str">
        <f>LOOKUP(MONTH(G1299),{1,4,7,10},{"Winter","Spring","Summer","Autumn"})</f>
        <v>Autumn</v>
      </c>
      <c r="K1299" s="15" t="str">
        <f>_xlfn.XLOOKUP(OrderDetails[[#This Row],[ProductID]],Product!A:A,Product!B:B,"Not Found")</f>
        <v>Gnocchi di nonna Alice</v>
      </c>
    </row>
    <row r="1300" spans="1:11">
      <c r="A1300" s="1">
        <v>10741</v>
      </c>
      <c r="B1300" s="1">
        <v>2</v>
      </c>
      <c r="C1300" s="1">
        <v>19</v>
      </c>
      <c r="D1300" s="1">
        <v>15</v>
      </c>
      <c r="E1300" s="3">
        <v>0.20000000298023224</v>
      </c>
      <c r="F1300" s="1" t="str">
        <f>_xlfn.XLOOKUP(A1300,Orders!A:A,Orders!B:B,"not found")</f>
        <v>AROUT</v>
      </c>
      <c r="G1300" s="13">
        <f>_xlfn.XLOOKUP(OrderDetails[[#This Row],[OrderID]],Orders!A:A,Orders!C:C,"Not Found")</f>
        <v>35748</v>
      </c>
      <c r="H1300" s="16">
        <f>(OrderDetails[[#This Row],[UnitPrice]]*OrderDetails[[#This Row],[Quantity]])*(1-OrderDetails[[#This Row],[Discount]])</f>
        <v>227.99999915063381</v>
      </c>
      <c r="I1300" s="15" t="str">
        <f>_xlfn.XLOOKUP(OrderDetails[[#This Row],[ProductID]],Product!A:A,Product!G:G,"Not Found")</f>
        <v>Beverages</v>
      </c>
      <c r="J1300" s="15" t="str">
        <f>LOOKUP(MONTH(G1300),{1,4,7,10},{"Winter","Spring","Summer","Autumn"})</f>
        <v>Autumn</v>
      </c>
      <c r="K1300" s="15" t="str">
        <f>_xlfn.XLOOKUP(OrderDetails[[#This Row],[ProductID]],Product!A:A,Product!B:B,"Not Found")</f>
        <v>Chang</v>
      </c>
    </row>
    <row r="1301" spans="1:11">
      <c r="A1301" s="2">
        <v>10742</v>
      </c>
      <c r="B1301" s="2">
        <v>3</v>
      </c>
      <c r="C1301" s="2">
        <v>10</v>
      </c>
      <c r="D1301" s="2">
        <v>20</v>
      </c>
      <c r="E1301" s="4">
        <v>0</v>
      </c>
      <c r="F1301" s="1" t="str">
        <f>_xlfn.XLOOKUP(A1301,Orders!A:A,Orders!B:B,"not found")</f>
        <v>BOTTM</v>
      </c>
      <c r="G1301" s="13">
        <f>_xlfn.XLOOKUP(OrderDetails[[#This Row],[OrderID]],Orders!A:A,Orders!C:C,"Not Found")</f>
        <v>35748</v>
      </c>
      <c r="H1301" s="16">
        <f>(OrderDetails[[#This Row],[UnitPrice]]*OrderDetails[[#This Row],[Quantity]])*(1-OrderDetails[[#This Row],[Discount]])</f>
        <v>200</v>
      </c>
      <c r="I1301" s="15" t="str">
        <f>_xlfn.XLOOKUP(OrderDetails[[#This Row],[ProductID]],Product!A:A,Product!G:G,"Not Found")</f>
        <v>Condiments</v>
      </c>
      <c r="J1301" s="15" t="str">
        <f>LOOKUP(MONTH(G1301),{1,4,7,10},{"Winter","Spring","Summer","Autumn"})</f>
        <v>Autumn</v>
      </c>
      <c r="K1301" s="15" t="str">
        <f>_xlfn.XLOOKUP(OrderDetails[[#This Row],[ProductID]],Product!A:A,Product!B:B,"Not Found")</f>
        <v>Aniseed Syrup</v>
      </c>
    </row>
    <row r="1302" spans="1:11">
      <c r="A1302" s="1">
        <v>10742</v>
      </c>
      <c r="B1302" s="1">
        <v>60</v>
      </c>
      <c r="C1302" s="1">
        <v>34</v>
      </c>
      <c r="D1302" s="1">
        <v>50</v>
      </c>
      <c r="E1302" s="3">
        <v>0</v>
      </c>
      <c r="F1302" s="1" t="str">
        <f>_xlfn.XLOOKUP(A1302,Orders!A:A,Orders!B:B,"not found")</f>
        <v>BOTTM</v>
      </c>
      <c r="G1302" s="13">
        <f>_xlfn.XLOOKUP(OrderDetails[[#This Row],[OrderID]],Orders!A:A,Orders!C:C,"Not Found")</f>
        <v>35748</v>
      </c>
      <c r="H1302" s="16">
        <f>(OrderDetails[[#This Row],[UnitPrice]]*OrderDetails[[#This Row],[Quantity]])*(1-OrderDetails[[#This Row],[Discount]])</f>
        <v>1700</v>
      </c>
      <c r="I1302" s="15" t="str">
        <f>_xlfn.XLOOKUP(OrderDetails[[#This Row],[ProductID]],Product!A:A,Product!G:G,"Not Found")</f>
        <v>Dairy Products</v>
      </c>
      <c r="J1302" s="15" t="str">
        <f>LOOKUP(MONTH(G1302),{1,4,7,10},{"Winter","Spring","Summer","Autumn"})</f>
        <v>Autumn</v>
      </c>
      <c r="K1302" s="15" t="str">
        <f>_xlfn.XLOOKUP(OrderDetails[[#This Row],[ProductID]],Product!A:A,Product!B:B,"Not Found")</f>
        <v>Camembert Pierrot</v>
      </c>
    </row>
    <row r="1303" spans="1:11">
      <c r="A1303" s="2">
        <v>10742</v>
      </c>
      <c r="B1303" s="2">
        <v>72</v>
      </c>
      <c r="C1303" s="2">
        <v>34.799999999999997</v>
      </c>
      <c r="D1303" s="2">
        <v>35</v>
      </c>
      <c r="E1303" s="4">
        <v>0</v>
      </c>
      <c r="F1303" s="1" t="str">
        <f>_xlfn.XLOOKUP(A1303,Orders!A:A,Orders!B:B,"not found")</f>
        <v>BOTTM</v>
      </c>
      <c r="G1303" s="13">
        <f>_xlfn.XLOOKUP(OrderDetails[[#This Row],[OrderID]],Orders!A:A,Orders!C:C,"Not Found")</f>
        <v>35748</v>
      </c>
      <c r="H1303" s="16">
        <f>(OrderDetails[[#This Row],[UnitPrice]]*OrderDetails[[#This Row],[Quantity]])*(1-OrderDetails[[#This Row],[Discount]])</f>
        <v>1218</v>
      </c>
      <c r="I1303" s="15" t="str">
        <f>_xlfn.XLOOKUP(OrderDetails[[#This Row],[ProductID]],Product!A:A,Product!G:G,"Not Found")</f>
        <v>Dairy Products</v>
      </c>
      <c r="J1303" s="15" t="str">
        <f>LOOKUP(MONTH(G1303),{1,4,7,10},{"Winter","Spring","Summer","Autumn"})</f>
        <v>Autumn</v>
      </c>
      <c r="K1303" s="15" t="str">
        <f>_xlfn.XLOOKUP(OrderDetails[[#This Row],[ProductID]],Product!A:A,Product!B:B,"Not Found")</f>
        <v>Mozzarella di Giovanni</v>
      </c>
    </row>
    <row r="1304" spans="1:11">
      <c r="A1304" s="1">
        <v>10743</v>
      </c>
      <c r="B1304" s="1">
        <v>46</v>
      </c>
      <c r="C1304" s="1">
        <v>12</v>
      </c>
      <c r="D1304" s="1">
        <v>28</v>
      </c>
      <c r="E1304" s="3">
        <v>5.000000074505806E-2</v>
      </c>
      <c r="F1304" s="1" t="str">
        <f>_xlfn.XLOOKUP(A1304,Orders!A:A,Orders!B:B,"not found")</f>
        <v>AROUT</v>
      </c>
      <c r="G1304" s="13">
        <f>_xlfn.XLOOKUP(OrderDetails[[#This Row],[OrderID]],Orders!A:A,Orders!C:C,"Not Found")</f>
        <v>35751</v>
      </c>
      <c r="H1304" s="16">
        <f>(OrderDetails[[#This Row],[UnitPrice]]*OrderDetails[[#This Row],[Quantity]])*(1-OrderDetails[[#This Row],[Discount]])</f>
        <v>319.19999974966049</v>
      </c>
      <c r="I1304" s="15" t="str">
        <f>_xlfn.XLOOKUP(OrderDetails[[#This Row],[ProductID]],Product!A:A,Product!G:G,"Not Found")</f>
        <v>Seafood</v>
      </c>
      <c r="J1304" s="15" t="str">
        <f>LOOKUP(MONTH(G1304),{1,4,7,10},{"Winter","Spring","Summer","Autumn"})</f>
        <v>Autumn</v>
      </c>
      <c r="K1304" s="15" t="str">
        <f>_xlfn.XLOOKUP(OrderDetails[[#This Row],[ProductID]],Product!A:A,Product!B:B,"Not Found")</f>
        <v>Spegesild</v>
      </c>
    </row>
    <row r="1305" spans="1:11">
      <c r="A1305" s="2">
        <v>10744</v>
      </c>
      <c r="B1305" s="2">
        <v>40</v>
      </c>
      <c r="C1305" s="2">
        <v>18.399999999999999</v>
      </c>
      <c r="D1305" s="2">
        <v>50</v>
      </c>
      <c r="E1305" s="4">
        <v>0.20000000298023224</v>
      </c>
      <c r="F1305" s="1" t="str">
        <f>_xlfn.XLOOKUP(A1305,Orders!A:A,Orders!B:B,"not found")</f>
        <v>VAFFE</v>
      </c>
      <c r="G1305" s="13">
        <f>_xlfn.XLOOKUP(OrderDetails[[#This Row],[OrderID]],Orders!A:A,Orders!C:C,"Not Found")</f>
        <v>35751</v>
      </c>
      <c r="H1305" s="16">
        <f>(OrderDetails[[#This Row],[UnitPrice]]*OrderDetails[[#This Row],[Quantity]])*(1-OrderDetails[[#This Row],[Discount]])</f>
        <v>735.99999725818623</v>
      </c>
      <c r="I1305" s="15" t="str">
        <f>_xlfn.XLOOKUP(OrderDetails[[#This Row],[ProductID]],Product!A:A,Product!G:G,"Not Found")</f>
        <v>Seafood</v>
      </c>
      <c r="J1305" s="15" t="str">
        <f>LOOKUP(MONTH(G1305),{1,4,7,10},{"Winter","Spring","Summer","Autumn"})</f>
        <v>Autumn</v>
      </c>
      <c r="K1305" s="15" t="str">
        <f>_xlfn.XLOOKUP(OrderDetails[[#This Row],[ProductID]],Product!A:A,Product!B:B,"Not Found")</f>
        <v>Boston Crab Meat</v>
      </c>
    </row>
    <row r="1306" spans="1:11">
      <c r="A1306" s="1">
        <v>10745</v>
      </c>
      <c r="B1306" s="1">
        <v>18</v>
      </c>
      <c r="C1306" s="1">
        <v>62.5</v>
      </c>
      <c r="D1306" s="1">
        <v>24</v>
      </c>
      <c r="E1306" s="3">
        <v>0</v>
      </c>
      <c r="F1306" s="1" t="str">
        <f>_xlfn.XLOOKUP(A1306,Orders!A:A,Orders!B:B,"not found")</f>
        <v>QUICK</v>
      </c>
      <c r="G1306" s="13">
        <f>_xlfn.XLOOKUP(OrderDetails[[#This Row],[OrderID]],Orders!A:A,Orders!C:C,"Not Found")</f>
        <v>35752</v>
      </c>
      <c r="H1306" s="16">
        <f>(OrderDetails[[#This Row],[UnitPrice]]*OrderDetails[[#This Row],[Quantity]])*(1-OrderDetails[[#This Row],[Discount]])</f>
        <v>1500</v>
      </c>
      <c r="I1306" s="15" t="str">
        <f>_xlfn.XLOOKUP(OrderDetails[[#This Row],[ProductID]],Product!A:A,Product!G:G,"Not Found")</f>
        <v>Seafood</v>
      </c>
      <c r="J1306" s="15" t="str">
        <f>LOOKUP(MONTH(G1306),{1,4,7,10},{"Winter","Spring","Summer","Autumn"})</f>
        <v>Autumn</v>
      </c>
      <c r="K1306" s="15" t="str">
        <f>_xlfn.XLOOKUP(OrderDetails[[#This Row],[ProductID]],Product!A:A,Product!B:B,"Not Found")</f>
        <v>Carnarvon Tigers</v>
      </c>
    </row>
    <row r="1307" spans="1:11">
      <c r="A1307" s="2">
        <v>10745</v>
      </c>
      <c r="B1307" s="2">
        <v>44</v>
      </c>
      <c r="C1307" s="2">
        <v>19.45</v>
      </c>
      <c r="D1307" s="2">
        <v>16</v>
      </c>
      <c r="E1307" s="4">
        <v>0</v>
      </c>
      <c r="F1307" s="1" t="str">
        <f>_xlfn.XLOOKUP(A1307,Orders!A:A,Orders!B:B,"not found")</f>
        <v>QUICK</v>
      </c>
      <c r="G1307" s="13">
        <f>_xlfn.XLOOKUP(OrderDetails[[#This Row],[OrderID]],Orders!A:A,Orders!C:C,"Not Found")</f>
        <v>35752</v>
      </c>
      <c r="H1307" s="16">
        <f>(OrderDetails[[#This Row],[UnitPrice]]*OrderDetails[[#This Row],[Quantity]])*(1-OrderDetails[[#This Row],[Discount]])</f>
        <v>311.2</v>
      </c>
      <c r="I1307" s="15" t="str">
        <f>_xlfn.XLOOKUP(OrderDetails[[#This Row],[ProductID]],Product!A:A,Product!G:G,"Not Found")</f>
        <v>Condiments</v>
      </c>
      <c r="J1307" s="15" t="str">
        <f>LOOKUP(MONTH(G1307),{1,4,7,10},{"Winter","Spring","Summer","Autumn"})</f>
        <v>Autumn</v>
      </c>
      <c r="K1307" s="15" t="str">
        <f>_xlfn.XLOOKUP(OrderDetails[[#This Row],[ProductID]],Product!A:A,Product!B:B,"Not Found")</f>
        <v>Gula Malacca</v>
      </c>
    </row>
    <row r="1308" spans="1:11">
      <c r="A1308" s="1">
        <v>10745</v>
      </c>
      <c r="B1308" s="1">
        <v>59</v>
      </c>
      <c r="C1308" s="1">
        <v>55</v>
      </c>
      <c r="D1308" s="1">
        <v>45</v>
      </c>
      <c r="E1308" s="3">
        <v>0</v>
      </c>
      <c r="F1308" s="1" t="str">
        <f>_xlfn.XLOOKUP(A1308,Orders!A:A,Orders!B:B,"not found")</f>
        <v>QUICK</v>
      </c>
      <c r="G1308" s="13">
        <f>_xlfn.XLOOKUP(OrderDetails[[#This Row],[OrderID]],Orders!A:A,Orders!C:C,"Not Found")</f>
        <v>35752</v>
      </c>
      <c r="H1308" s="16">
        <f>(OrderDetails[[#This Row],[UnitPrice]]*OrderDetails[[#This Row],[Quantity]])*(1-OrderDetails[[#This Row],[Discount]])</f>
        <v>2475</v>
      </c>
      <c r="I1308" s="15" t="str">
        <f>_xlfn.XLOOKUP(OrderDetails[[#This Row],[ProductID]],Product!A:A,Product!G:G,"Not Found")</f>
        <v>Dairy Products</v>
      </c>
      <c r="J1308" s="15" t="str">
        <f>LOOKUP(MONTH(G1308),{1,4,7,10},{"Winter","Spring","Summer","Autumn"})</f>
        <v>Autumn</v>
      </c>
      <c r="K1308" s="15" t="str">
        <f>_xlfn.XLOOKUP(OrderDetails[[#This Row],[ProductID]],Product!A:A,Product!B:B,"Not Found")</f>
        <v>Raclette Courdavault</v>
      </c>
    </row>
    <row r="1309" spans="1:11">
      <c r="A1309" s="2">
        <v>10745</v>
      </c>
      <c r="B1309" s="2">
        <v>72</v>
      </c>
      <c r="C1309" s="2">
        <v>34.799999999999997</v>
      </c>
      <c r="D1309" s="2">
        <v>7</v>
      </c>
      <c r="E1309" s="4">
        <v>0</v>
      </c>
      <c r="F1309" s="1" t="str">
        <f>_xlfn.XLOOKUP(A1309,Orders!A:A,Orders!B:B,"not found")</f>
        <v>QUICK</v>
      </c>
      <c r="G1309" s="13">
        <f>_xlfn.XLOOKUP(OrderDetails[[#This Row],[OrderID]],Orders!A:A,Orders!C:C,"Not Found")</f>
        <v>35752</v>
      </c>
      <c r="H1309" s="16">
        <f>(OrderDetails[[#This Row],[UnitPrice]]*OrderDetails[[#This Row],[Quantity]])*(1-OrderDetails[[#This Row],[Discount]])</f>
        <v>243.59999999999997</v>
      </c>
      <c r="I1309" s="15" t="str">
        <f>_xlfn.XLOOKUP(OrderDetails[[#This Row],[ProductID]],Product!A:A,Product!G:G,"Not Found")</f>
        <v>Dairy Products</v>
      </c>
      <c r="J1309" s="15" t="str">
        <f>LOOKUP(MONTH(G1309),{1,4,7,10},{"Winter","Spring","Summer","Autumn"})</f>
        <v>Autumn</v>
      </c>
      <c r="K1309" s="15" t="str">
        <f>_xlfn.XLOOKUP(OrderDetails[[#This Row],[ProductID]],Product!A:A,Product!B:B,"Not Found")</f>
        <v>Mozzarella di Giovanni</v>
      </c>
    </row>
    <row r="1310" spans="1:11">
      <c r="A1310" s="1">
        <v>10746</v>
      </c>
      <c r="B1310" s="1">
        <v>13</v>
      </c>
      <c r="C1310" s="1">
        <v>6</v>
      </c>
      <c r="D1310" s="1">
        <v>6</v>
      </c>
      <c r="E1310" s="3">
        <v>0</v>
      </c>
      <c r="F1310" s="1" t="str">
        <f>_xlfn.XLOOKUP(A1310,Orders!A:A,Orders!B:B,"not found")</f>
        <v>CHOPS</v>
      </c>
      <c r="G1310" s="13">
        <f>_xlfn.XLOOKUP(OrderDetails[[#This Row],[OrderID]],Orders!A:A,Orders!C:C,"Not Found")</f>
        <v>35753</v>
      </c>
      <c r="H1310" s="16">
        <f>(OrderDetails[[#This Row],[UnitPrice]]*OrderDetails[[#This Row],[Quantity]])*(1-OrderDetails[[#This Row],[Discount]])</f>
        <v>36</v>
      </c>
      <c r="I1310" s="15" t="str">
        <f>_xlfn.XLOOKUP(OrderDetails[[#This Row],[ProductID]],Product!A:A,Product!G:G,"Not Found")</f>
        <v>Seafood</v>
      </c>
      <c r="J1310" s="15" t="str">
        <f>LOOKUP(MONTH(G1310),{1,4,7,10},{"Winter","Spring","Summer","Autumn"})</f>
        <v>Autumn</v>
      </c>
      <c r="K1310" s="15" t="str">
        <f>_xlfn.XLOOKUP(OrderDetails[[#This Row],[ProductID]],Product!A:A,Product!B:B,"Not Found")</f>
        <v>Konbu</v>
      </c>
    </row>
    <row r="1311" spans="1:11">
      <c r="A1311" s="2">
        <v>10746</v>
      </c>
      <c r="B1311" s="2">
        <v>42</v>
      </c>
      <c r="C1311" s="2">
        <v>14</v>
      </c>
      <c r="D1311" s="2">
        <v>28</v>
      </c>
      <c r="E1311" s="4">
        <v>0</v>
      </c>
      <c r="F1311" s="1" t="str">
        <f>_xlfn.XLOOKUP(A1311,Orders!A:A,Orders!B:B,"not found")</f>
        <v>CHOPS</v>
      </c>
      <c r="G1311" s="13">
        <f>_xlfn.XLOOKUP(OrderDetails[[#This Row],[OrderID]],Orders!A:A,Orders!C:C,"Not Found")</f>
        <v>35753</v>
      </c>
      <c r="H1311" s="16">
        <f>(OrderDetails[[#This Row],[UnitPrice]]*OrderDetails[[#This Row],[Quantity]])*(1-OrderDetails[[#This Row],[Discount]])</f>
        <v>392</v>
      </c>
      <c r="I1311" s="15" t="str">
        <f>_xlfn.XLOOKUP(OrderDetails[[#This Row],[ProductID]],Product!A:A,Product!G:G,"Not Found")</f>
        <v>Grains/Cereals</v>
      </c>
      <c r="J1311" s="15" t="str">
        <f>LOOKUP(MONTH(G1311),{1,4,7,10},{"Winter","Spring","Summer","Autumn"})</f>
        <v>Autumn</v>
      </c>
      <c r="K1311" s="15" t="str">
        <f>_xlfn.XLOOKUP(OrderDetails[[#This Row],[ProductID]],Product!A:A,Product!B:B,"Not Found")</f>
        <v>Singaporean Hokkien Fried Mee</v>
      </c>
    </row>
    <row r="1312" spans="1:11">
      <c r="A1312" s="1">
        <v>10746</v>
      </c>
      <c r="B1312" s="1">
        <v>62</v>
      </c>
      <c r="C1312" s="1">
        <v>49.3</v>
      </c>
      <c r="D1312" s="1">
        <v>9</v>
      </c>
      <c r="E1312" s="3">
        <v>0</v>
      </c>
      <c r="F1312" s="1" t="str">
        <f>_xlfn.XLOOKUP(A1312,Orders!A:A,Orders!B:B,"not found")</f>
        <v>CHOPS</v>
      </c>
      <c r="G1312" s="13">
        <f>_xlfn.XLOOKUP(OrderDetails[[#This Row],[OrderID]],Orders!A:A,Orders!C:C,"Not Found")</f>
        <v>35753</v>
      </c>
      <c r="H1312" s="16">
        <f>(OrderDetails[[#This Row],[UnitPrice]]*OrderDetails[[#This Row],[Quantity]])*(1-OrderDetails[[#This Row],[Discount]])</f>
        <v>443.7</v>
      </c>
      <c r="I1312" s="15" t="str">
        <f>_xlfn.XLOOKUP(OrderDetails[[#This Row],[ProductID]],Product!A:A,Product!G:G,"Not Found")</f>
        <v>Confections</v>
      </c>
      <c r="J1312" s="15" t="str">
        <f>LOOKUP(MONTH(G1312),{1,4,7,10},{"Winter","Spring","Summer","Autumn"})</f>
        <v>Autumn</v>
      </c>
      <c r="K1312" s="15" t="str">
        <f>_xlfn.XLOOKUP(OrderDetails[[#This Row],[ProductID]],Product!A:A,Product!B:B,"Not Found")</f>
        <v>Tarte au sucre</v>
      </c>
    </row>
    <row r="1313" spans="1:11">
      <c r="A1313" s="2">
        <v>10746</v>
      </c>
      <c r="B1313" s="2">
        <v>69</v>
      </c>
      <c r="C1313" s="2">
        <v>36</v>
      </c>
      <c r="D1313" s="2">
        <v>40</v>
      </c>
      <c r="E1313" s="4">
        <v>0</v>
      </c>
      <c r="F1313" s="1" t="str">
        <f>_xlfn.XLOOKUP(A1313,Orders!A:A,Orders!B:B,"not found")</f>
        <v>CHOPS</v>
      </c>
      <c r="G1313" s="13">
        <f>_xlfn.XLOOKUP(OrderDetails[[#This Row],[OrderID]],Orders!A:A,Orders!C:C,"Not Found")</f>
        <v>35753</v>
      </c>
      <c r="H1313" s="16">
        <f>(OrderDetails[[#This Row],[UnitPrice]]*OrderDetails[[#This Row],[Quantity]])*(1-OrderDetails[[#This Row],[Discount]])</f>
        <v>1440</v>
      </c>
      <c r="I1313" s="15" t="str">
        <f>_xlfn.XLOOKUP(OrderDetails[[#This Row],[ProductID]],Product!A:A,Product!G:G,"Not Found")</f>
        <v>Dairy Products</v>
      </c>
      <c r="J1313" s="15" t="str">
        <f>LOOKUP(MONTH(G1313),{1,4,7,10},{"Winter","Spring","Summer","Autumn"})</f>
        <v>Autumn</v>
      </c>
      <c r="K1313" s="15" t="str">
        <f>_xlfn.XLOOKUP(OrderDetails[[#This Row],[ProductID]],Product!A:A,Product!B:B,"Not Found")</f>
        <v>Gudbrandsdalsost</v>
      </c>
    </row>
    <row r="1314" spans="1:11">
      <c r="A1314" s="1">
        <v>10747</v>
      </c>
      <c r="B1314" s="1">
        <v>31</v>
      </c>
      <c r="C1314" s="1">
        <v>12.5</v>
      </c>
      <c r="D1314" s="1">
        <v>8</v>
      </c>
      <c r="E1314" s="3">
        <v>0</v>
      </c>
      <c r="F1314" s="1" t="str">
        <f>_xlfn.XLOOKUP(A1314,Orders!A:A,Orders!B:B,"not found")</f>
        <v>PICCO</v>
      </c>
      <c r="G1314" s="13">
        <f>_xlfn.XLOOKUP(OrderDetails[[#This Row],[OrderID]],Orders!A:A,Orders!C:C,"Not Found")</f>
        <v>35753</v>
      </c>
      <c r="H1314" s="16">
        <f>(OrderDetails[[#This Row],[UnitPrice]]*OrderDetails[[#This Row],[Quantity]])*(1-OrderDetails[[#This Row],[Discount]])</f>
        <v>100</v>
      </c>
      <c r="I1314" s="15" t="str">
        <f>_xlfn.XLOOKUP(OrderDetails[[#This Row],[ProductID]],Product!A:A,Product!G:G,"Not Found")</f>
        <v>Dairy Products</v>
      </c>
      <c r="J1314" s="15" t="str">
        <f>LOOKUP(MONTH(G1314),{1,4,7,10},{"Winter","Spring","Summer","Autumn"})</f>
        <v>Autumn</v>
      </c>
      <c r="K1314" s="15" t="str">
        <f>_xlfn.XLOOKUP(OrderDetails[[#This Row],[ProductID]],Product!A:A,Product!B:B,"Not Found")</f>
        <v>Gorgonzola Telino</v>
      </c>
    </row>
    <row r="1315" spans="1:11">
      <c r="A1315" s="2">
        <v>10747</v>
      </c>
      <c r="B1315" s="2">
        <v>41</v>
      </c>
      <c r="C1315" s="2">
        <v>9.65</v>
      </c>
      <c r="D1315" s="2">
        <v>35</v>
      </c>
      <c r="E1315" s="4">
        <v>0</v>
      </c>
      <c r="F1315" s="1" t="str">
        <f>_xlfn.XLOOKUP(A1315,Orders!A:A,Orders!B:B,"not found")</f>
        <v>PICCO</v>
      </c>
      <c r="G1315" s="13">
        <f>_xlfn.XLOOKUP(OrderDetails[[#This Row],[OrderID]],Orders!A:A,Orders!C:C,"Not Found")</f>
        <v>35753</v>
      </c>
      <c r="H1315" s="16">
        <f>(OrderDetails[[#This Row],[UnitPrice]]*OrderDetails[[#This Row],[Quantity]])*(1-OrderDetails[[#This Row],[Discount]])</f>
        <v>337.75</v>
      </c>
      <c r="I1315" s="15" t="str">
        <f>_xlfn.XLOOKUP(OrderDetails[[#This Row],[ProductID]],Product!A:A,Product!G:G,"Not Found")</f>
        <v>Seafood</v>
      </c>
      <c r="J1315" s="15" t="str">
        <f>LOOKUP(MONTH(G1315),{1,4,7,10},{"Winter","Spring","Summer","Autumn"})</f>
        <v>Autumn</v>
      </c>
      <c r="K1315" s="15" t="str">
        <f>_xlfn.XLOOKUP(OrderDetails[[#This Row],[ProductID]],Product!A:A,Product!B:B,"Not Found")</f>
        <v>Jack's New England Clam Chowder</v>
      </c>
    </row>
    <row r="1316" spans="1:11">
      <c r="A1316" s="1">
        <v>10747</v>
      </c>
      <c r="B1316" s="1">
        <v>63</v>
      </c>
      <c r="C1316" s="1">
        <v>43.9</v>
      </c>
      <c r="D1316" s="1">
        <v>9</v>
      </c>
      <c r="E1316" s="3">
        <v>0</v>
      </c>
      <c r="F1316" s="1" t="str">
        <f>_xlfn.XLOOKUP(A1316,Orders!A:A,Orders!B:B,"not found")</f>
        <v>PICCO</v>
      </c>
      <c r="G1316" s="13">
        <f>_xlfn.XLOOKUP(OrderDetails[[#This Row],[OrderID]],Orders!A:A,Orders!C:C,"Not Found")</f>
        <v>35753</v>
      </c>
      <c r="H1316" s="16">
        <f>(OrderDetails[[#This Row],[UnitPrice]]*OrderDetails[[#This Row],[Quantity]])*(1-OrderDetails[[#This Row],[Discount]])</f>
        <v>395.09999999999997</v>
      </c>
      <c r="I1316" s="15" t="str">
        <f>_xlfn.XLOOKUP(OrderDetails[[#This Row],[ProductID]],Product!A:A,Product!G:G,"Not Found")</f>
        <v>Condiments</v>
      </c>
      <c r="J1316" s="15" t="str">
        <f>LOOKUP(MONTH(G1316),{1,4,7,10},{"Winter","Spring","Summer","Autumn"})</f>
        <v>Autumn</v>
      </c>
      <c r="K1316" s="15" t="str">
        <f>_xlfn.XLOOKUP(OrderDetails[[#This Row],[ProductID]],Product!A:A,Product!B:B,"Not Found")</f>
        <v>Vegie-spread</v>
      </c>
    </row>
    <row r="1317" spans="1:11">
      <c r="A1317" s="2">
        <v>10747</v>
      </c>
      <c r="B1317" s="2">
        <v>69</v>
      </c>
      <c r="C1317" s="2">
        <v>36</v>
      </c>
      <c r="D1317" s="2">
        <v>30</v>
      </c>
      <c r="E1317" s="4">
        <v>0</v>
      </c>
      <c r="F1317" s="1" t="str">
        <f>_xlfn.XLOOKUP(A1317,Orders!A:A,Orders!B:B,"not found")</f>
        <v>PICCO</v>
      </c>
      <c r="G1317" s="13">
        <f>_xlfn.XLOOKUP(OrderDetails[[#This Row],[OrderID]],Orders!A:A,Orders!C:C,"Not Found")</f>
        <v>35753</v>
      </c>
      <c r="H1317" s="16">
        <f>(OrderDetails[[#This Row],[UnitPrice]]*OrderDetails[[#This Row],[Quantity]])*(1-OrderDetails[[#This Row],[Discount]])</f>
        <v>1080</v>
      </c>
      <c r="I1317" s="15" t="str">
        <f>_xlfn.XLOOKUP(OrderDetails[[#This Row],[ProductID]],Product!A:A,Product!G:G,"Not Found")</f>
        <v>Dairy Products</v>
      </c>
      <c r="J1317" s="15" t="str">
        <f>LOOKUP(MONTH(G1317),{1,4,7,10},{"Winter","Spring","Summer","Autumn"})</f>
        <v>Autumn</v>
      </c>
      <c r="K1317" s="15" t="str">
        <f>_xlfn.XLOOKUP(OrderDetails[[#This Row],[ProductID]],Product!A:A,Product!B:B,"Not Found")</f>
        <v>Gudbrandsdalsost</v>
      </c>
    </row>
    <row r="1318" spans="1:11">
      <c r="A1318" s="1">
        <v>10748</v>
      </c>
      <c r="B1318" s="1">
        <v>23</v>
      </c>
      <c r="C1318" s="1">
        <v>9</v>
      </c>
      <c r="D1318" s="1">
        <v>44</v>
      </c>
      <c r="E1318" s="3">
        <v>0</v>
      </c>
      <c r="F1318" s="1" t="str">
        <f>_xlfn.XLOOKUP(A1318,Orders!A:A,Orders!B:B,"not found")</f>
        <v>SAVEA</v>
      </c>
      <c r="G1318" s="13">
        <f>_xlfn.XLOOKUP(OrderDetails[[#This Row],[OrderID]],Orders!A:A,Orders!C:C,"Not Found")</f>
        <v>35754</v>
      </c>
      <c r="H1318" s="16">
        <f>(OrderDetails[[#This Row],[UnitPrice]]*OrderDetails[[#This Row],[Quantity]])*(1-OrderDetails[[#This Row],[Discount]])</f>
        <v>396</v>
      </c>
      <c r="I1318" s="15" t="str">
        <f>_xlfn.XLOOKUP(OrderDetails[[#This Row],[ProductID]],Product!A:A,Product!G:G,"Not Found")</f>
        <v>Grains/Cereals</v>
      </c>
      <c r="J1318" s="15" t="str">
        <f>LOOKUP(MONTH(G1318),{1,4,7,10},{"Winter","Spring","Summer","Autumn"})</f>
        <v>Autumn</v>
      </c>
      <c r="K1318" s="15" t="str">
        <f>_xlfn.XLOOKUP(OrderDetails[[#This Row],[ProductID]],Product!A:A,Product!B:B,"Not Found")</f>
        <v>Tunnbröd</v>
      </c>
    </row>
    <row r="1319" spans="1:11">
      <c r="A1319" s="2">
        <v>10748</v>
      </c>
      <c r="B1319" s="2">
        <v>40</v>
      </c>
      <c r="C1319" s="2">
        <v>18.399999999999999</v>
      </c>
      <c r="D1319" s="2">
        <v>40</v>
      </c>
      <c r="E1319" s="4">
        <v>0</v>
      </c>
      <c r="F1319" s="1" t="str">
        <f>_xlfn.XLOOKUP(A1319,Orders!A:A,Orders!B:B,"not found")</f>
        <v>SAVEA</v>
      </c>
      <c r="G1319" s="13">
        <f>_xlfn.XLOOKUP(OrderDetails[[#This Row],[OrderID]],Orders!A:A,Orders!C:C,"Not Found")</f>
        <v>35754</v>
      </c>
      <c r="H1319" s="16">
        <f>(OrderDetails[[#This Row],[UnitPrice]]*OrderDetails[[#This Row],[Quantity]])*(1-OrderDetails[[#This Row],[Discount]])</f>
        <v>736</v>
      </c>
      <c r="I1319" s="15" t="str">
        <f>_xlfn.XLOOKUP(OrderDetails[[#This Row],[ProductID]],Product!A:A,Product!G:G,"Not Found")</f>
        <v>Seafood</v>
      </c>
      <c r="J1319" s="15" t="str">
        <f>LOOKUP(MONTH(G1319),{1,4,7,10},{"Winter","Spring","Summer","Autumn"})</f>
        <v>Autumn</v>
      </c>
      <c r="K1319" s="15" t="str">
        <f>_xlfn.XLOOKUP(OrderDetails[[#This Row],[ProductID]],Product!A:A,Product!B:B,"Not Found")</f>
        <v>Boston Crab Meat</v>
      </c>
    </row>
    <row r="1320" spans="1:11">
      <c r="A1320" s="1">
        <v>10748</v>
      </c>
      <c r="B1320" s="1">
        <v>56</v>
      </c>
      <c r="C1320" s="1">
        <v>38</v>
      </c>
      <c r="D1320" s="1">
        <v>28</v>
      </c>
      <c r="E1320" s="3">
        <v>0</v>
      </c>
      <c r="F1320" s="1" t="str">
        <f>_xlfn.XLOOKUP(A1320,Orders!A:A,Orders!B:B,"not found")</f>
        <v>SAVEA</v>
      </c>
      <c r="G1320" s="13">
        <f>_xlfn.XLOOKUP(OrderDetails[[#This Row],[OrderID]],Orders!A:A,Orders!C:C,"Not Found")</f>
        <v>35754</v>
      </c>
      <c r="H1320" s="16">
        <f>(OrderDetails[[#This Row],[UnitPrice]]*OrderDetails[[#This Row],[Quantity]])*(1-OrderDetails[[#This Row],[Discount]])</f>
        <v>1064</v>
      </c>
      <c r="I1320" s="15" t="str">
        <f>_xlfn.XLOOKUP(OrderDetails[[#This Row],[ProductID]],Product!A:A,Product!G:G,"Not Found")</f>
        <v>Grains/Cereals</v>
      </c>
      <c r="J1320" s="15" t="str">
        <f>LOOKUP(MONTH(G1320),{1,4,7,10},{"Winter","Spring","Summer","Autumn"})</f>
        <v>Autumn</v>
      </c>
      <c r="K1320" s="15" t="str">
        <f>_xlfn.XLOOKUP(OrderDetails[[#This Row],[ProductID]],Product!A:A,Product!B:B,"Not Found")</f>
        <v>Gnocchi di nonna Alice</v>
      </c>
    </row>
    <row r="1321" spans="1:11">
      <c r="A1321" s="2">
        <v>10749</v>
      </c>
      <c r="B1321" s="2">
        <v>56</v>
      </c>
      <c r="C1321" s="2">
        <v>38</v>
      </c>
      <c r="D1321" s="2">
        <v>15</v>
      </c>
      <c r="E1321" s="4">
        <v>0</v>
      </c>
      <c r="F1321" s="1" t="str">
        <f>_xlfn.XLOOKUP(A1321,Orders!A:A,Orders!B:B,"not found")</f>
        <v>ISLAT</v>
      </c>
      <c r="G1321" s="13">
        <f>_xlfn.XLOOKUP(OrderDetails[[#This Row],[OrderID]],Orders!A:A,Orders!C:C,"Not Found")</f>
        <v>35754</v>
      </c>
      <c r="H1321" s="16">
        <f>(OrderDetails[[#This Row],[UnitPrice]]*OrderDetails[[#This Row],[Quantity]])*(1-OrderDetails[[#This Row],[Discount]])</f>
        <v>570</v>
      </c>
      <c r="I1321" s="15" t="str">
        <f>_xlfn.XLOOKUP(OrderDetails[[#This Row],[ProductID]],Product!A:A,Product!G:G,"Not Found")</f>
        <v>Grains/Cereals</v>
      </c>
      <c r="J1321" s="15" t="str">
        <f>LOOKUP(MONTH(G1321),{1,4,7,10},{"Winter","Spring","Summer","Autumn"})</f>
        <v>Autumn</v>
      </c>
      <c r="K1321" s="15" t="str">
        <f>_xlfn.XLOOKUP(OrderDetails[[#This Row],[ProductID]],Product!A:A,Product!B:B,"Not Found")</f>
        <v>Gnocchi di nonna Alice</v>
      </c>
    </row>
    <row r="1322" spans="1:11">
      <c r="A1322" s="1">
        <v>10749</v>
      </c>
      <c r="B1322" s="1">
        <v>59</v>
      </c>
      <c r="C1322" s="1">
        <v>55</v>
      </c>
      <c r="D1322" s="1">
        <v>6</v>
      </c>
      <c r="E1322" s="3">
        <v>0</v>
      </c>
      <c r="F1322" s="1" t="str">
        <f>_xlfn.XLOOKUP(A1322,Orders!A:A,Orders!B:B,"not found")</f>
        <v>ISLAT</v>
      </c>
      <c r="G1322" s="13">
        <f>_xlfn.XLOOKUP(OrderDetails[[#This Row],[OrderID]],Orders!A:A,Orders!C:C,"Not Found")</f>
        <v>35754</v>
      </c>
      <c r="H1322" s="16">
        <f>(OrderDetails[[#This Row],[UnitPrice]]*OrderDetails[[#This Row],[Quantity]])*(1-OrderDetails[[#This Row],[Discount]])</f>
        <v>330</v>
      </c>
      <c r="I1322" s="15" t="str">
        <f>_xlfn.XLOOKUP(OrderDetails[[#This Row],[ProductID]],Product!A:A,Product!G:G,"Not Found")</f>
        <v>Dairy Products</v>
      </c>
      <c r="J1322" s="15" t="str">
        <f>LOOKUP(MONTH(G1322),{1,4,7,10},{"Winter","Spring","Summer","Autumn"})</f>
        <v>Autumn</v>
      </c>
      <c r="K1322" s="15" t="str">
        <f>_xlfn.XLOOKUP(OrderDetails[[#This Row],[ProductID]],Product!A:A,Product!B:B,"Not Found")</f>
        <v>Raclette Courdavault</v>
      </c>
    </row>
    <row r="1323" spans="1:11">
      <c r="A1323" s="2">
        <v>10749</v>
      </c>
      <c r="B1323" s="2">
        <v>76</v>
      </c>
      <c r="C1323" s="2">
        <v>18</v>
      </c>
      <c r="D1323" s="2">
        <v>10</v>
      </c>
      <c r="E1323" s="4">
        <v>0</v>
      </c>
      <c r="F1323" s="1" t="str">
        <f>_xlfn.XLOOKUP(A1323,Orders!A:A,Orders!B:B,"not found")</f>
        <v>ISLAT</v>
      </c>
      <c r="G1323" s="13">
        <f>_xlfn.XLOOKUP(OrderDetails[[#This Row],[OrderID]],Orders!A:A,Orders!C:C,"Not Found")</f>
        <v>35754</v>
      </c>
      <c r="H1323" s="16">
        <f>(OrderDetails[[#This Row],[UnitPrice]]*OrderDetails[[#This Row],[Quantity]])*(1-OrderDetails[[#This Row],[Discount]])</f>
        <v>180</v>
      </c>
      <c r="I1323" s="15" t="str">
        <f>_xlfn.XLOOKUP(OrderDetails[[#This Row],[ProductID]],Product!A:A,Product!G:G,"Not Found")</f>
        <v>Beverages</v>
      </c>
      <c r="J1323" s="15" t="str">
        <f>LOOKUP(MONTH(G1323),{1,4,7,10},{"Winter","Spring","Summer","Autumn"})</f>
        <v>Autumn</v>
      </c>
      <c r="K1323" s="15" t="str">
        <f>_xlfn.XLOOKUP(OrderDetails[[#This Row],[ProductID]],Product!A:A,Product!B:B,"Not Found")</f>
        <v>Lakkalikööri</v>
      </c>
    </row>
    <row r="1324" spans="1:11">
      <c r="A1324" s="1">
        <v>10750</v>
      </c>
      <c r="B1324" s="1">
        <v>14</v>
      </c>
      <c r="C1324" s="1">
        <v>23.25</v>
      </c>
      <c r="D1324" s="1">
        <v>5</v>
      </c>
      <c r="E1324" s="3">
        <v>0.15000000596046448</v>
      </c>
      <c r="F1324" s="1" t="str">
        <f>_xlfn.XLOOKUP(A1324,Orders!A:A,Orders!B:B,"not found")</f>
        <v>WARTH</v>
      </c>
      <c r="G1324" s="13">
        <f>_xlfn.XLOOKUP(OrderDetails[[#This Row],[OrderID]],Orders!A:A,Orders!C:C,"Not Found")</f>
        <v>35755</v>
      </c>
      <c r="H1324" s="16">
        <f>(OrderDetails[[#This Row],[UnitPrice]]*OrderDetails[[#This Row],[Quantity]])*(1-OrderDetails[[#This Row],[Discount]])</f>
        <v>98.812499307096004</v>
      </c>
      <c r="I1324" s="15" t="str">
        <f>_xlfn.XLOOKUP(OrderDetails[[#This Row],[ProductID]],Product!A:A,Product!G:G,"Not Found")</f>
        <v>Produce</v>
      </c>
      <c r="J1324" s="15" t="str">
        <f>LOOKUP(MONTH(G1324),{1,4,7,10},{"Winter","Spring","Summer","Autumn"})</f>
        <v>Autumn</v>
      </c>
      <c r="K1324" s="15" t="str">
        <f>_xlfn.XLOOKUP(OrderDetails[[#This Row],[ProductID]],Product!A:A,Product!B:B,"Not Found")</f>
        <v>Tofu</v>
      </c>
    </row>
    <row r="1325" spans="1:11">
      <c r="A1325" s="2">
        <v>10750</v>
      </c>
      <c r="B1325" s="2">
        <v>45</v>
      </c>
      <c r="C1325" s="2">
        <v>9.5</v>
      </c>
      <c r="D1325" s="2">
        <v>40</v>
      </c>
      <c r="E1325" s="4">
        <v>0.15000000596046448</v>
      </c>
      <c r="F1325" s="1" t="str">
        <f>_xlfn.XLOOKUP(A1325,Orders!A:A,Orders!B:B,"not found")</f>
        <v>WARTH</v>
      </c>
      <c r="G1325" s="13">
        <f>_xlfn.XLOOKUP(OrderDetails[[#This Row],[OrderID]],Orders!A:A,Orders!C:C,"Not Found")</f>
        <v>35755</v>
      </c>
      <c r="H1325" s="16">
        <f>(OrderDetails[[#This Row],[UnitPrice]]*OrderDetails[[#This Row],[Quantity]])*(1-OrderDetails[[#This Row],[Discount]])</f>
        <v>322.9999977350235</v>
      </c>
      <c r="I1325" s="15" t="str">
        <f>_xlfn.XLOOKUP(OrderDetails[[#This Row],[ProductID]],Product!A:A,Product!G:G,"Not Found")</f>
        <v>Seafood</v>
      </c>
      <c r="J1325" s="15" t="str">
        <f>LOOKUP(MONTH(G1325),{1,4,7,10},{"Winter","Spring","Summer","Autumn"})</f>
        <v>Autumn</v>
      </c>
      <c r="K1325" s="15" t="str">
        <f>_xlfn.XLOOKUP(OrderDetails[[#This Row],[ProductID]],Product!A:A,Product!B:B,"Not Found")</f>
        <v>Rogede sild</v>
      </c>
    </row>
    <row r="1326" spans="1:11">
      <c r="A1326" s="1">
        <v>10750</v>
      </c>
      <c r="B1326" s="1">
        <v>59</v>
      </c>
      <c r="C1326" s="1">
        <v>55</v>
      </c>
      <c r="D1326" s="1">
        <v>25</v>
      </c>
      <c r="E1326" s="3">
        <v>0.15000000596046448</v>
      </c>
      <c r="F1326" s="1" t="str">
        <f>_xlfn.XLOOKUP(A1326,Orders!A:A,Orders!B:B,"not found")</f>
        <v>WARTH</v>
      </c>
      <c r="G1326" s="13">
        <f>_xlfn.XLOOKUP(OrderDetails[[#This Row],[OrderID]],Orders!A:A,Orders!C:C,"Not Found")</f>
        <v>35755</v>
      </c>
      <c r="H1326" s="16">
        <f>(OrderDetails[[#This Row],[UnitPrice]]*OrderDetails[[#This Row],[Quantity]])*(1-OrderDetails[[#This Row],[Discount]])</f>
        <v>1168.7499918043613</v>
      </c>
      <c r="I1326" s="15" t="str">
        <f>_xlfn.XLOOKUP(OrderDetails[[#This Row],[ProductID]],Product!A:A,Product!G:G,"Not Found")</f>
        <v>Dairy Products</v>
      </c>
      <c r="J1326" s="15" t="str">
        <f>LOOKUP(MONTH(G1326),{1,4,7,10},{"Winter","Spring","Summer","Autumn"})</f>
        <v>Autumn</v>
      </c>
      <c r="K1326" s="15" t="str">
        <f>_xlfn.XLOOKUP(OrderDetails[[#This Row],[ProductID]],Product!A:A,Product!B:B,"Not Found")</f>
        <v>Raclette Courdavault</v>
      </c>
    </row>
    <row r="1327" spans="1:11">
      <c r="A1327" s="2">
        <v>10751</v>
      </c>
      <c r="B1327" s="2">
        <v>26</v>
      </c>
      <c r="C1327" s="2">
        <v>31.23</v>
      </c>
      <c r="D1327" s="2">
        <v>12</v>
      </c>
      <c r="E1327" s="4">
        <v>0.10000000149011612</v>
      </c>
      <c r="F1327" s="1" t="str">
        <f>_xlfn.XLOOKUP(A1327,Orders!A:A,Orders!B:B,"not found")</f>
        <v>RICSU</v>
      </c>
      <c r="G1327" s="13">
        <f>_xlfn.XLOOKUP(OrderDetails[[#This Row],[OrderID]],Orders!A:A,Orders!C:C,"Not Found")</f>
        <v>35758</v>
      </c>
      <c r="H1327" s="16">
        <f>(OrderDetails[[#This Row],[UnitPrice]]*OrderDetails[[#This Row],[Quantity]])*(1-OrderDetails[[#This Row],[Discount]])</f>
        <v>337.28399944156405</v>
      </c>
      <c r="I1327" s="15" t="str">
        <f>_xlfn.XLOOKUP(OrderDetails[[#This Row],[ProductID]],Product!A:A,Product!G:G,"Not Found")</f>
        <v>Confections</v>
      </c>
      <c r="J1327" s="15" t="str">
        <f>LOOKUP(MONTH(G1327),{1,4,7,10},{"Winter","Spring","Summer","Autumn"})</f>
        <v>Autumn</v>
      </c>
      <c r="K1327" s="15" t="str">
        <f>_xlfn.XLOOKUP(OrderDetails[[#This Row],[ProductID]],Product!A:A,Product!B:B,"Not Found")</f>
        <v>Gumbär Gummibärchen</v>
      </c>
    </row>
    <row r="1328" spans="1:11">
      <c r="A1328" s="1">
        <v>10751</v>
      </c>
      <c r="B1328" s="1">
        <v>30</v>
      </c>
      <c r="C1328" s="1">
        <v>25.89</v>
      </c>
      <c r="D1328" s="1">
        <v>30</v>
      </c>
      <c r="E1328" s="3">
        <v>0</v>
      </c>
      <c r="F1328" s="1" t="str">
        <f>_xlfn.XLOOKUP(A1328,Orders!A:A,Orders!B:B,"not found")</f>
        <v>RICSU</v>
      </c>
      <c r="G1328" s="13">
        <f>_xlfn.XLOOKUP(OrderDetails[[#This Row],[OrderID]],Orders!A:A,Orders!C:C,"Not Found")</f>
        <v>35758</v>
      </c>
      <c r="H1328" s="16">
        <f>(OrderDetails[[#This Row],[UnitPrice]]*OrderDetails[[#This Row],[Quantity]])*(1-OrderDetails[[#This Row],[Discount]])</f>
        <v>776.7</v>
      </c>
      <c r="I1328" s="15" t="str">
        <f>_xlfn.XLOOKUP(OrderDetails[[#This Row],[ProductID]],Product!A:A,Product!G:G,"Not Found")</f>
        <v>Seafood</v>
      </c>
      <c r="J1328" s="15" t="str">
        <f>LOOKUP(MONTH(G1328),{1,4,7,10},{"Winter","Spring","Summer","Autumn"})</f>
        <v>Autumn</v>
      </c>
      <c r="K1328" s="15" t="str">
        <f>_xlfn.XLOOKUP(OrderDetails[[#This Row],[ProductID]],Product!A:A,Product!B:B,"Not Found")</f>
        <v>Nord-Ost Matjeshering</v>
      </c>
    </row>
    <row r="1329" spans="1:11">
      <c r="A1329" s="2">
        <v>10751</v>
      </c>
      <c r="B1329" s="2">
        <v>50</v>
      </c>
      <c r="C1329" s="2">
        <v>16.25</v>
      </c>
      <c r="D1329" s="2">
        <v>20</v>
      </c>
      <c r="E1329" s="4">
        <v>0.10000000149011612</v>
      </c>
      <c r="F1329" s="1" t="str">
        <f>_xlfn.XLOOKUP(A1329,Orders!A:A,Orders!B:B,"not found")</f>
        <v>RICSU</v>
      </c>
      <c r="G1329" s="13">
        <f>_xlfn.XLOOKUP(OrderDetails[[#This Row],[OrderID]],Orders!A:A,Orders!C:C,"Not Found")</f>
        <v>35758</v>
      </c>
      <c r="H1329" s="16">
        <f>(OrderDetails[[#This Row],[UnitPrice]]*OrderDetails[[#This Row],[Quantity]])*(1-OrderDetails[[#This Row],[Discount]])</f>
        <v>292.49999951571226</v>
      </c>
      <c r="I1329" s="15" t="str">
        <f>_xlfn.XLOOKUP(OrderDetails[[#This Row],[ProductID]],Product!A:A,Product!G:G,"Not Found")</f>
        <v>Confections</v>
      </c>
      <c r="J1329" s="15" t="str">
        <f>LOOKUP(MONTH(G1329),{1,4,7,10},{"Winter","Spring","Summer","Autumn"})</f>
        <v>Autumn</v>
      </c>
      <c r="K1329" s="15" t="str">
        <f>_xlfn.XLOOKUP(OrderDetails[[#This Row],[ProductID]],Product!A:A,Product!B:B,"Not Found")</f>
        <v>Valkoinen suklaa</v>
      </c>
    </row>
    <row r="1330" spans="1:11">
      <c r="A1330" s="1">
        <v>10751</v>
      </c>
      <c r="B1330" s="1">
        <v>73</v>
      </c>
      <c r="C1330" s="1">
        <v>15</v>
      </c>
      <c r="D1330" s="1">
        <v>15</v>
      </c>
      <c r="E1330" s="3">
        <v>0</v>
      </c>
      <c r="F1330" s="1" t="str">
        <f>_xlfn.XLOOKUP(A1330,Orders!A:A,Orders!B:B,"not found")</f>
        <v>RICSU</v>
      </c>
      <c r="G1330" s="13">
        <f>_xlfn.XLOOKUP(OrderDetails[[#This Row],[OrderID]],Orders!A:A,Orders!C:C,"Not Found")</f>
        <v>35758</v>
      </c>
      <c r="H1330" s="16">
        <f>(OrderDetails[[#This Row],[UnitPrice]]*OrderDetails[[#This Row],[Quantity]])*(1-OrderDetails[[#This Row],[Discount]])</f>
        <v>225</v>
      </c>
      <c r="I1330" s="15" t="str">
        <f>_xlfn.XLOOKUP(OrderDetails[[#This Row],[ProductID]],Product!A:A,Product!G:G,"Not Found")</f>
        <v>Seafood</v>
      </c>
      <c r="J1330" s="15" t="str">
        <f>LOOKUP(MONTH(G1330),{1,4,7,10},{"Winter","Spring","Summer","Autumn"})</f>
        <v>Autumn</v>
      </c>
      <c r="K1330" s="15" t="str">
        <f>_xlfn.XLOOKUP(OrderDetails[[#This Row],[ProductID]],Product!A:A,Product!B:B,"Not Found")</f>
        <v>Röd Kaviar</v>
      </c>
    </row>
    <row r="1331" spans="1:11">
      <c r="A1331" s="2">
        <v>10752</v>
      </c>
      <c r="B1331" s="2">
        <v>1</v>
      </c>
      <c r="C1331" s="2">
        <v>18</v>
      </c>
      <c r="D1331" s="2">
        <v>8</v>
      </c>
      <c r="E1331" s="4">
        <v>0</v>
      </c>
      <c r="F1331" s="1" t="str">
        <f>_xlfn.XLOOKUP(A1331,Orders!A:A,Orders!B:B,"not found")</f>
        <v>NORTS</v>
      </c>
      <c r="G1331" s="13">
        <f>_xlfn.XLOOKUP(OrderDetails[[#This Row],[OrderID]],Orders!A:A,Orders!C:C,"Not Found")</f>
        <v>35758</v>
      </c>
      <c r="H1331" s="16">
        <f>(OrderDetails[[#This Row],[UnitPrice]]*OrderDetails[[#This Row],[Quantity]])*(1-OrderDetails[[#This Row],[Discount]])</f>
        <v>144</v>
      </c>
      <c r="I1331" s="15" t="str">
        <f>_xlfn.XLOOKUP(OrderDetails[[#This Row],[ProductID]],Product!A:A,Product!G:G,"Not Found")</f>
        <v>Beverages</v>
      </c>
      <c r="J1331" s="15" t="str">
        <f>LOOKUP(MONTH(G1331),{1,4,7,10},{"Winter","Spring","Summer","Autumn"})</f>
        <v>Autumn</v>
      </c>
      <c r="K1331" s="15" t="str">
        <f>_xlfn.XLOOKUP(OrderDetails[[#This Row],[ProductID]],Product!A:A,Product!B:B,"Not Found")</f>
        <v>Chai</v>
      </c>
    </row>
    <row r="1332" spans="1:11">
      <c r="A1332" s="1">
        <v>10752</v>
      </c>
      <c r="B1332" s="1">
        <v>69</v>
      </c>
      <c r="C1332" s="1">
        <v>36</v>
      </c>
      <c r="D1332" s="1">
        <v>3</v>
      </c>
      <c r="E1332" s="3">
        <v>0</v>
      </c>
      <c r="F1332" s="1" t="str">
        <f>_xlfn.XLOOKUP(A1332,Orders!A:A,Orders!B:B,"not found")</f>
        <v>NORTS</v>
      </c>
      <c r="G1332" s="13">
        <f>_xlfn.XLOOKUP(OrderDetails[[#This Row],[OrderID]],Orders!A:A,Orders!C:C,"Not Found")</f>
        <v>35758</v>
      </c>
      <c r="H1332" s="16">
        <f>(OrderDetails[[#This Row],[UnitPrice]]*OrderDetails[[#This Row],[Quantity]])*(1-OrderDetails[[#This Row],[Discount]])</f>
        <v>108</v>
      </c>
      <c r="I1332" s="15" t="str">
        <f>_xlfn.XLOOKUP(OrderDetails[[#This Row],[ProductID]],Product!A:A,Product!G:G,"Not Found")</f>
        <v>Dairy Products</v>
      </c>
      <c r="J1332" s="15" t="str">
        <f>LOOKUP(MONTH(G1332),{1,4,7,10},{"Winter","Spring","Summer","Autumn"})</f>
        <v>Autumn</v>
      </c>
      <c r="K1332" s="15" t="str">
        <f>_xlfn.XLOOKUP(OrderDetails[[#This Row],[ProductID]],Product!A:A,Product!B:B,"Not Found")</f>
        <v>Gudbrandsdalsost</v>
      </c>
    </row>
    <row r="1333" spans="1:11">
      <c r="A1333" s="2">
        <v>10753</v>
      </c>
      <c r="B1333" s="2">
        <v>45</v>
      </c>
      <c r="C1333" s="2">
        <v>9.5</v>
      </c>
      <c r="D1333" s="2">
        <v>4</v>
      </c>
      <c r="E1333" s="4">
        <v>0</v>
      </c>
      <c r="F1333" s="1" t="str">
        <f>_xlfn.XLOOKUP(A1333,Orders!A:A,Orders!B:B,"not found")</f>
        <v>FRANS</v>
      </c>
      <c r="G1333" s="13">
        <f>_xlfn.XLOOKUP(OrderDetails[[#This Row],[OrderID]],Orders!A:A,Orders!C:C,"Not Found")</f>
        <v>35759</v>
      </c>
      <c r="H1333" s="16">
        <f>(OrderDetails[[#This Row],[UnitPrice]]*OrderDetails[[#This Row],[Quantity]])*(1-OrderDetails[[#This Row],[Discount]])</f>
        <v>38</v>
      </c>
      <c r="I1333" s="15" t="str">
        <f>_xlfn.XLOOKUP(OrderDetails[[#This Row],[ProductID]],Product!A:A,Product!G:G,"Not Found")</f>
        <v>Seafood</v>
      </c>
      <c r="J1333" s="15" t="str">
        <f>LOOKUP(MONTH(G1333),{1,4,7,10},{"Winter","Spring","Summer","Autumn"})</f>
        <v>Autumn</v>
      </c>
      <c r="K1333" s="15" t="str">
        <f>_xlfn.XLOOKUP(OrderDetails[[#This Row],[ProductID]],Product!A:A,Product!B:B,"Not Found")</f>
        <v>Rogede sild</v>
      </c>
    </row>
    <row r="1334" spans="1:11">
      <c r="A1334" s="1">
        <v>10753</v>
      </c>
      <c r="B1334" s="1">
        <v>74</v>
      </c>
      <c r="C1334" s="1">
        <v>10</v>
      </c>
      <c r="D1334" s="1">
        <v>5</v>
      </c>
      <c r="E1334" s="3">
        <v>0</v>
      </c>
      <c r="F1334" s="1" t="str">
        <f>_xlfn.XLOOKUP(A1334,Orders!A:A,Orders!B:B,"not found")</f>
        <v>FRANS</v>
      </c>
      <c r="G1334" s="13">
        <f>_xlfn.XLOOKUP(OrderDetails[[#This Row],[OrderID]],Orders!A:A,Orders!C:C,"Not Found")</f>
        <v>35759</v>
      </c>
      <c r="H1334" s="16">
        <f>(OrderDetails[[#This Row],[UnitPrice]]*OrderDetails[[#This Row],[Quantity]])*(1-OrderDetails[[#This Row],[Discount]])</f>
        <v>50</v>
      </c>
      <c r="I1334" s="15" t="str">
        <f>_xlfn.XLOOKUP(OrderDetails[[#This Row],[ProductID]],Product!A:A,Product!G:G,"Not Found")</f>
        <v>Produce</v>
      </c>
      <c r="J1334" s="15" t="str">
        <f>LOOKUP(MONTH(G1334),{1,4,7,10},{"Winter","Spring","Summer","Autumn"})</f>
        <v>Autumn</v>
      </c>
      <c r="K1334" s="15" t="str">
        <f>_xlfn.XLOOKUP(OrderDetails[[#This Row],[ProductID]],Product!A:A,Product!B:B,"Not Found")</f>
        <v>Longlife Tofu</v>
      </c>
    </row>
    <row r="1335" spans="1:11">
      <c r="A1335" s="2">
        <v>10754</v>
      </c>
      <c r="B1335" s="2">
        <v>40</v>
      </c>
      <c r="C1335" s="2">
        <v>18.399999999999999</v>
      </c>
      <c r="D1335" s="2">
        <v>3</v>
      </c>
      <c r="E1335" s="4">
        <v>0</v>
      </c>
      <c r="F1335" s="1" t="str">
        <f>_xlfn.XLOOKUP(A1335,Orders!A:A,Orders!B:B,"not found")</f>
        <v>MAGAA</v>
      </c>
      <c r="G1335" s="13">
        <f>_xlfn.XLOOKUP(OrderDetails[[#This Row],[OrderID]],Orders!A:A,Orders!C:C,"Not Found")</f>
        <v>35759</v>
      </c>
      <c r="H1335" s="16">
        <f>(OrderDetails[[#This Row],[UnitPrice]]*OrderDetails[[#This Row],[Quantity]])*(1-OrderDetails[[#This Row],[Discount]])</f>
        <v>55.199999999999996</v>
      </c>
      <c r="I1335" s="15" t="str">
        <f>_xlfn.XLOOKUP(OrderDetails[[#This Row],[ProductID]],Product!A:A,Product!G:G,"Not Found")</f>
        <v>Seafood</v>
      </c>
      <c r="J1335" s="15" t="str">
        <f>LOOKUP(MONTH(G1335),{1,4,7,10},{"Winter","Spring","Summer","Autumn"})</f>
        <v>Autumn</v>
      </c>
      <c r="K1335" s="15" t="str">
        <f>_xlfn.XLOOKUP(OrderDetails[[#This Row],[ProductID]],Product!A:A,Product!B:B,"Not Found")</f>
        <v>Boston Crab Meat</v>
      </c>
    </row>
    <row r="1336" spans="1:11">
      <c r="A1336" s="1">
        <v>10755</v>
      </c>
      <c r="B1336" s="1">
        <v>47</v>
      </c>
      <c r="C1336" s="1">
        <v>9.5</v>
      </c>
      <c r="D1336" s="1">
        <v>30</v>
      </c>
      <c r="E1336" s="3">
        <v>0.25</v>
      </c>
      <c r="F1336" s="1" t="str">
        <f>_xlfn.XLOOKUP(A1336,Orders!A:A,Orders!B:B,"not found")</f>
        <v>BONAP</v>
      </c>
      <c r="G1336" s="13">
        <f>_xlfn.XLOOKUP(OrderDetails[[#This Row],[OrderID]],Orders!A:A,Orders!C:C,"Not Found")</f>
        <v>35760</v>
      </c>
      <c r="H1336" s="16">
        <f>(OrderDetails[[#This Row],[UnitPrice]]*OrderDetails[[#This Row],[Quantity]])*(1-OrderDetails[[#This Row],[Discount]])</f>
        <v>213.75</v>
      </c>
      <c r="I1336" s="15" t="str">
        <f>_xlfn.XLOOKUP(OrderDetails[[#This Row],[ProductID]],Product!A:A,Product!G:G,"Not Found")</f>
        <v>Confections</v>
      </c>
      <c r="J1336" s="15" t="str">
        <f>LOOKUP(MONTH(G1336),{1,4,7,10},{"Winter","Spring","Summer","Autumn"})</f>
        <v>Autumn</v>
      </c>
      <c r="K1336" s="15" t="str">
        <f>_xlfn.XLOOKUP(OrderDetails[[#This Row],[ProductID]],Product!A:A,Product!B:B,"Not Found")</f>
        <v>Zaanse koeken</v>
      </c>
    </row>
    <row r="1337" spans="1:11">
      <c r="A1337" s="2">
        <v>10755</v>
      </c>
      <c r="B1337" s="2">
        <v>56</v>
      </c>
      <c r="C1337" s="2">
        <v>38</v>
      </c>
      <c r="D1337" s="2">
        <v>30</v>
      </c>
      <c r="E1337" s="4">
        <v>0.25</v>
      </c>
      <c r="F1337" s="1" t="str">
        <f>_xlfn.XLOOKUP(A1337,Orders!A:A,Orders!B:B,"not found")</f>
        <v>BONAP</v>
      </c>
      <c r="G1337" s="13">
        <f>_xlfn.XLOOKUP(OrderDetails[[#This Row],[OrderID]],Orders!A:A,Orders!C:C,"Not Found")</f>
        <v>35760</v>
      </c>
      <c r="H1337" s="16">
        <f>(OrderDetails[[#This Row],[UnitPrice]]*OrderDetails[[#This Row],[Quantity]])*(1-OrderDetails[[#This Row],[Discount]])</f>
        <v>855</v>
      </c>
      <c r="I1337" s="15" t="str">
        <f>_xlfn.XLOOKUP(OrderDetails[[#This Row],[ProductID]],Product!A:A,Product!G:G,"Not Found")</f>
        <v>Grains/Cereals</v>
      </c>
      <c r="J1337" s="15" t="str">
        <f>LOOKUP(MONTH(G1337),{1,4,7,10},{"Winter","Spring","Summer","Autumn"})</f>
        <v>Autumn</v>
      </c>
      <c r="K1337" s="15" t="str">
        <f>_xlfn.XLOOKUP(OrderDetails[[#This Row],[ProductID]],Product!A:A,Product!B:B,"Not Found")</f>
        <v>Gnocchi di nonna Alice</v>
      </c>
    </row>
    <row r="1338" spans="1:11">
      <c r="A1338" s="1">
        <v>10755</v>
      </c>
      <c r="B1338" s="1">
        <v>57</v>
      </c>
      <c r="C1338" s="1">
        <v>19.5</v>
      </c>
      <c r="D1338" s="1">
        <v>14</v>
      </c>
      <c r="E1338" s="3">
        <v>0.25</v>
      </c>
      <c r="F1338" s="1" t="str">
        <f>_xlfn.XLOOKUP(A1338,Orders!A:A,Orders!B:B,"not found")</f>
        <v>BONAP</v>
      </c>
      <c r="G1338" s="13">
        <f>_xlfn.XLOOKUP(OrderDetails[[#This Row],[OrderID]],Orders!A:A,Orders!C:C,"Not Found")</f>
        <v>35760</v>
      </c>
      <c r="H1338" s="16">
        <f>(OrderDetails[[#This Row],[UnitPrice]]*OrderDetails[[#This Row],[Quantity]])*(1-OrderDetails[[#This Row],[Discount]])</f>
        <v>204.75</v>
      </c>
      <c r="I1338" s="15" t="str">
        <f>_xlfn.XLOOKUP(OrderDetails[[#This Row],[ProductID]],Product!A:A,Product!G:G,"Not Found")</f>
        <v>Grains/Cereals</v>
      </c>
      <c r="J1338" s="15" t="str">
        <f>LOOKUP(MONTH(G1338),{1,4,7,10},{"Winter","Spring","Summer","Autumn"})</f>
        <v>Autumn</v>
      </c>
      <c r="K1338" s="15" t="str">
        <f>_xlfn.XLOOKUP(OrderDetails[[#This Row],[ProductID]],Product!A:A,Product!B:B,"Not Found")</f>
        <v>Ravioli Angelo</v>
      </c>
    </row>
    <row r="1339" spans="1:11">
      <c r="A1339" s="2">
        <v>10755</v>
      </c>
      <c r="B1339" s="2">
        <v>69</v>
      </c>
      <c r="C1339" s="2">
        <v>36</v>
      </c>
      <c r="D1339" s="2">
        <v>25</v>
      </c>
      <c r="E1339" s="4">
        <v>0.25</v>
      </c>
      <c r="F1339" s="1" t="str">
        <f>_xlfn.XLOOKUP(A1339,Orders!A:A,Orders!B:B,"not found")</f>
        <v>BONAP</v>
      </c>
      <c r="G1339" s="13">
        <f>_xlfn.XLOOKUP(OrderDetails[[#This Row],[OrderID]],Orders!A:A,Orders!C:C,"Not Found")</f>
        <v>35760</v>
      </c>
      <c r="H1339" s="16">
        <f>(OrderDetails[[#This Row],[UnitPrice]]*OrderDetails[[#This Row],[Quantity]])*(1-OrderDetails[[#This Row],[Discount]])</f>
        <v>675</v>
      </c>
      <c r="I1339" s="15" t="str">
        <f>_xlfn.XLOOKUP(OrderDetails[[#This Row],[ProductID]],Product!A:A,Product!G:G,"Not Found")</f>
        <v>Dairy Products</v>
      </c>
      <c r="J1339" s="15" t="str">
        <f>LOOKUP(MONTH(G1339),{1,4,7,10},{"Winter","Spring","Summer","Autumn"})</f>
        <v>Autumn</v>
      </c>
      <c r="K1339" s="15" t="str">
        <f>_xlfn.XLOOKUP(OrderDetails[[#This Row],[ProductID]],Product!A:A,Product!B:B,"Not Found")</f>
        <v>Gudbrandsdalsost</v>
      </c>
    </row>
    <row r="1340" spans="1:11">
      <c r="A1340" s="1">
        <v>10756</v>
      </c>
      <c r="B1340" s="1">
        <v>18</v>
      </c>
      <c r="C1340" s="1">
        <v>62.5</v>
      </c>
      <c r="D1340" s="1">
        <v>21</v>
      </c>
      <c r="E1340" s="3">
        <v>0.20000000298023224</v>
      </c>
      <c r="F1340" s="1" t="str">
        <f>_xlfn.XLOOKUP(A1340,Orders!A:A,Orders!B:B,"not found")</f>
        <v>SPLIR</v>
      </c>
      <c r="G1340" s="13">
        <f>_xlfn.XLOOKUP(OrderDetails[[#This Row],[OrderID]],Orders!A:A,Orders!C:C,"Not Found")</f>
        <v>35761</v>
      </c>
      <c r="H1340" s="16">
        <f>(OrderDetails[[#This Row],[UnitPrice]]*OrderDetails[[#This Row],[Quantity]])*(1-OrderDetails[[#This Row],[Discount]])</f>
        <v>1049.9999960884452</v>
      </c>
      <c r="I1340" s="15" t="str">
        <f>_xlfn.XLOOKUP(OrderDetails[[#This Row],[ProductID]],Product!A:A,Product!G:G,"Not Found")</f>
        <v>Seafood</v>
      </c>
      <c r="J1340" s="15" t="str">
        <f>LOOKUP(MONTH(G1340),{1,4,7,10},{"Winter","Spring","Summer","Autumn"})</f>
        <v>Autumn</v>
      </c>
      <c r="K1340" s="15" t="str">
        <f>_xlfn.XLOOKUP(OrderDetails[[#This Row],[ProductID]],Product!A:A,Product!B:B,"Not Found")</f>
        <v>Carnarvon Tigers</v>
      </c>
    </row>
    <row r="1341" spans="1:11">
      <c r="A1341" s="2">
        <v>10756</v>
      </c>
      <c r="B1341" s="2">
        <v>36</v>
      </c>
      <c r="C1341" s="2">
        <v>19</v>
      </c>
      <c r="D1341" s="2">
        <v>20</v>
      </c>
      <c r="E1341" s="4">
        <v>0.20000000298023224</v>
      </c>
      <c r="F1341" s="1" t="str">
        <f>_xlfn.XLOOKUP(A1341,Orders!A:A,Orders!B:B,"not found")</f>
        <v>SPLIR</v>
      </c>
      <c r="G1341" s="13">
        <f>_xlfn.XLOOKUP(OrderDetails[[#This Row],[OrderID]],Orders!A:A,Orders!C:C,"Not Found")</f>
        <v>35761</v>
      </c>
      <c r="H1341" s="16">
        <f>(OrderDetails[[#This Row],[UnitPrice]]*OrderDetails[[#This Row],[Quantity]])*(1-OrderDetails[[#This Row],[Discount]])</f>
        <v>303.99999886751175</v>
      </c>
      <c r="I1341" s="15" t="str">
        <f>_xlfn.XLOOKUP(OrderDetails[[#This Row],[ProductID]],Product!A:A,Product!G:G,"Not Found")</f>
        <v>Seafood</v>
      </c>
      <c r="J1341" s="15" t="str">
        <f>LOOKUP(MONTH(G1341),{1,4,7,10},{"Winter","Spring","Summer","Autumn"})</f>
        <v>Autumn</v>
      </c>
      <c r="K1341" s="15" t="str">
        <f>_xlfn.XLOOKUP(OrderDetails[[#This Row],[ProductID]],Product!A:A,Product!B:B,"Not Found")</f>
        <v>Inlagd Sill</v>
      </c>
    </row>
    <row r="1342" spans="1:11">
      <c r="A1342" s="1">
        <v>10756</v>
      </c>
      <c r="B1342" s="1">
        <v>68</v>
      </c>
      <c r="C1342" s="1">
        <v>12.5</v>
      </c>
      <c r="D1342" s="1">
        <v>6</v>
      </c>
      <c r="E1342" s="3">
        <v>0.20000000298023224</v>
      </c>
      <c r="F1342" s="1" t="str">
        <f>_xlfn.XLOOKUP(A1342,Orders!A:A,Orders!B:B,"not found")</f>
        <v>SPLIR</v>
      </c>
      <c r="G1342" s="13">
        <f>_xlfn.XLOOKUP(OrderDetails[[#This Row],[OrderID]],Orders!A:A,Orders!C:C,"Not Found")</f>
        <v>35761</v>
      </c>
      <c r="H1342" s="16">
        <f>(OrderDetails[[#This Row],[UnitPrice]]*OrderDetails[[#This Row],[Quantity]])*(1-OrderDetails[[#This Row],[Discount]])</f>
        <v>59.999999776482582</v>
      </c>
      <c r="I1342" s="15" t="str">
        <f>_xlfn.XLOOKUP(OrderDetails[[#This Row],[ProductID]],Product!A:A,Product!G:G,"Not Found")</f>
        <v>Confections</v>
      </c>
      <c r="J1342" s="15" t="str">
        <f>LOOKUP(MONTH(G1342),{1,4,7,10},{"Winter","Spring","Summer","Autumn"})</f>
        <v>Autumn</v>
      </c>
      <c r="K1342" s="15" t="str">
        <f>_xlfn.XLOOKUP(OrderDetails[[#This Row],[ProductID]],Product!A:A,Product!B:B,"Not Found")</f>
        <v>Scottish Longbreads</v>
      </c>
    </row>
    <row r="1343" spans="1:11">
      <c r="A1343" s="2">
        <v>10756</v>
      </c>
      <c r="B1343" s="2">
        <v>69</v>
      </c>
      <c r="C1343" s="2">
        <v>36</v>
      </c>
      <c r="D1343" s="2">
        <v>20</v>
      </c>
      <c r="E1343" s="4">
        <v>0.20000000298023224</v>
      </c>
      <c r="F1343" s="1" t="str">
        <f>_xlfn.XLOOKUP(A1343,Orders!A:A,Orders!B:B,"not found")</f>
        <v>SPLIR</v>
      </c>
      <c r="G1343" s="13">
        <f>_xlfn.XLOOKUP(OrderDetails[[#This Row],[OrderID]],Orders!A:A,Orders!C:C,"Not Found")</f>
        <v>35761</v>
      </c>
      <c r="H1343" s="16">
        <f>(OrderDetails[[#This Row],[UnitPrice]]*OrderDetails[[#This Row],[Quantity]])*(1-OrderDetails[[#This Row],[Discount]])</f>
        <v>575.99999785423279</v>
      </c>
      <c r="I1343" s="15" t="str">
        <f>_xlfn.XLOOKUP(OrderDetails[[#This Row],[ProductID]],Product!A:A,Product!G:G,"Not Found")</f>
        <v>Dairy Products</v>
      </c>
      <c r="J1343" s="15" t="str">
        <f>LOOKUP(MONTH(G1343),{1,4,7,10},{"Winter","Spring","Summer","Autumn"})</f>
        <v>Autumn</v>
      </c>
      <c r="K1343" s="15" t="str">
        <f>_xlfn.XLOOKUP(OrderDetails[[#This Row],[ProductID]],Product!A:A,Product!B:B,"Not Found")</f>
        <v>Gudbrandsdalsost</v>
      </c>
    </row>
    <row r="1344" spans="1:11">
      <c r="A1344" s="1">
        <v>10757</v>
      </c>
      <c r="B1344" s="1">
        <v>34</v>
      </c>
      <c r="C1344" s="1">
        <v>14</v>
      </c>
      <c r="D1344" s="1">
        <v>30</v>
      </c>
      <c r="E1344" s="3">
        <v>0</v>
      </c>
      <c r="F1344" s="1" t="str">
        <f>_xlfn.XLOOKUP(A1344,Orders!A:A,Orders!B:B,"not found")</f>
        <v>SAVEA</v>
      </c>
      <c r="G1344" s="13">
        <f>_xlfn.XLOOKUP(OrderDetails[[#This Row],[OrderID]],Orders!A:A,Orders!C:C,"Not Found")</f>
        <v>35761</v>
      </c>
      <c r="H1344" s="16">
        <f>(OrderDetails[[#This Row],[UnitPrice]]*OrderDetails[[#This Row],[Quantity]])*(1-OrderDetails[[#This Row],[Discount]])</f>
        <v>420</v>
      </c>
      <c r="I1344" s="15" t="str">
        <f>_xlfn.XLOOKUP(OrderDetails[[#This Row],[ProductID]],Product!A:A,Product!G:G,"Not Found")</f>
        <v>Beverages</v>
      </c>
      <c r="J1344" s="15" t="str">
        <f>LOOKUP(MONTH(G1344),{1,4,7,10},{"Winter","Spring","Summer","Autumn"})</f>
        <v>Autumn</v>
      </c>
      <c r="K1344" s="15" t="str">
        <f>_xlfn.XLOOKUP(OrderDetails[[#This Row],[ProductID]],Product!A:A,Product!B:B,"Not Found")</f>
        <v>Sasquatch Ale</v>
      </c>
    </row>
    <row r="1345" spans="1:11">
      <c r="A1345" s="2">
        <v>10757</v>
      </c>
      <c r="B1345" s="2">
        <v>59</v>
      </c>
      <c r="C1345" s="2">
        <v>55</v>
      </c>
      <c r="D1345" s="2">
        <v>7</v>
      </c>
      <c r="E1345" s="4">
        <v>0</v>
      </c>
      <c r="F1345" s="1" t="str">
        <f>_xlfn.XLOOKUP(A1345,Orders!A:A,Orders!B:B,"not found")</f>
        <v>SAVEA</v>
      </c>
      <c r="G1345" s="13">
        <f>_xlfn.XLOOKUP(OrderDetails[[#This Row],[OrderID]],Orders!A:A,Orders!C:C,"Not Found")</f>
        <v>35761</v>
      </c>
      <c r="H1345" s="16">
        <f>(OrderDetails[[#This Row],[UnitPrice]]*OrderDetails[[#This Row],[Quantity]])*(1-OrderDetails[[#This Row],[Discount]])</f>
        <v>385</v>
      </c>
      <c r="I1345" s="15" t="str">
        <f>_xlfn.XLOOKUP(OrderDetails[[#This Row],[ProductID]],Product!A:A,Product!G:G,"Not Found")</f>
        <v>Dairy Products</v>
      </c>
      <c r="J1345" s="15" t="str">
        <f>LOOKUP(MONTH(G1345),{1,4,7,10},{"Winter","Spring","Summer","Autumn"})</f>
        <v>Autumn</v>
      </c>
      <c r="K1345" s="15" t="str">
        <f>_xlfn.XLOOKUP(OrderDetails[[#This Row],[ProductID]],Product!A:A,Product!B:B,"Not Found")</f>
        <v>Raclette Courdavault</v>
      </c>
    </row>
    <row r="1346" spans="1:11">
      <c r="A1346" s="1">
        <v>10757</v>
      </c>
      <c r="B1346" s="1">
        <v>62</v>
      </c>
      <c r="C1346" s="1">
        <v>49.3</v>
      </c>
      <c r="D1346" s="1">
        <v>30</v>
      </c>
      <c r="E1346" s="3">
        <v>0</v>
      </c>
      <c r="F1346" s="1" t="str">
        <f>_xlfn.XLOOKUP(A1346,Orders!A:A,Orders!B:B,"not found")</f>
        <v>SAVEA</v>
      </c>
      <c r="G1346" s="13">
        <f>_xlfn.XLOOKUP(OrderDetails[[#This Row],[OrderID]],Orders!A:A,Orders!C:C,"Not Found")</f>
        <v>35761</v>
      </c>
      <c r="H1346" s="16">
        <f>(OrderDetails[[#This Row],[UnitPrice]]*OrderDetails[[#This Row],[Quantity]])*(1-OrderDetails[[#This Row],[Discount]])</f>
        <v>1479</v>
      </c>
      <c r="I1346" s="15" t="str">
        <f>_xlfn.XLOOKUP(OrderDetails[[#This Row],[ProductID]],Product!A:A,Product!G:G,"Not Found")</f>
        <v>Confections</v>
      </c>
      <c r="J1346" s="15" t="str">
        <f>LOOKUP(MONTH(G1346),{1,4,7,10},{"Winter","Spring","Summer","Autumn"})</f>
        <v>Autumn</v>
      </c>
      <c r="K1346" s="15" t="str">
        <f>_xlfn.XLOOKUP(OrderDetails[[#This Row],[ProductID]],Product!A:A,Product!B:B,"Not Found")</f>
        <v>Tarte au sucre</v>
      </c>
    </row>
    <row r="1347" spans="1:11">
      <c r="A1347" s="2">
        <v>10757</v>
      </c>
      <c r="B1347" s="2">
        <v>64</v>
      </c>
      <c r="C1347" s="2">
        <v>33.25</v>
      </c>
      <c r="D1347" s="2">
        <v>24</v>
      </c>
      <c r="E1347" s="4">
        <v>0</v>
      </c>
      <c r="F1347" s="1" t="str">
        <f>_xlfn.XLOOKUP(A1347,Orders!A:A,Orders!B:B,"not found")</f>
        <v>SAVEA</v>
      </c>
      <c r="G1347" s="13">
        <f>_xlfn.XLOOKUP(OrderDetails[[#This Row],[OrderID]],Orders!A:A,Orders!C:C,"Not Found")</f>
        <v>35761</v>
      </c>
      <c r="H1347" s="16">
        <f>(OrderDetails[[#This Row],[UnitPrice]]*OrderDetails[[#This Row],[Quantity]])*(1-OrderDetails[[#This Row],[Discount]])</f>
        <v>798</v>
      </c>
      <c r="I1347" s="15" t="str">
        <f>_xlfn.XLOOKUP(OrderDetails[[#This Row],[ProductID]],Product!A:A,Product!G:G,"Not Found")</f>
        <v>Grains/Cereals</v>
      </c>
      <c r="J1347" s="15" t="str">
        <f>LOOKUP(MONTH(G1347),{1,4,7,10},{"Winter","Spring","Summer","Autumn"})</f>
        <v>Autumn</v>
      </c>
      <c r="K1347" s="15" t="str">
        <f>_xlfn.XLOOKUP(OrderDetails[[#This Row],[ProductID]],Product!A:A,Product!B:B,"Not Found")</f>
        <v>Wimmers gute Semmelknödel</v>
      </c>
    </row>
    <row r="1348" spans="1:11">
      <c r="A1348" s="1">
        <v>10758</v>
      </c>
      <c r="B1348" s="1">
        <v>26</v>
      </c>
      <c r="C1348" s="1">
        <v>31.23</v>
      </c>
      <c r="D1348" s="1">
        <v>20</v>
      </c>
      <c r="E1348" s="3">
        <v>0</v>
      </c>
      <c r="F1348" s="1" t="str">
        <f>_xlfn.XLOOKUP(A1348,Orders!A:A,Orders!B:B,"not found")</f>
        <v>RICSU</v>
      </c>
      <c r="G1348" s="13">
        <f>_xlfn.XLOOKUP(OrderDetails[[#This Row],[OrderID]],Orders!A:A,Orders!C:C,"Not Found")</f>
        <v>35762</v>
      </c>
      <c r="H1348" s="16">
        <f>(OrderDetails[[#This Row],[UnitPrice]]*OrderDetails[[#This Row],[Quantity]])*(1-OrderDetails[[#This Row],[Discount]])</f>
        <v>624.6</v>
      </c>
      <c r="I1348" s="15" t="str">
        <f>_xlfn.XLOOKUP(OrderDetails[[#This Row],[ProductID]],Product!A:A,Product!G:G,"Not Found")</f>
        <v>Confections</v>
      </c>
      <c r="J1348" s="15" t="str">
        <f>LOOKUP(MONTH(G1348),{1,4,7,10},{"Winter","Spring","Summer","Autumn"})</f>
        <v>Autumn</v>
      </c>
      <c r="K1348" s="15" t="str">
        <f>_xlfn.XLOOKUP(OrderDetails[[#This Row],[ProductID]],Product!A:A,Product!B:B,"Not Found")</f>
        <v>Gumbär Gummibärchen</v>
      </c>
    </row>
    <row r="1349" spans="1:11">
      <c r="A1349" s="2">
        <v>10758</v>
      </c>
      <c r="B1349" s="2">
        <v>52</v>
      </c>
      <c r="C1349" s="2">
        <v>7</v>
      </c>
      <c r="D1349" s="2">
        <v>60</v>
      </c>
      <c r="E1349" s="4">
        <v>0</v>
      </c>
      <c r="F1349" s="1" t="str">
        <f>_xlfn.XLOOKUP(A1349,Orders!A:A,Orders!B:B,"not found")</f>
        <v>RICSU</v>
      </c>
      <c r="G1349" s="13">
        <f>_xlfn.XLOOKUP(OrderDetails[[#This Row],[OrderID]],Orders!A:A,Orders!C:C,"Not Found")</f>
        <v>35762</v>
      </c>
      <c r="H1349" s="16">
        <f>(OrderDetails[[#This Row],[UnitPrice]]*OrderDetails[[#This Row],[Quantity]])*(1-OrderDetails[[#This Row],[Discount]])</f>
        <v>420</v>
      </c>
      <c r="I1349" s="15" t="str">
        <f>_xlfn.XLOOKUP(OrderDetails[[#This Row],[ProductID]],Product!A:A,Product!G:G,"Not Found")</f>
        <v>Grains/Cereals</v>
      </c>
      <c r="J1349" s="15" t="str">
        <f>LOOKUP(MONTH(G1349),{1,4,7,10},{"Winter","Spring","Summer","Autumn"})</f>
        <v>Autumn</v>
      </c>
      <c r="K1349" s="15" t="str">
        <f>_xlfn.XLOOKUP(OrderDetails[[#This Row],[ProductID]],Product!A:A,Product!B:B,"Not Found")</f>
        <v>Filo Mix</v>
      </c>
    </row>
    <row r="1350" spans="1:11">
      <c r="A1350" s="1">
        <v>10758</v>
      </c>
      <c r="B1350" s="1">
        <v>70</v>
      </c>
      <c r="C1350" s="1">
        <v>15</v>
      </c>
      <c r="D1350" s="1">
        <v>40</v>
      </c>
      <c r="E1350" s="3">
        <v>0</v>
      </c>
      <c r="F1350" s="1" t="str">
        <f>_xlfn.XLOOKUP(A1350,Orders!A:A,Orders!B:B,"not found")</f>
        <v>RICSU</v>
      </c>
      <c r="G1350" s="13">
        <f>_xlfn.XLOOKUP(OrderDetails[[#This Row],[OrderID]],Orders!A:A,Orders!C:C,"Not Found")</f>
        <v>35762</v>
      </c>
      <c r="H1350" s="16">
        <f>(OrderDetails[[#This Row],[UnitPrice]]*OrderDetails[[#This Row],[Quantity]])*(1-OrderDetails[[#This Row],[Discount]])</f>
        <v>600</v>
      </c>
      <c r="I1350" s="15" t="str">
        <f>_xlfn.XLOOKUP(OrderDetails[[#This Row],[ProductID]],Product!A:A,Product!G:G,"Not Found")</f>
        <v>Beverages</v>
      </c>
      <c r="J1350" s="15" t="str">
        <f>LOOKUP(MONTH(G1350),{1,4,7,10},{"Winter","Spring","Summer","Autumn"})</f>
        <v>Autumn</v>
      </c>
      <c r="K1350" s="15" t="str">
        <f>_xlfn.XLOOKUP(OrderDetails[[#This Row],[ProductID]],Product!A:A,Product!B:B,"Not Found")</f>
        <v>Outback Lager</v>
      </c>
    </row>
    <row r="1351" spans="1:11">
      <c r="A1351" s="2">
        <v>10759</v>
      </c>
      <c r="B1351" s="2">
        <v>32</v>
      </c>
      <c r="C1351" s="2">
        <v>32</v>
      </c>
      <c r="D1351" s="2">
        <v>10</v>
      </c>
      <c r="E1351" s="4">
        <v>0</v>
      </c>
      <c r="F1351" s="1" t="str">
        <f>_xlfn.XLOOKUP(A1351,Orders!A:A,Orders!B:B,"not found")</f>
        <v>ANATR</v>
      </c>
      <c r="G1351" s="13">
        <f>_xlfn.XLOOKUP(OrderDetails[[#This Row],[OrderID]],Orders!A:A,Orders!C:C,"Not Found")</f>
        <v>35762</v>
      </c>
      <c r="H1351" s="16">
        <f>(OrderDetails[[#This Row],[UnitPrice]]*OrderDetails[[#This Row],[Quantity]])*(1-OrderDetails[[#This Row],[Discount]])</f>
        <v>320</v>
      </c>
      <c r="I1351" s="15" t="str">
        <f>_xlfn.XLOOKUP(OrderDetails[[#This Row],[ProductID]],Product!A:A,Product!G:G,"Not Found")</f>
        <v>Dairy Products</v>
      </c>
      <c r="J1351" s="15" t="str">
        <f>LOOKUP(MONTH(G1351),{1,4,7,10},{"Winter","Spring","Summer","Autumn"})</f>
        <v>Autumn</v>
      </c>
      <c r="K1351" s="15" t="str">
        <f>_xlfn.XLOOKUP(OrderDetails[[#This Row],[ProductID]],Product!A:A,Product!B:B,"Not Found")</f>
        <v>Mascarpone Fabioli</v>
      </c>
    </row>
    <row r="1352" spans="1:11">
      <c r="A1352" s="1">
        <v>10760</v>
      </c>
      <c r="B1352" s="1">
        <v>25</v>
      </c>
      <c r="C1352" s="1">
        <v>14</v>
      </c>
      <c r="D1352" s="1">
        <v>12</v>
      </c>
      <c r="E1352" s="3">
        <v>0.25</v>
      </c>
      <c r="F1352" s="1" t="str">
        <f>_xlfn.XLOOKUP(A1352,Orders!A:A,Orders!B:B,"not found")</f>
        <v>MAISD</v>
      </c>
      <c r="G1352" s="13">
        <f>_xlfn.XLOOKUP(OrderDetails[[#This Row],[OrderID]],Orders!A:A,Orders!C:C,"Not Found")</f>
        <v>35765</v>
      </c>
      <c r="H1352" s="16">
        <f>(OrderDetails[[#This Row],[UnitPrice]]*OrderDetails[[#This Row],[Quantity]])*(1-OrderDetails[[#This Row],[Discount]])</f>
        <v>126</v>
      </c>
      <c r="I1352" s="15" t="str">
        <f>_xlfn.XLOOKUP(OrderDetails[[#This Row],[ProductID]],Product!A:A,Product!G:G,"Not Found")</f>
        <v>Confections</v>
      </c>
      <c r="J1352" s="15" t="str">
        <f>LOOKUP(MONTH(G1352),{1,4,7,10},{"Winter","Spring","Summer","Autumn"})</f>
        <v>Autumn</v>
      </c>
      <c r="K1352" s="15" t="str">
        <f>_xlfn.XLOOKUP(OrderDetails[[#This Row],[ProductID]],Product!A:A,Product!B:B,"Not Found")</f>
        <v>NuNuCa Nuß-Nougat-Creme</v>
      </c>
    </row>
    <row r="1353" spans="1:11">
      <c r="A1353" s="2">
        <v>10760</v>
      </c>
      <c r="B1353" s="2">
        <v>27</v>
      </c>
      <c r="C1353" s="2">
        <v>43.9</v>
      </c>
      <c r="D1353" s="2">
        <v>40</v>
      </c>
      <c r="E1353" s="4">
        <v>0</v>
      </c>
      <c r="F1353" s="1" t="str">
        <f>_xlfn.XLOOKUP(A1353,Orders!A:A,Orders!B:B,"not found")</f>
        <v>MAISD</v>
      </c>
      <c r="G1353" s="13">
        <f>_xlfn.XLOOKUP(OrderDetails[[#This Row],[OrderID]],Orders!A:A,Orders!C:C,"Not Found")</f>
        <v>35765</v>
      </c>
      <c r="H1353" s="16">
        <f>(OrderDetails[[#This Row],[UnitPrice]]*OrderDetails[[#This Row],[Quantity]])*(1-OrderDetails[[#This Row],[Discount]])</f>
        <v>1756</v>
      </c>
      <c r="I1353" s="15" t="str">
        <f>_xlfn.XLOOKUP(OrderDetails[[#This Row],[ProductID]],Product!A:A,Product!G:G,"Not Found")</f>
        <v>Confections</v>
      </c>
      <c r="J1353" s="15" t="str">
        <f>LOOKUP(MONTH(G1353),{1,4,7,10},{"Winter","Spring","Summer","Autumn"})</f>
        <v>Autumn</v>
      </c>
      <c r="K1353" s="15" t="str">
        <f>_xlfn.XLOOKUP(OrderDetails[[#This Row],[ProductID]],Product!A:A,Product!B:B,"Not Found")</f>
        <v>Schoggi Schokolade</v>
      </c>
    </row>
    <row r="1354" spans="1:11">
      <c r="A1354" s="1">
        <v>10760</v>
      </c>
      <c r="B1354" s="1">
        <v>43</v>
      </c>
      <c r="C1354" s="1">
        <v>46</v>
      </c>
      <c r="D1354" s="1">
        <v>30</v>
      </c>
      <c r="E1354" s="3">
        <v>0.25</v>
      </c>
      <c r="F1354" s="1" t="str">
        <f>_xlfn.XLOOKUP(A1354,Orders!A:A,Orders!B:B,"not found")</f>
        <v>MAISD</v>
      </c>
      <c r="G1354" s="13">
        <f>_xlfn.XLOOKUP(OrderDetails[[#This Row],[OrderID]],Orders!A:A,Orders!C:C,"Not Found")</f>
        <v>35765</v>
      </c>
      <c r="H1354" s="16">
        <f>(OrderDetails[[#This Row],[UnitPrice]]*OrderDetails[[#This Row],[Quantity]])*(1-OrderDetails[[#This Row],[Discount]])</f>
        <v>1035</v>
      </c>
      <c r="I1354" s="15" t="str">
        <f>_xlfn.XLOOKUP(OrderDetails[[#This Row],[ProductID]],Product!A:A,Product!G:G,"Not Found")</f>
        <v>Beverages</v>
      </c>
      <c r="J1354" s="15" t="str">
        <f>LOOKUP(MONTH(G1354),{1,4,7,10},{"Winter","Spring","Summer","Autumn"})</f>
        <v>Autumn</v>
      </c>
      <c r="K1354" s="15" t="str">
        <f>_xlfn.XLOOKUP(OrderDetails[[#This Row],[ProductID]],Product!A:A,Product!B:B,"Not Found")</f>
        <v>Ipoh Coffee</v>
      </c>
    </row>
    <row r="1355" spans="1:11">
      <c r="A1355" s="2">
        <v>10761</v>
      </c>
      <c r="B1355" s="2">
        <v>25</v>
      </c>
      <c r="C1355" s="2">
        <v>14</v>
      </c>
      <c r="D1355" s="2">
        <v>35</v>
      </c>
      <c r="E1355" s="4">
        <v>0.25</v>
      </c>
      <c r="F1355" s="1" t="str">
        <f>_xlfn.XLOOKUP(A1355,Orders!A:A,Orders!B:B,"not found")</f>
        <v>RATTC</v>
      </c>
      <c r="G1355" s="13">
        <f>_xlfn.XLOOKUP(OrderDetails[[#This Row],[OrderID]],Orders!A:A,Orders!C:C,"Not Found")</f>
        <v>35766</v>
      </c>
      <c r="H1355" s="16">
        <f>(OrderDetails[[#This Row],[UnitPrice]]*OrderDetails[[#This Row],[Quantity]])*(1-OrderDetails[[#This Row],[Discount]])</f>
        <v>367.5</v>
      </c>
      <c r="I1355" s="15" t="str">
        <f>_xlfn.XLOOKUP(OrderDetails[[#This Row],[ProductID]],Product!A:A,Product!G:G,"Not Found")</f>
        <v>Confections</v>
      </c>
      <c r="J1355" s="15" t="str">
        <f>LOOKUP(MONTH(G1355),{1,4,7,10},{"Winter","Spring","Summer","Autumn"})</f>
        <v>Autumn</v>
      </c>
      <c r="K1355" s="15" t="str">
        <f>_xlfn.XLOOKUP(OrderDetails[[#This Row],[ProductID]],Product!A:A,Product!B:B,"Not Found")</f>
        <v>NuNuCa Nuß-Nougat-Creme</v>
      </c>
    </row>
    <row r="1356" spans="1:11">
      <c r="A1356" s="1">
        <v>10761</v>
      </c>
      <c r="B1356" s="1">
        <v>75</v>
      </c>
      <c r="C1356" s="1">
        <v>7.75</v>
      </c>
      <c r="D1356" s="1">
        <v>18</v>
      </c>
      <c r="E1356" s="3">
        <v>0</v>
      </c>
      <c r="F1356" s="1" t="str">
        <f>_xlfn.XLOOKUP(A1356,Orders!A:A,Orders!B:B,"not found")</f>
        <v>RATTC</v>
      </c>
      <c r="G1356" s="13">
        <f>_xlfn.XLOOKUP(OrderDetails[[#This Row],[OrderID]],Orders!A:A,Orders!C:C,"Not Found")</f>
        <v>35766</v>
      </c>
      <c r="H1356" s="16">
        <f>(OrderDetails[[#This Row],[UnitPrice]]*OrderDetails[[#This Row],[Quantity]])*(1-OrderDetails[[#This Row],[Discount]])</f>
        <v>139.5</v>
      </c>
      <c r="I1356" s="15" t="str">
        <f>_xlfn.XLOOKUP(OrderDetails[[#This Row],[ProductID]],Product!A:A,Product!G:G,"Not Found")</f>
        <v>Beverages</v>
      </c>
      <c r="J1356" s="15" t="str">
        <f>LOOKUP(MONTH(G1356),{1,4,7,10},{"Winter","Spring","Summer","Autumn"})</f>
        <v>Autumn</v>
      </c>
      <c r="K1356" s="15" t="str">
        <f>_xlfn.XLOOKUP(OrderDetails[[#This Row],[ProductID]],Product!A:A,Product!B:B,"Not Found")</f>
        <v>Rhönbräu Klosterbier</v>
      </c>
    </row>
    <row r="1357" spans="1:11">
      <c r="A1357" s="2">
        <v>10762</v>
      </c>
      <c r="B1357" s="2">
        <v>39</v>
      </c>
      <c r="C1357" s="2">
        <v>18</v>
      </c>
      <c r="D1357" s="2">
        <v>16</v>
      </c>
      <c r="E1357" s="4">
        <v>0</v>
      </c>
      <c r="F1357" s="1" t="str">
        <f>_xlfn.XLOOKUP(A1357,Orders!A:A,Orders!B:B,"not found")</f>
        <v>FOLKO</v>
      </c>
      <c r="G1357" s="13">
        <f>_xlfn.XLOOKUP(OrderDetails[[#This Row],[OrderID]],Orders!A:A,Orders!C:C,"Not Found")</f>
        <v>35766</v>
      </c>
      <c r="H1357" s="16">
        <f>(OrderDetails[[#This Row],[UnitPrice]]*OrderDetails[[#This Row],[Quantity]])*(1-OrderDetails[[#This Row],[Discount]])</f>
        <v>288</v>
      </c>
      <c r="I1357" s="15" t="str">
        <f>_xlfn.XLOOKUP(OrderDetails[[#This Row],[ProductID]],Product!A:A,Product!G:G,"Not Found")</f>
        <v>Beverages</v>
      </c>
      <c r="J1357" s="15" t="str">
        <f>LOOKUP(MONTH(G1357),{1,4,7,10},{"Winter","Spring","Summer","Autumn"})</f>
        <v>Autumn</v>
      </c>
      <c r="K1357" s="15" t="str">
        <f>_xlfn.XLOOKUP(OrderDetails[[#This Row],[ProductID]],Product!A:A,Product!B:B,"Not Found")</f>
        <v>Chartreuse verte</v>
      </c>
    </row>
    <row r="1358" spans="1:11">
      <c r="A1358" s="1">
        <v>10762</v>
      </c>
      <c r="B1358" s="1">
        <v>47</v>
      </c>
      <c r="C1358" s="1">
        <v>9.5</v>
      </c>
      <c r="D1358" s="1">
        <v>30</v>
      </c>
      <c r="E1358" s="3">
        <v>0</v>
      </c>
      <c r="F1358" s="1" t="str">
        <f>_xlfn.XLOOKUP(A1358,Orders!A:A,Orders!B:B,"not found")</f>
        <v>FOLKO</v>
      </c>
      <c r="G1358" s="13">
        <f>_xlfn.XLOOKUP(OrderDetails[[#This Row],[OrderID]],Orders!A:A,Orders!C:C,"Not Found")</f>
        <v>35766</v>
      </c>
      <c r="H1358" s="16">
        <f>(OrderDetails[[#This Row],[UnitPrice]]*OrderDetails[[#This Row],[Quantity]])*(1-OrderDetails[[#This Row],[Discount]])</f>
        <v>285</v>
      </c>
      <c r="I1358" s="15" t="str">
        <f>_xlfn.XLOOKUP(OrderDetails[[#This Row],[ProductID]],Product!A:A,Product!G:G,"Not Found")</f>
        <v>Confections</v>
      </c>
      <c r="J1358" s="15" t="str">
        <f>LOOKUP(MONTH(G1358),{1,4,7,10},{"Winter","Spring","Summer","Autumn"})</f>
        <v>Autumn</v>
      </c>
      <c r="K1358" s="15" t="str">
        <f>_xlfn.XLOOKUP(OrderDetails[[#This Row],[ProductID]],Product!A:A,Product!B:B,"Not Found")</f>
        <v>Zaanse koeken</v>
      </c>
    </row>
    <row r="1359" spans="1:11">
      <c r="A1359" s="2">
        <v>10762</v>
      </c>
      <c r="B1359" s="2">
        <v>51</v>
      </c>
      <c r="C1359" s="2">
        <v>53</v>
      </c>
      <c r="D1359" s="2">
        <v>28</v>
      </c>
      <c r="E1359" s="4">
        <v>0</v>
      </c>
      <c r="F1359" s="1" t="str">
        <f>_xlfn.XLOOKUP(A1359,Orders!A:A,Orders!B:B,"not found")</f>
        <v>FOLKO</v>
      </c>
      <c r="G1359" s="13">
        <f>_xlfn.XLOOKUP(OrderDetails[[#This Row],[OrderID]],Orders!A:A,Orders!C:C,"Not Found")</f>
        <v>35766</v>
      </c>
      <c r="H1359" s="16">
        <f>(OrderDetails[[#This Row],[UnitPrice]]*OrderDetails[[#This Row],[Quantity]])*(1-OrderDetails[[#This Row],[Discount]])</f>
        <v>1484</v>
      </c>
      <c r="I1359" s="15" t="str">
        <f>_xlfn.XLOOKUP(OrderDetails[[#This Row],[ProductID]],Product!A:A,Product!G:G,"Not Found")</f>
        <v>Produce</v>
      </c>
      <c r="J1359" s="15" t="str">
        <f>LOOKUP(MONTH(G1359),{1,4,7,10},{"Winter","Spring","Summer","Autumn"})</f>
        <v>Autumn</v>
      </c>
      <c r="K1359" s="15" t="str">
        <f>_xlfn.XLOOKUP(OrderDetails[[#This Row],[ProductID]],Product!A:A,Product!B:B,"Not Found")</f>
        <v>Manjimup Dried Apples</v>
      </c>
    </row>
    <row r="1360" spans="1:11">
      <c r="A1360" s="1">
        <v>10762</v>
      </c>
      <c r="B1360" s="1">
        <v>56</v>
      </c>
      <c r="C1360" s="1">
        <v>38</v>
      </c>
      <c r="D1360" s="1">
        <v>60</v>
      </c>
      <c r="E1360" s="3">
        <v>0</v>
      </c>
      <c r="F1360" s="1" t="str">
        <f>_xlfn.XLOOKUP(A1360,Orders!A:A,Orders!B:B,"not found")</f>
        <v>FOLKO</v>
      </c>
      <c r="G1360" s="13">
        <f>_xlfn.XLOOKUP(OrderDetails[[#This Row],[OrderID]],Orders!A:A,Orders!C:C,"Not Found")</f>
        <v>35766</v>
      </c>
      <c r="H1360" s="16">
        <f>(OrderDetails[[#This Row],[UnitPrice]]*OrderDetails[[#This Row],[Quantity]])*(1-OrderDetails[[#This Row],[Discount]])</f>
        <v>2280</v>
      </c>
      <c r="I1360" s="15" t="str">
        <f>_xlfn.XLOOKUP(OrderDetails[[#This Row],[ProductID]],Product!A:A,Product!G:G,"Not Found")</f>
        <v>Grains/Cereals</v>
      </c>
      <c r="J1360" s="15" t="str">
        <f>LOOKUP(MONTH(G1360),{1,4,7,10},{"Winter","Spring","Summer","Autumn"})</f>
        <v>Autumn</v>
      </c>
      <c r="K1360" s="15" t="str">
        <f>_xlfn.XLOOKUP(OrderDetails[[#This Row],[ProductID]],Product!A:A,Product!B:B,"Not Found")</f>
        <v>Gnocchi di nonna Alice</v>
      </c>
    </row>
    <row r="1361" spans="1:11">
      <c r="A1361" s="2">
        <v>10763</v>
      </c>
      <c r="B1361" s="2">
        <v>21</v>
      </c>
      <c r="C1361" s="2">
        <v>10</v>
      </c>
      <c r="D1361" s="2">
        <v>40</v>
      </c>
      <c r="E1361" s="4">
        <v>0</v>
      </c>
      <c r="F1361" s="1" t="str">
        <f>_xlfn.XLOOKUP(A1361,Orders!A:A,Orders!B:B,"not found")</f>
        <v>FOLIG</v>
      </c>
      <c r="G1361" s="13">
        <f>_xlfn.XLOOKUP(OrderDetails[[#This Row],[OrderID]],Orders!A:A,Orders!C:C,"Not Found")</f>
        <v>35767</v>
      </c>
      <c r="H1361" s="16">
        <f>(OrderDetails[[#This Row],[UnitPrice]]*OrderDetails[[#This Row],[Quantity]])*(1-OrderDetails[[#This Row],[Discount]])</f>
        <v>400</v>
      </c>
      <c r="I1361" s="15" t="str">
        <f>_xlfn.XLOOKUP(OrderDetails[[#This Row],[ProductID]],Product!A:A,Product!G:G,"Not Found")</f>
        <v>Confections</v>
      </c>
      <c r="J1361" s="15" t="str">
        <f>LOOKUP(MONTH(G1361),{1,4,7,10},{"Winter","Spring","Summer","Autumn"})</f>
        <v>Autumn</v>
      </c>
      <c r="K1361" s="15" t="str">
        <f>_xlfn.XLOOKUP(OrderDetails[[#This Row],[ProductID]],Product!A:A,Product!B:B,"Not Found")</f>
        <v>Sir Rodney's Scones</v>
      </c>
    </row>
    <row r="1362" spans="1:11">
      <c r="A1362" s="1">
        <v>10763</v>
      </c>
      <c r="B1362" s="1">
        <v>22</v>
      </c>
      <c r="C1362" s="1">
        <v>21</v>
      </c>
      <c r="D1362" s="1">
        <v>6</v>
      </c>
      <c r="E1362" s="3">
        <v>0</v>
      </c>
      <c r="F1362" s="1" t="str">
        <f>_xlfn.XLOOKUP(A1362,Orders!A:A,Orders!B:B,"not found")</f>
        <v>FOLIG</v>
      </c>
      <c r="G1362" s="13">
        <f>_xlfn.XLOOKUP(OrderDetails[[#This Row],[OrderID]],Orders!A:A,Orders!C:C,"Not Found")</f>
        <v>35767</v>
      </c>
      <c r="H1362" s="16">
        <f>(OrderDetails[[#This Row],[UnitPrice]]*OrderDetails[[#This Row],[Quantity]])*(1-OrderDetails[[#This Row],[Discount]])</f>
        <v>126</v>
      </c>
      <c r="I1362" s="15" t="str">
        <f>_xlfn.XLOOKUP(OrderDetails[[#This Row],[ProductID]],Product!A:A,Product!G:G,"Not Found")</f>
        <v>Grains/Cereals</v>
      </c>
      <c r="J1362" s="15" t="str">
        <f>LOOKUP(MONTH(G1362),{1,4,7,10},{"Winter","Spring","Summer","Autumn"})</f>
        <v>Autumn</v>
      </c>
      <c r="K1362" s="15" t="str">
        <f>_xlfn.XLOOKUP(OrderDetails[[#This Row],[ProductID]],Product!A:A,Product!B:B,"Not Found")</f>
        <v>Gustaf's Knäckebröd</v>
      </c>
    </row>
    <row r="1363" spans="1:11">
      <c r="A1363" s="2">
        <v>10763</v>
      </c>
      <c r="B1363" s="2">
        <v>24</v>
      </c>
      <c r="C1363" s="2">
        <v>4.5</v>
      </c>
      <c r="D1363" s="2">
        <v>20</v>
      </c>
      <c r="E1363" s="4">
        <v>0</v>
      </c>
      <c r="F1363" s="1" t="str">
        <f>_xlfn.XLOOKUP(A1363,Orders!A:A,Orders!B:B,"not found")</f>
        <v>FOLIG</v>
      </c>
      <c r="G1363" s="13">
        <f>_xlfn.XLOOKUP(OrderDetails[[#This Row],[OrderID]],Orders!A:A,Orders!C:C,"Not Found")</f>
        <v>35767</v>
      </c>
      <c r="H1363" s="16">
        <f>(OrderDetails[[#This Row],[UnitPrice]]*OrderDetails[[#This Row],[Quantity]])*(1-OrderDetails[[#This Row],[Discount]])</f>
        <v>90</v>
      </c>
      <c r="I1363" s="15" t="str">
        <f>_xlfn.XLOOKUP(OrderDetails[[#This Row],[ProductID]],Product!A:A,Product!G:G,"Not Found")</f>
        <v>Beverages</v>
      </c>
      <c r="J1363" s="15" t="str">
        <f>LOOKUP(MONTH(G1363),{1,4,7,10},{"Winter","Spring","Summer","Autumn"})</f>
        <v>Autumn</v>
      </c>
      <c r="K1363" s="15" t="str">
        <f>_xlfn.XLOOKUP(OrderDetails[[#This Row],[ProductID]],Product!A:A,Product!B:B,"Not Found")</f>
        <v>Guaraná Fantástica</v>
      </c>
    </row>
    <row r="1364" spans="1:11">
      <c r="A1364" s="1">
        <v>10764</v>
      </c>
      <c r="B1364" s="1">
        <v>3</v>
      </c>
      <c r="C1364" s="1">
        <v>10</v>
      </c>
      <c r="D1364" s="1">
        <v>20</v>
      </c>
      <c r="E1364" s="3">
        <v>0.10000000149011612</v>
      </c>
      <c r="F1364" s="1" t="str">
        <f>_xlfn.XLOOKUP(A1364,Orders!A:A,Orders!B:B,"not found")</f>
        <v>ERNSH</v>
      </c>
      <c r="G1364" s="13">
        <f>_xlfn.XLOOKUP(OrderDetails[[#This Row],[OrderID]],Orders!A:A,Orders!C:C,"Not Found")</f>
        <v>35767</v>
      </c>
      <c r="H1364" s="16">
        <f>(OrderDetails[[#This Row],[UnitPrice]]*OrderDetails[[#This Row],[Quantity]])*(1-OrderDetails[[#This Row],[Discount]])</f>
        <v>179.99999970197678</v>
      </c>
      <c r="I1364" s="15" t="str">
        <f>_xlfn.XLOOKUP(OrderDetails[[#This Row],[ProductID]],Product!A:A,Product!G:G,"Not Found")</f>
        <v>Condiments</v>
      </c>
      <c r="J1364" s="15" t="str">
        <f>LOOKUP(MONTH(G1364),{1,4,7,10},{"Winter","Spring","Summer","Autumn"})</f>
        <v>Autumn</v>
      </c>
      <c r="K1364" s="15" t="str">
        <f>_xlfn.XLOOKUP(OrderDetails[[#This Row],[ProductID]],Product!A:A,Product!B:B,"Not Found")</f>
        <v>Aniseed Syrup</v>
      </c>
    </row>
    <row r="1365" spans="1:11">
      <c r="A1365" s="2">
        <v>10764</v>
      </c>
      <c r="B1365" s="2">
        <v>39</v>
      </c>
      <c r="C1365" s="2">
        <v>18</v>
      </c>
      <c r="D1365" s="2">
        <v>130</v>
      </c>
      <c r="E1365" s="4">
        <v>0.10000000149011612</v>
      </c>
      <c r="F1365" s="1" t="str">
        <f>_xlfn.XLOOKUP(A1365,Orders!A:A,Orders!B:B,"not found")</f>
        <v>ERNSH</v>
      </c>
      <c r="G1365" s="13">
        <f>_xlfn.XLOOKUP(OrderDetails[[#This Row],[OrderID]],Orders!A:A,Orders!C:C,"Not Found")</f>
        <v>35767</v>
      </c>
      <c r="H1365" s="16">
        <f>(OrderDetails[[#This Row],[UnitPrice]]*OrderDetails[[#This Row],[Quantity]])*(1-OrderDetails[[#This Row],[Discount]])</f>
        <v>2105.9999965131283</v>
      </c>
      <c r="I1365" s="15" t="str">
        <f>_xlfn.XLOOKUP(OrderDetails[[#This Row],[ProductID]],Product!A:A,Product!G:G,"Not Found")</f>
        <v>Beverages</v>
      </c>
      <c r="J1365" s="15" t="str">
        <f>LOOKUP(MONTH(G1365),{1,4,7,10},{"Winter","Spring","Summer","Autumn"})</f>
        <v>Autumn</v>
      </c>
      <c r="K1365" s="15" t="str">
        <f>_xlfn.XLOOKUP(OrderDetails[[#This Row],[ProductID]],Product!A:A,Product!B:B,"Not Found")</f>
        <v>Chartreuse verte</v>
      </c>
    </row>
    <row r="1366" spans="1:11">
      <c r="A1366" s="1">
        <v>10765</v>
      </c>
      <c r="B1366" s="1">
        <v>65</v>
      </c>
      <c r="C1366" s="1">
        <v>21.05</v>
      </c>
      <c r="D1366" s="1">
        <v>80</v>
      </c>
      <c r="E1366" s="3">
        <v>0.10000000149011612</v>
      </c>
      <c r="F1366" s="1" t="str">
        <f>_xlfn.XLOOKUP(A1366,Orders!A:A,Orders!B:B,"not found")</f>
        <v>QUICK</v>
      </c>
      <c r="G1366" s="13">
        <f>_xlfn.XLOOKUP(OrderDetails[[#This Row],[OrderID]],Orders!A:A,Orders!C:C,"Not Found")</f>
        <v>35768</v>
      </c>
      <c r="H1366" s="16">
        <f>(OrderDetails[[#This Row],[UnitPrice]]*OrderDetails[[#This Row],[Quantity]])*(1-OrderDetails[[#This Row],[Discount]])</f>
        <v>1515.5999974906445</v>
      </c>
      <c r="I1366" s="15" t="str">
        <f>_xlfn.XLOOKUP(OrderDetails[[#This Row],[ProductID]],Product!A:A,Product!G:G,"Not Found")</f>
        <v>Condiments</v>
      </c>
      <c r="J1366" s="15" t="str">
        <f>LOOKUP(MONTH(G1366),{1,4,7,10},{"Winter","Spring","Summer","Autumn"})</f>
        <v>Autumn</v>
      </c>
      <c r="K1366" s="15" t="str">
        <f>_xlfn.XLOOKUP(OrderDetails[[#This Row],[ProductID]],Product!A:A,Product!B:B,"Not Found")</f>
        <v>Louisiana Fiery Hot Pepper Sauce</v>
      </c>
    </row>
    <row r="1367" spans="1:11">
      <c r="A1367" s="2">
        <v>10766</v>
      </c>
      <c r="B1367" s="2">
        <v>2</v>
      </c>
      <c r="C1367" s="2">
        <v>19</v>
      </c>
      <c r="D1367" s="2">
        <v>40</v>
      </c>
      <c r="E1367" s="4">
        <v>0</v>
      </c>
      <c r="F1367" s="1" t="str">
        <f>_xlfn.XLOOKUP(A1367,Orders!A:A,Orders!B:B,"not found")</f>
        <v>OTTIK</v>
      </c>
      <c r="G1367" s="13">
        <f>_xlfn.XLOOKUP(OrderDetails[[#This Row],[OrderID]],Orders!A:A,Orders!C:C,"Not Found")</f>
        <v>35769</v>
      </c>
      <c r="H1367" s="16">
        <f>(OrderDetails[[#This Row],[UnitPrice]]*OrderDetails[[#This Row],[Quantity]])*(1-OrderDetails[[#This Row],[Discount]])</f>
        <v>760</v>
      </c>
      <c r="I1367" s="15" t="str">
        <f>_xlfn.XLOOKUP(OrderDetails[[#This Row],[ProductID]],Product!A:A,Product!G:G,"Not Found")</f>
        <v>Beverages</v>
      </c>
      <c r="J1367" s="15" t="str">
        <f>LOOKUP(MONTH(G1367),{1,4,7,10},{"Winter","Spring","Summer","Autumn"})</f>
        <v>Autumn</v>
      </c>
      <c r="K1367" s="15" t="str">
        <f>_xlfn.XLOOKUP(OrderDetails[[#This Row],[ProductID]],Product!A:A,Product!B:B,"Not Found")</f>
        <v>Chang</v>
      </c>
    </row>
    <row r="1368" spans="1:11">
      <c r="A1368" s="1">
        <v>10766</v>
      </c>
      <c r="B1368" s="1">
        <v>7</v>
      </c>
      <c r="C1368" s="1">
        <v>30</v>
      </c>
      <c r="D1368" s="1">
        <v>35</v>
      </c>
      <c r="E1368" s="3">
        <v>0</v>
      </c>
      <c r="F1368" s="1" t="str">
        <f>_xlfn.XLOOKUP(A1368,Orders!A:A,Orders!B:B,"not found")</f>
        <v>OTTIK</v>
      </c>
      <c r="G1368" s="13">
        <f>_xlfn.XLOOKUP(OrderDetails[[#This Row],[OrderID]],Orders!A:A,Orders!C:C,"Not Found")</f>
        <v>35769</v>
      </c>
      <c r="H1368" s="16">
        <f>(OrderDetails[[#This Row],[UnitPrice]]*OrderDetails[[#This Row],[Quantity]])*(1-OrderDetails[[#This Row],[Discount]])</f>
        <v>1050</v>
      </c>
      <c r="I1368" s="15" t="str">
        <f>_xlfn.XLOOKUP(OrderDetails[[#This Row],[ProductID]],Product!A:A,Product!G:G,"Not Found")</f>
        <v>Produce</v>
      </c>
      <c r="J1368" s="15" t="str">
        <f>LOOKUP(MONTH(G1368),{1,4,7,10},{"Winter","Spring","Summer","Autumn"})</f>
        <v>Autumn</v>
      </c>
      <c r="K1368" s="15" t="str">
        <f>_xlfn.XLOOKUP(OrderDetails[[#This Row],[ProductID]],Product!A:A,Product!B:B,"Not Found")</f>
        <v>Uncle Bob's Organic Dried Pears</v>
      </c>
    </row>
    <row r="1369" spans="1:11">
      <c r="A1369" s="2">
        <v>10766</v>
      </c>
      <c r="B1369" s="2">
        <v>68</v>
      </c>
      <c r="C1369" s="2">
        <v>12.5</v>
      </c>
      <c r="D1369" s="2">
        <v>40</v>
      </c>
      <c r="E1369" s="4">
        <v>0</v>
      </c>
      <c r="F1369" s="1" t="str">
        <f>_xlfn.XLOOKUP(A1369,Orders!A:A,Orders!B:B,"not found")</f>
        <v>OTTIK</v>
      </c>
      <c r="G1369" s="13">
        <f>_xlfn.XLOOKUP(OrderDetails[[#This Row],[OrderID]],Orders!A:A,Orders!C:C,"Not Found")</f>
        <v>35769</v>
      </c>
      <c r="H1369" s="16">
        <f>(OrderDetails[[#This Row],[UnitPrice]]*OrderDetails[[#This Row],[Quantity]])*(1-OrderDetails[[#This Row],[Discount]])</f>
        <v>500</v>
      </c>
      <c r="I1369" s="15" t="str">
        <f>_xlfn.XLOOKUP(OrderDetails[[#This Row],[ProductID]],Product!A:A,Product!G:G,"Not Found")</f>
        <v>Confections</v>
      </c>
      <c r="J1369" s="15" t="str">
        <f>LOOKUP(MONTH(G1369),{1,4,7,10},{"Winter","Spring","Summer","Autumn"})</f>
        <v>Autumn</v>
      </c>
      <c r="K1369" s="15" t="str">
        <f>_xlfn.XLOOKUP(OrderDetails[[#This Row],[ProductID]],Product!A:A,Product!B:B,"Not Found")</f>
        <v>Scottish Longbreads</v>
      </c>
    </row>
    <row r="1370" spans="1:11">
      <c r="A1370" s="1">
        <v>10767</v>
      </c>
      <c r="B1370" s="1">
        <v>42</v>
      </c>
      <c r="C1370" s="1">
        <v>14</v>
      </c>
      <c r="D1370" s="1">
        <v>2</v>
      </c>
      <c r="E1370" s="3">
        <v>0</v>
      </c>
      <c r="F1370" s="1" t="str">
        <f>_xlfn.XLOOKUP(A1370,Orders!A:A,Orders!B:B,"not found")</f>
        <v>SUPRD</v>
      </c>
      <c r="G1370" s="13">
        <f>_xlfn.XLOOKUP(OrderDetails[[#This Row],[OrderID]],Orders!A:A,Orders!C:C,"Not Found")</f>
        <v>35769</v>
      </c>
      <c r="H1370" s="16">
        <f>(OrderDetails[[#This Row],[UnitPrice]]*OrderDetails[[#This Row],[Quantity]])*(1-OrderDetails[[#This Row],[Discount]])</f>
        <v>28</v>
      </c>
      <c r="I1370" s="15" t="str">
        <f>_xlfn.XLOOKUP(OrderDetails[[#This Row],[ProductID]],Product!A:A,Product!G:G,"Not Found")</f>
        <v>Grains/Cereals</v>
      </c>
      <c r="J1370" s="15" t="str">
        <f>LOOKUP(MONTH(G1370),{1,4,7,10},{"Winter","Spring","Summer","Autumn"})</f>
        <v>Autumn</v>
      </c>
      <c r="K1370" s="15" t="str">
        <f>_xlfn.XLOOKUP(OrderDetails[[#This Row],[ProductID]],Product!A:A,Product!B:B,"Not Found")</f>
        <v>Singaporean Hokkien Fried Mee</v>
      </c>
    </row>
    <row r="1371" spans="1:11">
      <c r="A1371" s="2">
        <v>10768</v>
      </c>
      <c r="B1371" s="2">
        <v>22</v>
      </c>
      <c r="C1371" s="2">
        <v>21</v>
      </c>
      <c r="D1371" s="2">
        <v>4</v>
      </c>
      <c r="E1371" s="4">
        <v>0</v>
      </c>
      <c r="F1371" s="1" t="str">
        <f>_xlfn.XLOOKUP(A1371,Orders!A:A,Orders!B:B,"not found")</f>
        <v>AROUT</v>
      </c>
      <c r="G1371" s="13">
        <f>_xlfn.XLOOKUP(OrderDetails[[#This Row],[OrderID]],Orders!A:A,Orders!C:C,"Not Found")</f>
        <v>35772</v>
      </c>
      <c r="H1371" s="16">
        <f>(OrderDetails[[#This Row],[UnitPrice]]*OrderDetails[[#This Row],[Quantity]])*(1-OrderDetails[[#This Row],[Discount]])</f>
        <v>84</v>
      </c>
      <c r="I1371" s="15" t="str">
        <f>_xlfn.XLOOKUP(OrderDetails[[#This Row],[ProductID]],Product!A:A,Product!G:G,"Not Found")</f>
        <v>Grains/Cereals</v>
      </c>
      <c r="J1371" s="15" t="str">
        <f>LOOKUP(MONTH(G1371),{1,4,7,10},{"Winter","Spring","Summer","Autumn"})</f>
        <v>Autumn</v>
      </c>
      <c r="K1371" s="15" t="str">
        <f>_xlfn.XLOOKUP(OrderDetails[[#This Row],[ProductID]],Product!A:A,Product!B:B,"Not Found")</f>
        <v>Gustaf's Knäckebröd</v>
      </c>
    </row>
    <row r="1372" spans="1:11">
      <c r="A1372" s="1">
        <v>10768</v>
      </c>
      <c r="B1372" s="1">
        <v>31</v>
      </c>
      <c r="C1372" s="1">
        <v>12.5</v>
      </c>
      <c r="D1372" s="1">
        <v>50</v>
      </c>
      <c r="E1372" s="3">
        <v>0</v>
      </c>
      <c r="F1372" s="1" t="str">
        <f>_xlfn.XLOOKUP(A1372,Orders!A:A,Orders!B:B,"not found")</f>
        <v>AROUT</v>
      </c>
      <c r="G1372" s="13">
        <f>_xlfn.XLOOKUP(OrderDetails[[#This Row],[OrderID]],Orders!A:A,Orders!C:C,"Not Found")</f>
        <v>35772</v>
      </c>
      <c r="H1372" s="16">
        <f>(OrderDetails[[#This Row],[UnitPrice]]*OrderDetails[[#This Row],[Quantity]])*(1-OrderDetails[[#This Row],[Discount]])</f>
        <v>625</v>
      </c>
      <c r="I1372" s="15" t="str">
        <f>_xlfn.XLOOKUP(OrderDetails[[#This Row],[ProductID]],Product!A:A,Product!G:G,"Not Found")</f>
        <v>Dairy Products</v>
      </c>
      <c r="J1372" s="15" t="str">
        <f>LOOKUP(MONTH(G1372),{1,4,7,10},{"Winter","Spring","Summer","Autumn"})</f>
        <v>Autumn</v>
      </c>
      <c r="K1372" s="15" t="str">
        <f>_xlfn.XLOOKUP(OrderDetails[[#This Row],[ProductID]],Product!A:A,Product!B:B,"Not Found")</f>
        <v>Gorgonzola Telino</v>
      </c>
    </row>
    <row r="1373" spans="1:11">
      <c r="A1373" s="2">
        <v>10768</v>
      </c>
      <c r="B1373" s="2">
        <v>60</v>
      </c>
      <c r="C1373" s="2">
        <v>34</v>
      </c>
      <c r="D1373" s="2">
        <v>15</v>
      </c>
      <c r="E1373" s="4">
        <v>0</v>
      </c>
      <c r="F1373" s="1" t="str">
        <f>_xlfn.XLOOKUP(A1373,Orders!A:A,Orders!B:B,"not found")</f>
        <v>AROUT</v>
      </c>
      <c r="G1373" s="13">
        <f>_xlfn.XLOOKUP(OrderDetails[[#This Row],[OrderID]],Orders!A:A,Orders!C:C,"Not Found")</f>
        <v>35772</v>
      </c>
      <c r="H1373" s="16">
        <f>(OrderDetails[[#This Row],[UnitPrice]]*OrderDetails[[#This Row],[Quantity]])*(1-OrderDetails[[#This Row],[Discount]])</f>
        <v>510</v>
      </c>
      <c r="I1373" s="15" t="str">
        <f>_xlfn.XLOOKUP(OrderDetails[[#This Row],[ProductID]],Product!A:A,Product!G:G,"Not Found")</f>
        <v>Dairy Products</v>
      </c>
      <c r="J1373" s="15" t="str">
        <f>LOOKUP(MONTH(G1373),{1,4,7,10},{"Winter","Spring","Summer","Autumn"})</f>
        <v>Autumn</v>
      </c>
      <c r="K1373" s="15" t="str">
        <f>_xlfn.XLOOKUP(OrderDetails[[#This Row],[ProductID]],Product!A:A,Product!B:B,"Not Found")</f>
        <v>Camembert Pierrot</v>
      </c>
    </row>
    <row r="1374" spans="1:11">
      <c r="A1374" s="1">
        <v>10768</v>
      </c>
      <c r="B1374" s="1">
        <v>71</v>
      </c>
      <c r="C1374" s="1">
        <v>21.5</v>
      </c>
      <c r="D1374" s="1">
        <v>12</v>
      </c>
      <c r="E1374" s="3">
        <v>0</v>
      </c>
      <c r="F1374" s="1" t="str">
        <f>_xlfn.XLOOKUP(A1374,Orders!A:A,Orders!B:B,"not found")</f>
        <v>AROUT</v>
      </c>
      <c r="G1374" s="13">
        <f>_xlfn.XLOOKUP(OrderDetails[[#This Row],[OrderID]],Orders!A:A,Orders!C:C,"Not Found")</f>
        <v>35772</v>
      </c>
      <c r="H1374" s="16">
        <f>(OrderDetails[[#This Row],[UnitPrice]]*OrderDetails[[#This Row],[Quantity]])*(1-OrderDetails[[#This Row],[Discount]])</f>
        <v>258</v>
      </c>
      <c r="I1374" s="15" t="str">
        <f>_xlfn.XLOOKUP(OrderDetails[[#This Row],[ProductID]],Product!A:A,Product!G:G,"Not Found")</f>
        <v>Dairy Products</v>
      </c>
      <c r="J1374" s="15" t="str">
        <f>LOOKUP(MONTH(G1374),{1,4,7,10},{"Winter","Spring","Summer","Autumn"})</f>
        <v>Autumn</v>
      </c>
      <c r="K1374" s="15" t="str">
        <f>_xlfn.XLOOKUP(OrderDetails[[#This Row],[ProductID]],Product!A:A,Product!B:B,"Not Found")</f>
        <v>Flotemysost</v>
      </c>
    </row>
    <row r="1375" spans="1:11">
      <c r="A1375" s="2">
        <v>10769</v>
      </c>
      <c r="B1375" s="2">
        <v>41</v>
      </c>
      <c r="C1375" s="2">
        <v>9.65</v>
      </c>
      <c r="D1375" s="2">
        <v>30</v>
      </c>
      <c r="E1375" s="4">
        <v>5.000000074505806E-2</v>
      </c>
      <c r="F1375" s="1" t="str">
        <f>_xlfn.XLOOKUP(A1375,Orders!A:A,Orders!B:B,"not found")</f>
        <v>VAFFE</v>
      </c>
      <c r="G1375" s="13">
        <f>_xlfn.XLOOKUP(OrderDetails[[#This Row],[OrderID]],Orders!A:A,Orders!C:C,"Not Found")</f>
        <v>35772</v>
      </c>
      <c r="H1375" s="16">
        <f>(OrderDetails[[#This Row],[UnitPrice]]*OrderDetails[[#This Row],[Quantity]])*(1-OrderDetails[[#This Row],[Discount]])</f>
        <v>275.02499978430569</v>
      </c>
      <c r="I1375" s="15" t="str">
        <f>_xlfn.XLOOKUP(OrderDetails[[#This Row],[ProductID]],Product!A:A,Product!G:G,"Not Found")</f>
        <v>Seafood</v>
      </c>
      <c r="J1375" s="15" t="str">
        <f>LOOKUP(MONTH(G1375),{1,4,7,10},{"Winter","Spring","Summer","Autumn"})</f>
        <v>Autumn</v>
      </c>
      <c r="K1375" s="15" t="str">
        <f>_xlfn.XLOOKUP(OrderDetails[[#This Row],[ProductID]],Product!A:A,Product!B:B,"Not Found")</f>
        <v>Jack's New England Clam Chowder</v>
      </c>
    </row>
    <row r="1376" spans="1:11">
      <c r="A1376" s="1">
        <v>10769</v>
      </c>
      <c r="B1376" s="1">
        <v>52</v>
      </c>
      <c r="C1376" s="1">
        <v>7</v>
      </c>
      <c r="D1376" s="1">
        <v>15</v>
      </c>
      <c r="E1376" s="3">
        <v>5.000000074505806E-2</v>
      </c>
      <c r="F1376" s="1" t="str">
        <f>_xlfn.XLOOKUP(A1376,Orders!A:A,Orders!B:B,"not found")</f>
        <v>VAFFE</v>
      </c>
      <c r="G1376" s="13">
        <f>_xlfn.XLOOKUP(OrderDetails[[#This Row],[OrderID]],Orders!A:A,Orders!C:C,"Not Found")</f>
        <v>35772</v>
      </c>
      <c r="H1376" s="16">
        <f>(OrderDetails[[#This Row],[UnitPrice]]*OrderDetails[[#This Row],[Quantity]])*(1-OrderDetails[[#This Row],[Discount]])</f>
        <v>99.749999921768904</v>
      </c>
      <c r="I1376" s="15" t="str">
        <f>_xlfn.XLOOKUP(OrderDetails[[#This Row],[ProductID]],Product!A:A,Product!G:G,"Not Found")</f>
        <v>Grains/Cereals</v>
      </c>
      <c r="J1376" s="15" t="str">
        <f>LOOKUP(MONTH(G1376),{1,4,7,10},{"Winter","Spring","Summer","Autumn"})</f>
        <v>Autumn</v>
      </c>
      <c r="K1376" s="15" t="str">
        <f>_xlfn.XLOOKUP(OrderDetails[[#This Row],[ProductID]],Product!A:A,Product!B:B,"Not Found")</f>
        <v>Filo Mix</v>
      </c>
    </row>
    <row r="1377" spans="1:11">
      <c r="A1377" s="2">
        <v>10769</v>
      </c>
      <c r="B1377" s="2">
        <v>61</v>
      </c>
      <c r="C1377" s="2">
        <v>28.5</v>
      </c>
      <c r="D1377" s="2">
        <v>20</v>
      </c>
      <c r="E1377" s="4">
        <v>0</v>
      </c>
      <c r="F1377" s="1" t="str">
        <f>_xlfn.XLOOKUP(A1377,Orders!A:A,Orders!B:B,"not found")</f>
        <v>VAFFE</v>
      </c>
      <c r="G1377" s="13">
        <f>_xlfn.XLOOKUP(OrderDetails[[#This Row],[OrderID]],Orders!A:A,Orders!C:C,"Not Found")</f>
        <v>35772</v>
      </c>
      <c r="H1377" s="16">
        <f>(OrderDetails[[#This Row],[UnitPrice]]*OrderDetails[[#This Row],[Quantity]])*(1-OrderDetails[[#This Row],[Discount]])</f>
        <v>570</v>
      </c>
      <c r="I1377" s="15" t="str">
        <f>_xlfn.XLOOKUP(OrderDetails[[#This Row],[ProductID]],Product!A:A,Product!G:G,"Not Found")</f>
        <v>Condiments</v>
      </c>
      <c r="J1377" s="15" t="str">
        <f>LOOKUP(MONTH(G1377),{1,4,7,10},{"Winter","Spring","Summer","Autumn"})</f>
        <v>Autumn</v>
      </c>
      <c r="K1377" s="15" t="str">
        <f>_xlfn.XLOOKUP(OrderDetails[[#This Row],[ProductID]],Product!A:A,Product!B:B,"Not Found")</f>
        <v>Sirop d'érable</v>
      </c>
    </row>
    <row r="1378" spans="1:11">
      <c r="A1378" s="1">
        <v>10769</v>
      </c>
      <c r="B1378" s="1">
        <v>62</v>
      </c>
      <c r="C1378" s="1">
        <v>49.3</v>
      </c>
      <c r="D1378" s="1">
        <v>15</v>
      </c>
      <c r="E1378" s="3">
        <v>0</v>
      </c>
      <c r="F1378" s="1" t="str">
        <f>_xlfn.XLOOKUP(A1378,Orders!A:A,Orders!B:B,"not found")</f>
        <v>VAFFE</v>
      </c>
      <c r="G1378" s="13">
        <f>_xlfn.XLOOKUP(OrderDetails[[#This Row],[OrderID]],Orders!A:A,Orders!C:C,"Not Found")</f>
        <v>35772</v>
      </c>
      <c r="H1378" s="16">
        <f>(OrderDetails[[#This Row],[UnitPrice]]*OrderDetails[[#This Row],[Quantity]])*(1-OrderDetails[[#This Row],[Discount]])</f>
        <v>739.5</v>
      </c>
      <c r="I1378" s="15" t="str">
        <f>_xlfn.XLOOKUP(OrderDetails[[#This Row],[ProductID]],Product!A:A,Product!G:G,"Not Found")</f>
        <v>Confections</v>
      </c>
      <c r="J1378" s="15" t="str">
        <f>LOOKUP(MONTH(G1378),{1,4,7,10},{"Winter","Spring","Summer","Autumn"})</f>
        <v>Autumn</v>
      </c>
      <c r="K1378" s="15" t="str">
        <f>_xlfn.XLOOKUP(OrderDetails[[#This Row],[ProductID]],Product!A:A,Product!B:B,"Not Found")</f>
        <v>Tarte au sucre</v>
      </c>
    </row>
    <row r="1379" spans="1:11">
      <c r="A1379" s="2">
        <v>10770</v>
      </c>
      <c r="B1379" s="2">
        <v>11</v>
      </c>
      <c r="C1379" s="2">
        <v>21</v>
      </c>
      <c r="D1379" s="2">
        <v>15</v>
      </c>
      <c r="E1379" s="4">
        <v>0.25</v>
      </c>
      <c r="F1379" s="1" t="str">
        <f>_xlfn.XLOOKUP(A1379,Orders!A:A,Orders!B:B,"not found")</f>
        <v>HANAR</v>
      </c>
      <c r="G1379" s="13">
        <f>_xlfn.XLOOKUP(OrderDetails[[#This Row],[OrderID]],Orders!A:A,Orders!C:C,"Not Found")</f>
        <v>35773</v>
      </c>
      <c r="H1379" s="16">
        <f>(OrderDetails[[#This Row],[UnitPrice]]*OrderDetails[[#This Row],[Quantity]])*(1-OrderDetails[[#This Row],[Discount]])</f>
        <v>236.25</v>
      </c>
      <c r="I1379" s="15" t="str">
        <f>_xlfn.XLOOKUP(OrderDetails[[#This Row],[ProductID]],Product!A:A,Product!G:G,"Not Found")</f>
        <v>Dairy Products</v>
      </c>
      <c r="J1379" s="15" t="str">
        <f>LOOKUP(MONTH(G1379),{1,4,7,10},{"Winter","Spring","Summer","Autumn"})</f>
        <v>Autumn</v>
      </c>
      <c r="K1379" s="15" t="str">
        <f>_xlfn.XLOOKUP(OrderDetails[[#This Row],[ProductID]],Product!A:A,Product!B:B,"Not Found")</f>
        <v>Queso Cabrales</v>
      </c>
    </row>
    <row r="1380" spans="1:11">
      <c r="A1380" s="1">
        <v>10771</v>
      </c>
      <c r="B1380" s="1">
        <v>71</v>
      </c>
      <c r="C1380" s="1">
        <v>21.5</v>
      </c>
      <c r="D1380" s="1">
        <v>16</v>
      </c>
      <c r="E1380" s="3">
        <v>0</v>
      </c>
      <c r="F1380" s="1" t="str">
        <f>_xlfn.XLOOKUP(A1380,Orders!A:A,Orders!B:B,"not found")</f>
        <v>ERNSH</v>
      </c>
      <c r="G1380" s="13">
        <f>_xlfn.XLOOKUP(OrderDetails[[#This Row],[OrderID]],Orders!A:A,Orders!C:C,"Not Found")</f>
        <v>35774</v>
      </c>
      <c r="H1380" s="16">
        <f>(OrderDetails[[#This Row],[UnitPrice]]*OrderDetails[[#This Row],[Quantity]])*(1-OrderDetails[[#This Row],[Discount]])</f>
        <v>344</v>
      </c>
      <c r="I1380" s="15" t="str">
        <f>_xlfn.XLOOKUP(OrderDetails[[#This Row],[ProductID]],Product!A:A,Product!G:G,"Not Found")</f>
        <v>Dairy Products</v>
      </c>
      <c r="J1380" s="15" t="str">
        <f>LOOKUP(MONTH(G1380),{1,4,7,10},{"Winter","Spring","Summer","Autumn"})</f>
        <v>Autumn</v>
      </c>
      <c r="K1380" s="15" t="str">
        <f>_xlfn.XLOOKUP(OrderDetails[[#This Row],[ProductID]],Product!A:A,Product!B:B,"Not Found")</f>
        <v>Flotemysost</v>
      </c>
    </row>
    <row r="1381" spans="1:11">
      <c r="A1381" s="2">
        <v>10772</v>
      </c>
      <c r="B1381" s="2">
        <v>29</v>
      </c>
      <c r="C1381" s="2">
        <v>123.79</v>
      </c>
      <c r="D1381" s="2">
        <v>18</v>
      </c>
      <c r="E1381" s="4">
        <v>0</v>
      </c>
      <c r="F1381" s="1" t="str">
        <f>_xlfn.XLOOKUP(A1381,Orders!A:A,Orders!B:B,"not found")</f>
        <v>LEHMS</v>
      </c>
      <c r="G1381" s="13">
        <f>_xlfn.XLOOKUP(OrderDetails[[#This Row],[OrderID]],Orders!A:A,Orders!C:C,"Not Found")</f>
        <v>35774</v>
      </c>
      <c r="H1381" s="16">
        <f>(OrderDetails[[#This Row],[UnitPrice]]*OrderDetails[[#This Row],[Quantity]])*(1-OrderDetails[[#This Row],[Discount]])</f>
        <v>2228.2200000000003</v>
      </c>
      <c r="I1381" s="15" t="str">
        <f>_xlfn.XLOOKUP(OrderDetails[[#This Row],[ProductID]],Product!A:A,Product!G:G,"Not Found")</f>
        <v>Meat/Poultry</v>
      </c>
      <c r="J1381" s="15" t="str">
        <f>LOOKUP(MONTH(G1381),{1,4,7,10},{"Winter","Spring","Summer","Autumn"})</f>
        <v>Autumn</v>
      </c>
      <c r="K1381" s="15" t="str">
        <f>_xlfn.XLOOKUP(OrderDetails[[#This Row],[ProductID]],Product!A:A,Product!B:B,"Not Found")</f>
        <v>Thüringer Rostbratwurst</v>
      </c>
    </row>
    <row r="1382" spans="1:11">
      <c r="A1382" s="1">
        <v>10772</v>
      </c>
      <c r="B1382" s="1">
        <v>59</v>
      </c>
      <c r="C1382" s="1">
        <v>55</v>
      </c>
      <c r="D1382" s="1">
        <v>25</v>
      </c>
      <c r="E1382" s="3">
        <v>0</v>
      </c>
      <c r="F1382" s="1" t="str">
        <f>_xlfn.XLOOKUP(A1382,Orders!A:A,Orders!B:B,"not found")</f>
        <v>LEHMS</v>
      </c>
      <c r="G1382" s="13">
        <f>_xlfn.XLOOKUP(OrderDetails[[#This Row],[OrderID]],Orders!A:A,Orders!C:C,"Not Found")</f>
        <v>35774</v>
      </c>
      <c r="H1382" s="16">
        <f>(OrderDetails[[#This Row],[UnitPrice]]*OrderDetails[[#This Row],[Quantity]])*(1-OrderDetails[[#This Row],[Discount]])</f>
        <v>1375</v>
      </c>
      <c r="I1382" s="15" t="str">
        <f>_xlfn.XLOOKUP(OrderDetails[[#This Row],[ProductID]],Product!A:A,Product!G:G,"Not Found")</f>
        <v>Dairy Products</v>
      </c>
      <c r="J1382" s="15" t="str">
        <f>LOOKUP(MONTH(G1382),{1,4,7,10},{"Winter","Spring","Summer","Autumn"})</f>
        <v>Autumn</v>
      </c>
      <c r="K1382" s="15" t="str">
        <f>_xlfn.XLOOKUP(OrderDetails[[#This Row],[ProductID]],Product!A:A,Product!B:B,"Not Found")</f>
        <v>Raclette Courdavault</v>
      </c>
    </row>
    <row r="1383" spans="1:11">
      <c r="A1383" s="2">
        <v>10773</v>
      </c>
      <c r="B1383" s="2">
        <v>17</v>
      </c>
      <c r="C1383" s="2">
        <v>39</v>
      </c>
      <c r="D1383" s="2">
        <v>33</v>
      </c>
      <c r="E1383" s="4">
        <v>0</v>
      </c>
      <c r="F1383" s="1" t="str">
        <f>_xlfn.XLOOKUP(A1383,Orders!A:A,Orders!B:B,"not found")</f>
        <v>ERNSH</v>
      </c>
      <c r="G1383" s="13">
        <f>_xlfn.XLOOKUP(OrderDetails[[#This Row],[OrderID]],Orders!A:A,Orders!C:C,"Not Found")</f>
        <v>35775</v>
      </c>
      <c r="H1383" s="16">
        <f>(OrderDetails[[#This Row],[UnitPrice]]*OrderDetails[[#This Row],[Quantity]])*(1-OrderDetails[[#This Row],[Discount]])</f>
        <v>1287</v>
      </c>
      <c r="I1383" s="15" t="str">
        <f>_xlfn.XLOOKUP(OrderDetails[[#This Row],[ProductID]],Product!A:A,Product!G:G,"Not Found")</f>
        <v>Meat/Poultry</v>
      </c>
      <c r="J1383" s="15" t="str">
        <f>LOOKUP(MONTH(G1383),{1,4,7,10},{"Winter","Spring","Summer","Autumn"})</f>
        <v>Autumn</v>
      </c>
      <c r="K1383" s="15" t="str">
        <f>_xlfn.XLOOKUP(OrderDetails[[#This Row],[ProductID]],Product!A:A,Product!B:B,"Not Found")</f>
        <v>Alice Mutton</v>
      </c>
    </row>
    <row r="1384" spans="1:11">
      <c r="A1384" s="1">
        <v>10773</v>
      </c>
      <c r="B1384" s="1">
        <v>31</v>
      </c>
      <c r="C1384" s="1">
        <v>12.5</v>
      </c>
      <c r="D1384" s="1">
        <v>70</v>
      </c>
      <c r="E1384" s="3">
        <v>0.20000000298023224</v>
      </c>
      <c r="F1384" s="1" t="str">
        <f>_xlfn.XLOOKUP(A1384,Orders!A:A,Orders!B:B,"not found")</f>
        <v>ERNSH</v>
      </c>
      <c r="G1384" s="13">
        <f>_xlfn.XLOOKUP(OrderDetails[[#This Row],[OrderID]],Orders!A:A,Orders!C:C,"Not Found")</f>
        <v>35775</v>
      </c>
      <c r="H1384" s="16">
        <f>(OrderDetails[[#This Row],[UnitPrice]]*OrderDetails[[#This Row],[Quantity]])*(1-OrderDetails[[#This Row],[Discount]])</f>
        <v>699.99999739229679</v>
      </c>
      <c r="I1384" s="15" t="str">
        <f>_xlfn.XLOOKUP(OrderDetails[[#This Row],[ProductID]],Product!A:A,Product!G:G,"Not Found")</f>
        <v>Dairy Products</v>
      </c>
      <c r="J1384" s="15" t="str">
        <f>LOOKUP(MONTH(G1384),{1,4,7,10},{"Winter","Spring","Summer","Autumn"})</f>
        <v>Autumn</v>
      </c>
      <c r="K1384" s="15" t="str">
        <f>_xlfn.XLOOKUP(OrderDetails[[#This Row],[ProductID]],Product!A:A,Product!B:B,"Not Found")</f>
        <v>Gorgonzola Telino</v>
      </c>
    </row>
    <row r="1385" spans="1:11">
      <c r="A1385" s="2">
        <v>10773</v>
      </c>
      <c r="B1385" s="2">
        <v>75</v>
      </c>
      <c r="C1385" s="2">
        <v>7.75</v>
      </c>
      <c r="D1385" s="2">
        <v>7</v>
      </c>
      <c r="E1385" s="4">
        <v>0.20000000298023224</v>
      </c>
      <c r="F1385" s="1" t="str">
        <f>_xlfn.XLOOKUP(A1385,Orders!A:A,Orders!B:B,"not found")</f>
        <v>ERNSH</v>
      </c>
      <c r="G1385" s="13">
        <f>_xlfn.XLOOKUP(OrderDetails[[#This Row],[OrderID]],Orders!A:A,Orders!C:C,"Not Found")</f>
        <v>35775</v>
      </c>
      <c r="H1385" s="16">
        <f>(OrderDetails[[#This Row],[UnitPrice]]*OrderDetails[[#This Row],[Quantity]])*(1-OrderDetails[[#This Row],[Discount]])</f>
        <v>43.399999838322401</v>
      </c>
      <c r="I1385" s="15" t="str">
        <f>_xlfn.XLOOKUP(OrderDetails[[#This Row],[ProductID]],Product!A:A,Product!G:G,"Not Found")</f>
        <v>Beverages</v>
      </c>
      <c r="J1385" s="15" t="str">
        <f>LOOKUP(MONTH(G1385),{1,4,7,10},{"Winter","Spring","Summer","Autumn"})</f>
        <v>Autumn</v>
      </c>
      <c r="K1385" s="15" t="str">
        <f>_xlfn.XLOOKUP(OrderDetails[[#This Row],[ProductID]],Product!A:A,Product!B:B,"Not Found")</f>
        <v>Rhönbräu Klosterbier</v>
      </c>
    </row>
    <row r="1386" spans="1:11">
      <c r="A1386" s="1">
        <v>10774</v>
      </c>
      <c r="B1386" s="1">
        <v>31</v>
      </c>
      <c r="C1386" s="1">
        <v>12.5</v>
      </c>
      <c r="D1386" s="1">
        <v>2</v>
      </c>
      <c r="E1386" s="3">
        <v>0.25</v>
      </c>
      <c r="F1386" s="1" t="str">
        <f>_xlfn.XLOOKUP(A1386,Orders!A:A,Orders!B:B,"not found")</f>
        <v>FOLKO</v>
      </c>
      <c r="G1386" s="13">
        <f>_xlfn.XLOOKUP(OrderDetails[[#This Row],[OrderID]],Orders!A:A,Orders!C:C,"Not Found")</f>
        <v>35775</v>
      </c>
      <c r="H1386" s="16">
        <f>(OrderDetails[[#This Row],[UnitPrice]]*OrderDetails[[#This Row],[Quantity]])*(1-OrderDetails[[#This Row],[Discount]])</f>
        <v>18.75</v>
      </c>
      <c r="I1386" s="15" t="str">
        <f>_xlfn.XLOOKUP(OrderDetails[[#This Row],[ProductID]],Product!A:A,Product!G:G,"Not Found")</f>
        <v>Dairy Products</v>
      </c>
      <c r="J1386" s="15" t="str">
        <f>LOOKUP(MONTH(G1386),{1,4,7,10},{"Winter","Spring","Summer","Autumn"})</f>
        <v>Autumn</v>
      </c>
      <c r="K1386" s="15" t="str">
        <f>_xlfn.XLOOKUP(OrderDetails[[#This Row],[ProductID]],Product!A:A,Product!B:B,"Not Found")</f>
        <v>Gorgonzola Telino</v>
      </c>
    </row>
    <row r="1387" spans="1:11">
      <c r="A1387" s="2">
        <v>10774</v>
      </c>
      <c r="B1387" s="2">
        <v>66</v>
      </c>
      <c r="C1387" s="2">
        <v>17</v>
      </c>
      <c r="D1387" s="2">
        <v>50</v>
      </c>
      <c r="E1387" s="4">
        <v>0</v>
      </c>
      <c r="F1387" s="1" t="str">
        <f>_xlfn.XLOOKUP(A1387,Orders!A:A,Orders!B:B,"not found")</f>
        <v>FOLKO</v>
      </c>
      <c r="G1387" s="13">
        <f>_xlfn.XLOOKUP(OrderDetails[[#This Row],[OrderID]],Orders!A:A,Orders!C:C,"Not Found")</f>
        <v>35775</v>
      </c>
      <c r="H1387" s="16">
        <f>(OrderDetails[[#This Row],[UnitPrice]]*OrderDetails[[#This Row],[Quantity]])*(1-OrderDetails[[#This Row],[Discount]])</f>
        <v>850</v>
      </c>
      <c r="I1387" s="15" t="str">
        <f>_xlfn.XLOOKUP(OrderDetails[[#This Row],[ProductID]],Product!A:A,Product!G:G,"Not Found")</f>
        <v>Condiments</v>
      </c>
      <c r="J1387" s="15" t="str">
        <f>LOOKUP(MONTH(G1387),{1,4,7,10},{"Winter","Spring","Summer","Autumn"})</f>
        <v>Autumn</v>
      </c>
      <c r="K1387" s="15" t="str">
        <f>_xlfn.XLOOKUP(OrderDetails[[#This Row],[ProductID]],Product!A:A,Product!B:B,"Not Found")</f>
        <v>Louisiana Hot Spiced Okra</v>
      </c>
    </row>
    <row r="1388" spans="1:11">
      <c r="A1388" s="1">
        <v>10775</v>
      </c>
      <c r="B1388" s="1">
        <v>10</v>
      </c>
      <c r="C1388" s="1">
        <v>31</v>
      </c>
      <c r="D1388" s="1">
        <v>6</v>
      </c>
      <c r="E1388" s="3">
        <v>0</v>
      </c>
      <c r="F1388" s="1" t="str">
        <f>_xlfn.XLOOKUP(A1388,Orders!A:A,Orders!B:B,"not found")</f>
        <v>THECR</v>
      </c>
      <c r="G1388" s="13">
        <f>_xlfn.XLOOKUP(OrderDetails[[#This Row],[OrderID]],Orders!A:A,Orders!C:C,"Not Found")</f>
        <v>35776</v>
      </c>
      <c r="H1388" s="16">
        <f>(OrderDetails[[#This Row],[UnitPrice]]*OrderDetails[[#This Row],[Quantity]])*(1-OrderDetails[[#This Row],[Discount]])</f>
        <v>186</v>
      </c>
      <c r="I1388" s="15" t="str">
        <f>_xlfn.XLOOKUP(OrderDetails[[#This Row],[ProductID]],Product!A:A,Product!G:G,"Not Found")</f>
        <v>Seafood</v>
      </c>
      <c r="J1388" s="15" t="str">
        <f>LOOKUP(MONTH(G1388),{1,4,7,10},{"Winter","Spring","Summer","Autumn"})</f>
        <v>Autumn</v>
      </c>
      <c r="K1388" s="15" t="str">
        <f>_xlfn.XLOOKUP(OrderDetails[[#This Row],[ProductID]],Product!A:A,Product!B:B,"Not Found")</f>
        <v>Ikura</v>
      </c>
    </row>
    <row r="1389" spans="1:11">
      <c r="A1389" s="2">
        <v>10775</v>
      </c>
      <c r="B1389" s="2">
        <v>67</v>
      </c>
      <c r="C1389" s="2">
        <v>14</v>
      </c>
      <c r="D1389" s="2">
        <v>3</v>
      </c>
      <c r="E1389" s="4">
        <v>0</v>
      </c>
      <c r="F1389" s="1" t="str">
        <f>_xlfn.XLOOKUP(A1389,Orders!A:A,Orders!B:B,"not found")</f>
        <v>THECR</v>
      </c>
      <c r="G1389" s="13">
        <f>_xlfn.XLOOKUP(OrderDetails[[#This Row],[OrderID]],Orders!A:A,Orders!C:C,"Not Found")</f>
        <v>35776</v>
      </c>
      <c r="H1389" s="16">
        <f>(OrderDetails[[#This Row],[UnitPrice]]*OrderDetails[[#This Row],[Quantity]])*(1-OrderDetails[[#This Row],[Discount]])</f>
        <v>42</v>
      </c>
      <c r="I1389" s="15" t="str">
        <f>_xlfn.XLOOKUP(OrderDetails[[#This Row],[ProductID]],Product!A:A,Product!G:G,"Not Found")</f>
        <v>Beverages</v>
      </c>
      <c r="J1389" s="15" t="str">
        <f>LOOKUP(MONTH(G1389),{1,4,7,10},{"Winter","Spring","Summer","Autumn"})</f>
        <v>Autumn</v>
      </c>
      <c r="K1389" s="15" t="str">
        <f>_xlfn.XLOOKUP(OrderDetails[[#This Row],[ProductID]],Product!A:A,Product!B:B,"Not Found")</f>
        <v>Laughing Lumberjack Lager</v>
      </c>
    </row>
    <row r="1390" spans="1:11">
      <c r="A1390" s="1">
        <v>10776</v>
      </c>
      <c r="B1390" s="1">
        <v>31</v>
      </c>
      <c r="C1390" s="1">
        <v>12.5</v>
      </c>
      <c r="D1390" s="1">
        <v>16</v>
      </c>
      <c r="E1390" s="3">
        <v>5.000000074505806E-2</v>
      </c>
      <c r="F1390" s="1" t="str">
        <f>_xlfn.XLOOKUP(A1390,Orders!A:A,Orders!B:B,"not found")</f>
        <v>ERNSH</v>
      </c>
      <c r="G1390" s="13">
        <f>_xlfn.XLOOKUP(OrderDetails[[#This Row],[OrderID]],Orders!A:A,Orders!C:C,"Not Found")</f>
        <v>35779</v>
      </c>
      <c r="H1390" s="16">
        <f>(OrderDetails[[#This Row],[UnitPrice]]*OrderDetails[[#This Row],[Quantity]])*(1-OrderDetails[[#This Row],[Discount]])</f>
        <v>189.99999985098839</v>
      </c>
      <c r="I1390" s="15" t="str">
        <f>_xlfn.XLOOKUP(OrderDetails[[#This Row],[ProductID]],Product!A:A,Product!G:G,"Not Found")</f>
        <v>Dairy Products</v>
      </c>
      <c r="J1390" s="15" t="str">
        <f>LOOKUP(MONTH(G1390),{1,4,7,10},{"Winter","Spring","Summer","Autumn"})</f>
        <v>Autumn</v>
      </c>
      <c r="K1390" s="15" t="str">
        <f>_xlfn.XLOOKUP(OrderDetails[[#This Row],[ProductID]],Product!A:A,Product!B:B,"Not Found")</f>
        <v>Gorgonzola Telino</v>
      </c>
    </row>
    <row r="1391" spans="1:11">
      <c r="A1391" s="2">
        <v>10776</v>
      </c>
      <c r="B1391" s="2">
        <v>42</v>
      </c>
      <c r="C1391" s="2">
        <v>14</v>
      </c>
      <c r="D1391" s="2">
        <v>12</v>
      </c>
      <c r="E1391" s="4">
        <v>5.000000074505806E-2</v>
      </c>
      <c r="F1391" s="1" t="str">
        <f>_xlfn.XLOOKUP(A1391,Orders!A:A,Orders!B:B,"not found")</f>
        <v>ERNSH</v>
      </c>
      <c r="G1391" s="13">
        <f>_xlfn.XLOOKUP(OrderDetails[[#This Row],[OrderID]],Orders!A:A,Orders!C:C,"Not Found")</f>
        <v>35779</v>
      </c>
      <c r="H1391" s="16">
        <f>(OrderDetails[[#This Row],[UnitPrice]]*OrderDetails[[#This Row],[Quantity]])*(1-OrderDetails[[#This Row],[Discount]])</f>
        <v>159.59999987483025</v>
      </c>
      <c r="I1391" s="15" t="str">
        <f>_xlfn.XLOOKUP(OrderDetails[[#This Row],[ProductID]],Product!A:A,Product!G:G,"Not Found")</f>
        <v>Grains/Cereals</v>
      </c>
      <c r="J1391" s="15" t="str">
        <f>LOOKUP(MONTH(G1391),{1,4,7,10},{"Winter","Spring","Summer","Autumn"})</f>
        <v>Autumn</v>
      </c>
      <c r="K1391" s="15" t="str">
        <f>_xlfn.XLOOKUP(OrderDetails[[#This Row],[ProductID]],Product!A:A,Product!B:B,"Not Found")</f>
        <v>Singaporean Hokkien Fried Mee</v>
      </c>
    </row>
    <row r="1392" spans="1:11">
      <c r="A1392" s="1">
        <v>10776</v>
      </c>
      <c r="B1392" s="1">
        <v>45</v>
      </c>
      <c r="C1392" s="1">
        <v>9.5</v>
      </c>
      <c r="D1392" s="1">
        <v>27</v>
      </c>
      <c r="E1392" s="3">
        <v>5.000000074505806E-2</v>
      </c>
      <c r="F1392" s="1" t="str">
        <f>_xlfn.XLOOKUP(A1392,Orders!A:A,Orders!B:B,"not found")</f>
        <v>ERNSH</v>
      </c>
      <c r="G1392" s="13">
        <f>_xlfn.XLOOKUP(OrderDetails[[#This Row],[OrderID]],Orders!A:A,Orders!C:C,"Not Found")</f>
        <v>35779</v>
      </c>
      <c r="H1392" s="16">
        <f>(OrderDetails[[#This Row],[UnitPrice]]*OrderDetails[[#This Row],[Quantity]])*(1-OrderDetails[[#This Row],[Discount]])</f>
        <v>243.67499980889261</v>
      </c>
      <c r="I1392" s="15" t="str">
        <f>_xlfn.XLOOKUP(OrderDetails[[#This Row],[ProductID]],Product!A:A,Product!G:G,"Not Found")</f>
        <v>Seafood</v>
      </c>
      <c r="J1392" s="15" t="str">
        <f>LOOKUP(MONTH(G1392),{1,4,7,10},{"Winter","Spring","Summer","Autumn"})</f>
        <v>Autumn</v>
      </c>
      <c r="K1392" s="15" t="str">
        <f>_xlfn.XLOOKUP(OrderDetails[[#This Row],[ProductID]],Product!A:A,Product!B:B,"Not Found")</f>
        <v>Rogede sild</v>
      </c>
    </row>
    <row r="1393" spans="1:11">
      <c r="A1393" s="2">
        <v>10776</v>
      </c>
      <c r="B1393" s="2">
        <v>51</v>
      </c>
      <c r="C1393" s="2">
        <v>53</v>
      </c>
      <c r="D1393" s="2">
        <v>120</v>
      </c>
      <c r="E1393" s="4">
        <v>5.000000074505806E-2</v>
      </c>
      <c r="F1393" s="1" t="str">
        <f>_xlfn.XLOOKUP(A1393,Orders!A:A,Orders!B:B,"not found")</f>
        <v>ERNSH</v>
      </c>
      <c r="G1393" s="13">
        <f>_xlfn.XLOOKUP(OrderDetails[[#This Row],[OrderID]],Orders!A:A,Orders!C:C,"Not Found")</f>
        <v>35779</v>
      </c>
      <c r="H1393" s="16">
        <f>(OrderDetails[[#This Row],[UnitPrice]]*OrderDetails[[#This Row],[Quantity]])*(1-OrderDetails[[#This Row],[Discount]])</f>
        <v>6041.9999952614307</v>
      </c>
      <c r="I1393" s="15" t="str">
        <f>_xlfn.XLOOKUP(OrderDetails[[#This Row],[ProductID]],Product!A:A,Product!G:G,"Not Found")</f>
        <v>Produce</v>
      </c>
      <c r="J1393" s="15" t="str">
        <f>LOOKUP(MONTH(G1393),{1,4,7,10},{"Winter","Spring","Summer","Autumn"})</f>
        <v>Autumn</v>
      </c>
      <c r="K1393" s="15" t="str">
        <f>_xlfn.XLOOKUP(OrderDetails[[#This Row],[ProductID]],Product!A:A,Product!B:B,"Not Found")</f>
        <v>Manjimup Dried Apples</v>
      </c>
    </row>
    <row r="1394" spans="1:11">
      <c r="A1394" s="1">
        <v>10777</v>
      </c>
      <c r="B1394" s="1">
        <v>42</v>
      </c>
      <c r="C1394" s="1">
        <v>14</v>
      </c>
      <c r="D1394" s="1">
        <v>20</v>
      </c>
      <c r="E1394" s="3">
        <v>0.20000000298023224</v>
      </c>
      <c r="F1394" s="1" t="str">
        <f>_xlfn.XLOOKUP(A1394,Orders!A:A,Orders!B:B,"not found")</f>
        <v>GOURL</v>
      </c>
      <c r="G1394" s="13">
        <f>_xlfn.XLOOKUP(OrderDetails[[#This Row],[OrderID]],Orders!A:A,Orders!C:C,"Not Found")</f>
        <v>35779</v>
      </c>
      <c r="H1394" s="16">
        <f>(OrderDetails[[#This Row],[UnitPrice]]*OrderDetails[[#This Row],[Quantity]])*(1-OrderDetails[[#This Row],[Discount]])</f>
        <v>223.99999916553497</v>
      </c>
      <c r="I1394" s="15" t="str">
        <f>_xlfn.XLOOKUP(OrderDetails[[#This Row],[ProductID]],Product!A:A,Product!G:G,"Not Found")</f>
        <v>Grains/Cereals</v>
      </c>
      <c r="J1394" s="15" t="str">
        <f>LOOKUP(MONTH(G1394),{1,4,7,10},{"Winter","Spring","Summer","Autumn"})</f>
        <v>Autumn</v>
      </c>
      <c r="K1394" s="15" t="str">
        <f>_xlfn.XLOOKUP(OrderDetails[[#This Row],[ProductID]],Product!A:A,Product!B:B,"Not Found")</f>
        <v>Singaporean Hokkien Fried Mee</v>
      </c>
    </row>
    <row r="1395" spans="1:11">
      <c r="A1395" s="2">
        <v>10778</v>
      </c>
      <c r="B1395" s="2">
        <v>41</v>
      </c>
      <c r="C1395" s="2">
        <v>9.65</v>
      </c>
      <c r="D1395" s="2">
        <v>10</v>
      </c>
      <c r="E1395" s="4">
        <v>0</v>
      </c>
      <c r="F1395" s="1" t="str">
        <f>_xlfn.XLOOKUP(A1395,Orders!A:A,Orders!B:B,"not found")</f>
        <v>BERGS</v>
      </c>
      <c r="G1395" s="13">
        <f>_xlfn.XLOOKUP(OrderDetails[[#This Row],[OrderID]],Orders!A:A,Orders!C:C,"Not Found")</f>
        <v>35780</v>
      </c>
      <c r="H1395" s="16">
        <f>(OrderDetails[[#This Row],[UnitPrice]]*OrderDetails[[#This Row],[Quantity]])*(1-OrderDetails[[#This Row],[Discount]])</f>
        <v>96.5</v>
      </c>
      <c r="I1395" s="15" t="str">
        <f>_xlfn.XLOOKUP(OrderDetails[[#This Row],[ProductID]],Product!A:A,Product!G:G,"Not Found")</f>
        <v>Seafood</v>
      </c>
      <c r="J1395" s="15" t="str">
        <f>LOOKUP(MONTH(G1395),{1,4,7,10},{"Winter","Spring","Summer","Autumn"})</f>
        <v>Autumn</v>
      </c>
      <c r="K1395" s="15" t="str">
        <f>_xlfn.XLOOKUP(OrderDetails[[#This Row],[ProductID]],Product!A:A,Product!B:B,"Not Found")</f>
        <v>Jack's New England Clam Chowder</v>
      </c>
    </row>
    <row r="1396" spans="1:11">
      <c r="A1396" s="1">
        <v>10779</v>
      </c>
      <c r="B1396" s="1">
        <v>16</v>
      </c>
      <c r="C1396" s="1">
        <v>17.45</v>
      </c>
      <c r="D1396" s="1">
        <v>20</v>
      </c>
      <c r="E1396" s="3">
        <v>0</v>
      </c>
      <c r="F1396" s="1" t="str">
        <f>_xlfn.XLOOKUP(A1396,Orders!A:A,Orders!B:B,"not found")</f>
        <v>MORGK</v>
      </c>
      <c r="G1396" s="13">
        <f>_xlfn.XLOOKUP(OrderDetails[[#This Row],[OrderID]],Orders!A:A,Orders!C:C,"Not Found")</f>
        <v>35780</v>
      </c>
      <c r="H1396" s="16">
        <f>(OrderDetails[[#This Row],[UnitPrice]]*OrderDetails[[#This Row],[Quantity]])*(1-OrderDetails[[#This Row],[Discount]])</f>
        <v>349</v>
      </c>
      <c r="I1396" s="15" t="str">
        <f>_xlfn.XLOOKUP(OrderDetails[[#This Row],[ProductID]],Product!A:A,Product!G:G,"Not Found")</f>
        <v>Confections</v>
      </c>
      <c r="J1396" s="15" t="str">
        <f>LOOKUP(MONTH(G1396),{1,4,7,10},{"Winter","Spring","Summer","Autumn"})</f>
        <v>Autumn</v>
      </c>
      <c r="K1396" s="15" t="str">
        <f>_xlfn.XLOOKUP(OrderDetails[[#This Row],[ProductID]],Product!A:A,Product!B:B,"Not Found")</f>
        <v>Pavlova</v>
      </c>
    </row>
    <row r="1397" spans="1:11">
      <c r="A1397" s="2">
        <v>10779</v>
      </c>
      <c r="B1397" s="2">
        <v>62</v>
      </c>
      <c r="C1397" s="2">
        <v>49.3</v>
      </c>
      <c r="D1397" s="2">
        <v>20</v>
      </c>
      <c r="E1397" s="4">
        <v>0</v>
      </c>
      <c r="F1397" s="1" t="str">
        <f>_xlfn.XLOOKUP(A1397,Orders!A:A,Orders!B:B,"not found")</f>
        <v>MORGK</v>
      </c>
      <c r="G1397" s="13">
        <f>_xlfn.XLOOKUP(OrderDetails[[#This Row],[OrderID]],Orders!A:A,Orders!C:C,"Not Found")</f>
        <v>35780</v>
      </c>
      <c r="H1397" s="16">
        <f>(OrderDetails[[#This Row],[UnitPrice]]*OrderDetails[[#This Row],[Quantity]])*(1-OrderDetails[[#This Row],[Discount]])</f>
        <v>986</v>
      </c>
      <c r="I1397" s="15" t="str">
        <f>_xlfn.XLOOKUP(OrderDetails[[#This Row],[ProductID]],Product!A:A,Product!G:G,"Not Found")</f>
        <v>Confections</v>
      </c>
      <c r="J1397" s="15" t="str">
        <f>LOOKUP(MONTH(G1397),{1,4,7,10},{"Winter","Spring","Summer","Autumn"})</f>
        <v>Autumn</v>
      </c>
      <c r="K1397" s="15" t="str">
        <f>_xlfn.XLOOKUP(OrderDetails[[#This Row],[ProductID]],Product!A:A,Product!B:B,"Not Found")</f>
        <v>Tarte au sucre</v>
      </c>
    </row>
    <row r="1398" spans="1:11">
      <c r="A1398" s="1">
        <v>10780</v>
      </c>
      <c r="B1398" s="1">
        <v>70</v>
      </c>
      <c r="C1398" s="1">
        <v>15</v>
      </c>
      <c r="D1398" s="1">
        <v>35</v>
      </c>
      <c r="E1398" s="3">
        <v>0</v>
      </c>
      <c r="F1398" s="1" t="str">
        <f>_xlfn.XLOOKUP(A1398,Orders!A:A,Orders!B:B,"not found")</f>
        <v>LILAS</v>
      </c>
      <c r="G1398" s="13">
        <f>_xlfn.XLOOKUP(OrderDetails[[#This Row],[OrderID]],Orders!A:A,Orders!C:C,"Not Found")</f>
        <v>35780</v>
      </c>
      <c r="H1398" s="16">
        <f>(OrderDetails[[#This Row],[UnitPrice]]*OrderDetails[[#This Row],[Quantity]])*(1-OrderDetails[[#This Row],[Discount]])</f>
        <v>525</v>
      </c>
      <c r="I1398" s="15" t="str">
        <f>_xlfn.XLOOKUP(OrderDetails[[#This Row],[ProductID]],Product!A:A,Product!G:G,"Not Found")</f>
        <v>Beverages</v>
      </c>
      <c r="J1398" s="15" t="str">
        <f>LOOKUP(MONTH(G1398),{1,4,7,10},{"Winter","Spring","Summer","Autumn"})</f>
        <v>Autumn</v>
      </c>
      <c r="K1398" s="15" t="str">
        <f>_xlfn.XLOOKUP(OrderDetails[[#This Row],[ProductID]],Product!A:A,Product!B:B,"Not Found")</f>
        <v>Outback Lager</v>
      </c>
    </row>
    <row r="1399" spans="1:11">
      <c r="A1399" s="2">
        <v>10780</v>
      </c>
      <c r="B1399" s="2">
        <v>77</v>
      </c>
      <c r="C1399" s="2">
        <v>13</v>
      </c>
      <c r="D1399" s="2">
        <v>15</v>
      </c>
      <c r="E1399" s="4">
        <v>0</v>
      </c>
      <c r="F1399" s="1" t="str">
        <f>_xlfn.XLOOKUP(A1399,Orders!A:A,Orders!B:B,"not found")</f>
        <v>LILAS</v>
      </c>
      <c r="G1399" s="13">
        <f>_xlfn.XLOOKUP(OrderDetails[[#This Row],[OrderID]],Orders!A:A,Orders!C:C,"Not Found")</f>
        <v>35780</v>
      </c>
      <c r="H1399" s="16">
        <f>(OrderDetails[[#This Row],[UnitPrice]]*OrderDetails[[#This Row],[Quantity]])*(1-OrderDetails[[#This Row],[Discount]])</f>
        <v>195</v>
      </c>
      <c r="I1399" s="15" t="str">
        <f>_xlfn.XLOOKUP(OrderDetails[[#This Row],[ProductID]],Product!A:A,Product!G:G,"Not Found")</f>
        <v>Condiments</v>
      </c>
      <c r="J1399" s="15" t="str">
        <f>LOOKUP(MONTH(G1399),{1,4,7,10},{"Winter","Spring","Summer","Autumn"})</f>
        <v>Autumn</v>
      </c>
      <c r="K1399" s="15" t="str">
        <f>_xlfn.XLOOKUP(OrderDetails[[#This Row],[ProductID]],Product!A:A,Product!B:B,"Not Found")</f>
        <v>Original Frankfurter grüne Soße</v>
      </c>
    </row>
    <row r="1400" spans="1:11">
      <c r="A1400" s="1">
        <v>10781</v>
      </c>
      <c r="B1400" s="1">
        <v>54</v>
      </c>
      <c r="C1400" s="1">
        <v>7.45</v>
      </c>
      <c r="D1400" s="1">
        <v>3</v>
      </c>
      <c r="E1400" s="3">
        <v>0.20000000298023224</v>
      </c>
      <c r="F1400" s="1" t="str">
        <f>_xlfn.XLOOKUP(A1400,Orders!A:A,Orders!B:B,"not found")</f>
        <v>WARTH</v>
      </c>
      <c r="G1400" s="13">
        <f>_xlfn.XLOOKUP(OrderDetails[[#This Row],[OrderID]],Orders!A:A,Orders!C:C,"Not Found")</f>
        <v>35781</v>
      </c>
      <c r="H1400" s="16">
        <f>(OrderDetails[[#This Row],[UnitPrice]]*OrderDetails[[#This Row],[Quantity]])*(1-OrderDetails[[#This Row],[Discount]])</f>
        <v>17.879999933391812</v>
      </c>
      <c r="I1400" s="15" t="str">
        <f>_xlfn.XLOOKUP(OrderDetails[[#This Row],[ProductID]],Product!A:A,Product!G:G,"Not Found")</f>
        <v>Meat/Poultry</v>
      </c>
      <c r="J1400" s="15" t="str">
        <f>LOOKUP(MONTH(G1400),{1,4,7,10},{"Winter","Spring","Summer","Autumn"})</f>
        <v>Autumn</v>
      </c>
      <c r="K1400" s="15" t="str">
        <f>_xlfn.XLOOKUP(OrderDetails[[#This Row],[ProductID]],Product!A:A,Product!B:B,"Not Found")</f>
        <v>Tourtière</v>
      </c>
    </row>
    <row r="1401" spans="1:11">
      <c r="A1401" s="2">
        <v>10781</v>
      </c>
      <c r="B1401" s="2">
        <v>56</v>
      </c>
      <c r="C1401" s="2">
        <v>38</v>
      </c>
      <c r="D1401" s="2">
        <v>20</v>
      </c>
      <c r="E1401" s="4">
        <v>0.20000000298023224</v>
      </c>
      <c r="F1401" s="1" t="str">
        <f>_xlfn.XLOOKUP(A1401,Orders!A:A,Orders!B:B,"not found")</f>
        <v>WARTH</v>
      </c>
      <c r="G1401" s="13">
        <f>_xlfn.XLOOKUP(OrderDetails[[#This Row],[OrderID]],Orders!A:A,Orders!C:C,"Not Found")</f>
        <v>35781</v>
      </c>
      <c r="H1401" s="16">
        <f>(OrderDetails[[#This Row],[UnitPrice]]*OrderDetails[[#This Row],[Quantity]])*(1-OrderDetails[[#This Row],[Discount]])</f>
        <v>607.9999977350235</v>
      </c>
      <c r="I1401" s="15" t="str">
        <f>_xlfn.XLOOKUP(OrderDetails[[#This Row],[ProductID]],Product!A:A,Product!G:G,"Not Found")</f>
        <v>Grains/Cereals</v>
      </c>
      <c r="J1401" s="15" t="str">
        <f>LOOKUP(MONTH(G1401),{1,4,7,10},{"Winter","Spring","Summer","Autumn"})</f>
        <v>Autumn</v>
      </c>
      <c r="K1401" s="15" t="str">
        <f>_xlfn.XLOOKUP(OrderDetails[[#This Row],[ProductID]],Product!A:A,Product!B:B,"Not Found")</f>
        <v>Gnocchi di nonna Alice</v>
      </c>
    </row>
    <row r="1402" spans="1:11">
      <c r="A1402" s="1">
        <v>10781</v>
      </c>
      <c r="B1402" s="1">
        <v>74</v>
      </c>
      <c r="C1402" s="1">
        <v>10</v>
      </c>
      <c r="D1402" s="1">
        <v>35</v>
      </c>
      <c r="E1402" s="3">
        <v>0</v>
      </c>
      <c r="F1402" s="1" t="str">
        <f>_xlfn.XLOOKUP(A1402,Orders!A:A,Orders!B:B,"not found")</f>
        <v>WARTH</v>
      </c>
      <c r="G1402" s="13">
        <f>_xlfn.XLOOKUP(OrderDetails[[#This Row],[OrderID]],Orders!A:A,Orders!C:C,"Not Found")</f>
        <v>35781</v>
      </c>
      <c r="H1402" s="16">
        <f>(OrderDetails[[#This Row],[UnitPrice]]*OrderDetails[[#This Row],[Quantity]])*(1-OrderDetails[[#This Row],[Discount]])</f>
        <v>350</v>
      </c>
      <c r="I1402" s="15" t="str">
        <f>_xlfn.XLOOKUP(OrderDetails[[#This Row],[ProductID]],Product!A:A,Product!G:G,"Not Found")</f>
        <v>Produce</v>
      </c>
      <c r="J1402" s="15" t="str">
        <f>LOOKUP(MONTH(G1402),{1,4,7,10},{"Winter","Spring","Summer","Autumn"})</f>
        <v>Autumn</v>
      </c>
      <c r="K1402" s="15" t="str">
        <f>_xlfn.XLOOKUP(OrderDetails[[#This Row],[ProductID]],Product!A:A,Product!B:B,"Not Found")</f>
        <v>Longlife Tofu</v>
      </c>
    </row>
    <row r="1403" spans="1:11">
      <c r="A1403" s="2">
        <v>10782</v>
      </c>
      <c r="B1403" s="2">
        <v>31</v>
      </c>
      <c r="C1403" s="2">
        <v>12.5</v>
      </c>
      <c r="D1403" s="2">
        <v>1</v>
      </c>
      <c r="E1403" s="4">
        <v>0</v>
      </c>
      <c r="F1403" s="1" t="str">
        <f>_xlfn.XLOOKUP(A1403,Orders!A:A,Orders!B:B,"not found")</f>
        <v>CACTU</v>
      </c>
      <c r="G1403" s="13">
        <f>_xlfn.XLOOKUP(OrderDetails[[#This Row],[OrderID]],Orders!A:A,Orders!C:C,"Not Found")</f>
        <v>35781</v>
      </c>
      <c r="H1403" s="16">
        <f>(OrderDetails[[#This Row],[UnitPrice]]*OrderDetails[[#This Row],[Quantity]])*(1-OrderDetails[[#This Row],[Discount]])</f>
        <v>12.5</v>
      </c>
      <c r="I1403" s="15" t="str">
        <f>_xlfn.XLOOKUP(OrderDetails[[#This Row],[ProductID]],Product!A:A,Product!G:G,"Not Found")</f>
        <v>Dairy Products</v>
      </c>
      <c r="J1403" s="15" t="str">
        <f>LOOKUP(MONTH(G1403),{1,4,7,10},{"Winter","Spring","Summer","Autumn"})</f>
        <v>Autumn</v>
      </c>
      <c r="K1403" s="15" t="str">
        <f>_xlfn.XLOOKUP(OrderDetails[[#This Row],[ProductID]],Product!A:A,Product!B:B,"Not Found")</f>
        <v>Gorgonzola Telino</v>
      </c>
    </row>
    <row r="1404" spans="1:11">
      <c r="A1404" s="1">
        <v>10783</v>
      </c>
      <c r="B1404" s="1">
        <v>31</v>
      </c>
      <c r="C1404" s="1">
        <v>12.5</v>
      </c>
      <c r="D1404" s="1">
        <v>10</v>
      </c>
      <c r="E1404" s="3">
        <v>0</v>
      </c>
      <c r="F1404" s="1" t="str">
        <f>_xlfn.XLOOKUP(A1404,Orders!A:A,Orders!B:B,"not found")</f>
        <v>HANAR</v>
      </c>
      <c r="G1404" s="13">
        <f>_xlfn.XLOOKUP(OrderDetails[[#This Row],[OrderID]],Orders!A:A,Orders!C:C,"Not Found")</f>
        <v>35782</v>
      </c>
      <c r="H1404" s="16">
        <f>(OrderDetails[[#This Row],[UnitPrice]]*OrderDetails[[#This Row],[Quantity]])*(1-OrderDetails[[#This Row],[Discount]])</f>
        <v>125</v>
      </c>
      <c r="I1404" s="15" t="str">
        <f>_xlfn.XLOOKUP(OrderDetails[[#This Row],[ProductID]],Product!A:A,Product!G:G,"Not Found")</f>
        <v>Dairy Products</v>
      </c>
      <c r="J1404" s="15" t="str">
        <f>LOOKUP(MONTH(G1404),{1,4,7,10},{"Winter","Spring","Summer","Autumn"})</f>
        <v>Autumn</v>
      </c>
      <c r="K1404" s="15" t="str">
        <f>_xlfn.XLOOKUP(OrderDetails[[#This Row],[ProductID]],Product!A:A,Product!B:B,"Not Found")</f>
        <v>Gorgonzola Telino</v>
      </c>
    </row>
    <row r="1405" spans="1:11">
      <c r="A1405" s="2">
        <v>10783</v>
      </c>
      <c r="B1405" s="2">
        <v>38</v>
      </c>
      <c r="C1405" s="2">
        <v>263.5</v>
      </c>
      <c r="D1405" s="2">
        <v>5</v>
      </c>
      <c r="E1405" s="4">
        <v>0</v>
      </c>
      <c r="F1405" s="1" t="str">
        <f>_xlfn.XLOOKUP(A1405,Orders!A:A,Orders!B:B,"not found")</f>
        <v>HANAR</v>
      </c>
      <c r="G1405" s="13">
        <f>_xlfn.XLOOKUP(OrderDetails[[#This Row],[OrderID]],Orders!A:A,Orders!C:C,"Not Found")</f>
        <v>35782</v>
      </c>
      <c r="H1405" s="16">
        <f>(OrderDetails[[#This Row],[UnitPrice]]*OrderDetails[[#This Row],[Quantity]])*(1-OrderDetails[[#This Row],[Discount]])</f>
        <v>1317.5</v>
      </c>
      <c r="I1405" s="15" t="str">
        <f>_xlfn.XLOOKUP(OrderDetails[[#This Row],[ProductID]],Product!A:A,Product!G:G,"Not Found")</f>
        <v>Beverages</v>
      </c>
      <c r="J1405" s="15" t="str">
        <f>LOOKUP(MONTH(G1405),{1,4,7,10},{"Winter","Spring","Summer","Autumn"})</f>
        <v>Autumn</v>
      </c>
      <c r="K1405" s="15" t="str">
        <f>_xlfn.XLOOKUP(OrderDetails[[#This Row],[ProductID]],Product!A:A,Product!B:B,"Not Found")</f>
        <v>Côte de Blaye</v>
      </c>
    </row>
    <row r="1406" spans="1:11">
      <c r="A1406" s="1">
        <v>10784</v>
      </c>
      <c r="B1406" s="1">
        <v>36</v>
      </c>
      <c r="C1406" s="1">
        <v>19</v>
      </c>
      <c r="D1406" s="1">
        <v>30</v>
      </c>
      <c r="E1406" s="3">
        <v>0</v>
      </c>
      <c r="F1406" s="1" t="str">
        <f>_xlfn.XLOOKUP(A1406,Orders!A:A,Orders!B:B,"not found")</f>
        <v>MAGAA</v>
      </c>
      <c r="G1406" s="13">
        <f>_xlfn.XLOOKUP(OrderDetails[[#This Row],[OrderID]],Orders!A:A,Orders!C:C,"Not Found")</f>
        <v>35782</v>
      </c>
      <c r="H1406" s="16">
        <f>(OrderDetails[[#This Row],[UnitPrice]]*OrderDetails[[#This Row],[Quantity]])*(1-OrderDetails[[#This Row],[Discount]])</f>
        <v>570</v>
      </c>
      <c r="I1406" s="15" t="str">
        <f>_xlfn.XLOOKUP(OrderDetails[[#This Row],[ProductID]],Product!A:A,Product!G:G,"Not Found")</f>
        <v>Seafood</v>
      </c>
      <c r="J1406" s="15" t="str">
        <f>LOOKUP(MONTH(G1406),{1,4,7,10},{"Winter","Spring","Summer","Autumn"})</f>
        <v>Autumn</v>
      </c>
      <c r="K1406" s="15" t="str">
        <f>_xlfn.XLOOKUP(OrderDetails[[#This Row],[ProductID]],Product!A:A,Product!B:B,"Not Found")</f>
        <v>Inlagd Sill</v>
      </c>
    </row>
    <row r="1407" spans="1:11">
      <c r="A1407" s="2">
        <v>10784</v>
      </c>
      <c r="B1407" s="2">
        <v>39</v>
      </c>
      <c r="C1407" s="2">
        <v>18</v>
      </c>
      <c r="D1407" s="2">
        <v>2</v>
      </c>
      <c r="E1407" s="4">
        <v>0.15000000596046448</v>
      </c>
      <c r="F1407" s="1" t="str">
        <f>_xlfn.XLOOKUP(A1407,Orders!A:A,Orders!B:B,"not found")</f>
        <v>MAGAA</v>
      </c>
      <c r="G1407" s="13">
        <f>_xlfn.XLOOKUP(OrderDetails[[#This Row],[OrderID]],Orders!A:A,Orders!C:C,"Not Found")</f>
        <v>35782</v>
      </c>
      <c r="H1407" s="16">
        <f>(OrderDetails[[#This Row],[UnitPrice]]*OrderDetails[[#This Row],[Quantity]])*(1-OrderDetails[[#This Row],[Discount]])</f>
        <v>30.599999785423279</v>
      </c>
      <c r="I1407" s="15" t="str">
        <f>_xlfn.XLOOKUP(OrderDetails[[#This Row],[ProductID]],Product!A:A,Product!G:G,"Not Found")</f>
        <v>Beverages</v>
      </c>
      <c r="J1407" s="15" t="str">
        <f>LOOKUP(MONTH(G1407),{1,4,7,10},{"Winter","Spring","Summer","Autumn"})</f>
        <v>Autumn</v>
      </c>
      <c r="K1407" s="15" t="str">
        <f>_xlfn.XLOOKUP(OrderDetails[[#This Row],[ProductID]],Product!A:A,Product!B:B,"Not Found")</f>
        <v>Chartreuse verte</v>
      </c>
    </row>
    <row r="1408" spans="1:11">
      <c r="A1408" s="1">
        <v>10784</v>
      </c>
      <c r="B1408" s="1">
        <v>72</v>
      </c>
      <c r="C1408" s="1">
        <v>34.799999999999997</v>
      </c>
      <c r="D1408" s="1">
        <v>30</v>
      </c>
      <c r="E1408" s="3">
        <v>0.15000000596046448</v>
      </c>
      <c r="F1408" s="1" t="str">
        <f>_xlfn.XLOOKUP(A1408,Orders!A:A,Orders!B:B,"not found")</f>
        <v>MAGAA</v>
      </c>
      <c r="G1408" s="13">
        <f>_xlfn.XLOOKUP(OrderDetails[[#This Row],[OrderID]],Orders!A:A,Orders!C:C,"Not Found")</f>
        <v>35782</v>
      </c>
      <c r="H1408" s="16">
        <f>(OrderDetails[[#This Row],[UnitPrice]]*OrderDetails[[#This Row],[Quantity]])*(1-OrderDetails[[#This Row],[Discount]])</f>
        <v>887.39999377727509</v>
      </c>
      <c r="I1408" s="15" t="str">
        <f>_xlfn.XLOOKUP(OrderDetails[[#This Row],[ProductID]],Product!A:A,Product!G:G,"Not Found")</f>
        <v>Dairy Products</v>
      </c>
      <c r="J1408" s="15" t="str">
        <f>LOOKUP(MONTH(G1408),{1,4,7,10},{"Winter","Spring","Summer","Autumn"})</f>
        <v>Autumn</v>
      </c>
      <c r="K1408" s="15" t="str">
        <f>_xlfn.XLOOKUP(OrderDetails[[#This Row],[ProductID]],Product!A:A,Product!B:B,"Not Found")</f>
        <v>Mozzarella di Giovanni</v>
      </c>
    </row>
    <row r="1409" spans="1:11">
      <c r="A1409" s="2">
        <v>10785</v>
      </c>
      <c r="B1409" s="2">
        <v>10</v>
      </c>
      <c r="C1409" s="2">
        <v>31</v>
      </c>
      <c r="D1409" s="2">
        <v>10</v>
      </c>
      <c r="E1409" s="4">
        <v>0</v>
      </c>
      <c r="F1409" s="1" t="str">
        <f>_xlfn.XLOOKUP(A1409,Orders!A:A,Orders!B:B,"not found")</f>
        <v>GROSR</v>
      </c>
      <c r="G1409" s="13">
        <f>_xlfn.XLOOKUP(OrderDetails[[#This Row],[OrderID]],Orders!A:A,Orders!C:C,"Not Found")</f>
        <v>35782</v>
      </c>
      <c r="H1409" s="16">
        <f>(OrderDetails[[#This Row],[UnitPrice]]*OrderDetails[[#This Row],[Quantity]])*(1-OrderDetails[[#This Row],[Discount]])</f>
        <v>310</v>
      </c>
      <c r="I1409" s="15" t="str">
        <f>_xlfn.XLOOKUP(OrderDetails[[#This Row],[ProductID]],Product!A:A,Product!G:G,"Not Found")</f>
        <v>Seafood</v>
      </c>
      <c r="J1409" s="15" t="str">
        <f>LOOKUP(MONTH(G1409),{1,4,7,10},{"Winter","Spring","Summer","Autumn"})</f>
        <v>Autumn</v>
      </c>
      <c r="K1409" s="15" t="str">
        <f>_xlfn.XLOOKUP(OrderDetails[[#This Row],[ProductID]],Product!A:A,Product!B:B,"Not Found")</f>
        <v>Ikura</v>
      </c>
    </row>
    <row r="1410" spans="1:11">
      <c r="A1410" s="1">
        <v>10785</v>
      </c>
      <c r="B1410" s="1">
        <v>75</v>
      </c>
      <c r="C1410" s="1">
        <v>7.75</v>
      </c>
      <c r="D1410" s="1">
        <v>10</v>
      </c>
      <c r="E1410" s="3">
        <v>0</v>
      </c>
      <c r="F1410" s="1" t="str">
        <f>_xlfn.XLOOKUP(A1410,Orders!A:A,Orders!B:B,"not found")</f>
        <v>GROSR</v>
      </c>
      <c r="G1410" s="13">
        <f>_xlfn.XLOOKUP(OrderDetails[[#This Row],[OrderID]],Orders!A:A,Orders!C:C,"Not Found")</f>
        <v>35782</v>
      </c>
      <c r="H1410" s="16">
        <f>(OrderDetails[[#This Row],[UnitPrice]]*OrderDetails[[#This Row],[Quantity]])*(1-OrderDetails[[#This Row],[Discount]])</f>
        <v>77.5</v>
      </c>
      <c r="I1410" s="15" t="str">
        <f>_xlfn.XLOOKUP(OrderDetails[[#This Row],[ProductID]],Product!A:A,Product!G:G,"Not Found")</f>
        <v>Beverages</v>
      </c>
      <c r="J1410" s="15" t="str">
        <f>LOOKUP(MONTH(G1410),{1,4,7,10},{"Winter","Spring","Summer","Autumn"})</f>
        <v>Autumn</v>
      </c>
      <c r="K1410" s="15" t="str">
        <f>_xlfn.XLOOKUP(OrderDetails[[#This Row],[ProductID]],Product!A:A,Product!B:B,"Not Found")</f>
        <v>Rhönbräu Klosterbier</v>
      </c>
    </row>
    <row r="1411" spans="1:11">
      <c r="A1411" s="2">
        <v>10786</v>
      </c>
      <c r="B1411" s="2">
        <v>8</v>
      </c>
      <c r="C1411" s="2">
        <v>40</v>
      </c>
      <c r="D1411" s="2">
        <v>30</v>
      </c>
      <c r="E1411" s="4">
        <v>0.20000000298023224</v>
      </c>
      <c r="F1411" s="1" t="str">
        <f>_xlfn.XLOOKUP(A1411,Orders!A:A,Orders!B:B,"not found")</f>
        <v>QUEEN</v>
      </c>
      <c r="G1411" s="13">
        <f>_xlfn.XLOOKUP(OrderDetails[[#This Row],[OrderID]],Orders!A:A,Orders!C:C,"Not Found")</f>
        <v>35783</v>
      </c>
      <c r="H1411" s="16">
        <f>(OrderDetails[[#This Row],[UnitPrice]]*OrderDetails[[#This Row],[Quantity]])*(1-OrderDetails[[#This Row],[Discount]])</f>
        <v>959.99999642372131</v>
      </c>
      <c r="I1411" s="15" t="str">
        <f>_xlfn.XLOOKUP(OrderDetails[[#This Row],[ProductID]],Product!A:A,Product!G:G,"Not Found")</f>
        <v>Condiments</v>
      </c>
      <c r="J1411" s="15" t="str">
        <f>LOOKUP(MONTH(G1411),{1,4,7,10},{"Winter","Spring","Summer","Autumn"})</f>
        <v>Autumn</v>
      </c>
      <c r="K1411" s="15" t="str">
        <f>_xlfn.XLOOKUP(OrderDetails[[#This Row],[ProductID]],Product!A:A,Product!B:B,"Not Found")</f>
        <v>Northwoods Cranberry Sauce</v>
      </c>
    </row>
    <row r="1412" spans="1:11">
      <c r="A1412" s="1">
        <v>10786</v>
      </c>
      <c r="B1412" s="1">
        <v>30</v>
      </c>
      <c r="C1412" s="1">
        <v>25.89</v>
      </c>
      <c r="D1412" s="1">
        <v>15</v>
      </c>
      <c r="E1412" s="3">
        <v>0.20000000298023224</v>
      </c>
      <c r="F1412" s="1" t="str">
        <f>_xlfn.XLOOKUP(A1412,Orders!A:A,Orders!B:B,"not found")</f>
        <v>QUEEN</v>
      </c>
      <c r="G1412" s="13">
        <f>_xlfn.XLOOKUP(OrderDetails[[#This Row],[OrderID]],Orders!A:A,Orders!C:C,"Not Found")</f>
        <v>35783</v>
      </c>
      <c r="H1412" s="16">
        <f>(OrderDetails[[#This Row],[UnitPrice]]*OrderDetails[[#This Row],[Quantity]])*(1-OrderDetails[[#This Row],[Discount]])</f>
        <v>310.67999884262684</v>
      </c>
      <c r="I1412" s="15" t="str">
        <f>_xlfn.XLOOKUP(OrderDetails[[#This Row],[ProductID]],Product!A:A,Product!G:G,"Not Found")</f>
        <v>Seafood</v>
      </c>
      <c r="J1412" s="15" t="str">
        <f>LOOKUP(MONTH(G1412),{1,4,7,10},{"Winter","Spring","Summer","Autumn"})</f>
        <v>Autumn</v>
      </c>
      <c r="K1412" s="15" t="str">
        <f>_xlfn.XLOOKUP(OrderDetails[[#This Row],[ProductID]],Product!A:A,Product!B:B,"Not Found")</f>
        <v>Nord-Ost Matjeshering</v>
      </c>
    </row>
    <row r="1413" spans="1:11">
      <c r="A1413" s="2">
        <v>10786</v>
      </c>
      <c r="B1413" s="2">
        <v>75</v>
      </c>
      <c r="C1413" s="2">
        <v>7.75</v>
      </c>
      <c r="D1413" s="2">
        <v>42</v>
      </c>
      <c r="E1413" s="4">
        <v>0.20000000298023224</v>
      </c>
      <c r="F1413" s="1" t="str">
        <f>_xlfn.XLOOKUP(A1413,Orders!A:A,Orders!B:B,"not found")</f>
        <v>QUEEN</v>
      </c>
      <c r="G1413" s="13">
        <f>_xlfn.XLOOKUP(OrderDetails[[#This Row],[OrderID]],Orders!A:A,Orders!C:C,"Not Found")</f>
        <v>35783</v>
      </c>
      <c r="H1413" s="16">
        <f>(OrderDetails[[#This Row],[UnitPrice]]*OrderDetails[[#This Row],[Quantity]])*(1-OrderDetails[[#This Row],[Discount]])</f>
        <v>260.39999902993441</v>
      </c>
      <c r="I1413" s="15" t="str">
        <f>_xlfn.XLOOKUP(OrderDetails[[#This Row],[ProductID]],Product!A:A,Product!G:G,"Not Found")</f>
        <v>Beverages</v>
      </c>
      <c r="J1413" s="15" t="str">
        <f>LOOKUP(MONTH(G1413),{1,4,7,10},{"Winter","Spring","Summer","Autumn"})</f>
        <v>Autumn</v>
      </c>
      <c r="K1413" s="15" t="str">
        <f>_xlfn.XLOOKUP(OrderDetails[[#This Row],[ProductID]],Product!A:A,Product!B:B,"Not Found")</f>
        <v>Rhönbräu Klosterbier</v>
      </c>
    </row>
    <row r="1414" spans="1:11">
      <c r="A1414" s="1">
        <v>10787</v>
      </c>
      <c r="B1414" s="1">
        <v>2</v>
      </c>
      <c r="C1414" s="1">
        <v>19</v>
      </c>
      <c r="D1414" s="1">
        <v>15</v>
      </c>
      <c r="E1414" s="3">
        <v>5.000000074505806E-2</v>
      </c>
      <c r="F1414" s="1" t="str">
        <f>_xlfn.XLOOKUP(A1414,Orders!A:A,Orders!B:B,"not found")</f>
        <v>LAMAI</v>
      </c>
      <c r="G1414" s="13">
        <f>_xlfn.XLOOKUP(OrderDetails[[#This Row],[OrderID]],Orders!A:A,Orders!C:C,"Not Found")</f>
        <v>35783</v>
      </c>
      <c r="H1414" s="16">
        <f>(OrderDetails[[#This Row],[UnitPrice]]*OrderDetails[[#This Row],[Quantity]])*(1-OrderDetails[[#This Row],[Discount]])</f>
        <v>270.74999978765845</v>
      </c>
      <c r="I1414" s="15" t="str">
        <f>_xlfn.XLOOKUP(OrderDetails[[#This Row],[ProductID]],Product!A:A,Product!G:G,"Not Found")</f>
        <v>Beverages</v>
      </c>
      <c r="J1414" s="15" t="str">
        <f>LOOKUP(MONTH(G1414),{1,4,7,10},{"Winter","Spring","Summer","Autumn"})</f>
        <v>Autumn</v>
      </c>
      <c r="K1414" s="15" t="str">
        <f>_xlfn.XLOOKUP(OrderDetails[[#This Row],[ProductID]],Product!A:A,Product!B:B,"Not Found")</f>
        <v>Chang</v>
      </c>
    </row>
    <row r="1415" spans="1:11">
      <c r="A1415" s="2">
        <v>10787</v>
      </c>
      <c r="B1415" s="2">
        <v>29</v>
      </c>
      <c r="C1415" s="2">
        <v>123.79</v>
      </c>
      <c r="D1415" s="2">
        <v>20</v>
      </c>
      <c r="E1415" s="4">
        <v>5.000000074505806E-2</v>
      </c>
      <c r="F1415" s="1" t="str">
        <f>_xlfn.XLOOKUP(A1415,Orders!A:A,Orders!B:B,"not found")</f>
        <v>LAMAI</v>
      </c>
      <c r="G1415" s="13">
        <f>_xlfn.XLOOKUP(OrderDetails[[#This Row],[OrderID]],Orders!A:A,Orders!C:C,"Not Found")</f>
        <v>35783</v>
      </c>
      <c r="H1415" s="16">
        <f>(OrderDetails[[#This Row],[UnitPrice]]*OrderDetails[[#This Row],[Quantity]])*(1-OrderDetails[[#This Row],[Discount]])</f>
        <v>2352.0099981553853</v>
      </c>
      <c r="I1415" s="15" t="str">
        <f>_xlfn.XLOOKUP(OrderDetails[[#This Row],[ProductID]],Product!A:A,Product!G:G,"Not Found")</f>
        <v>Meat/Poultry</v>
      </c>
      <c r="J1415" s="15" t="str">
        <f>LOOKUP(MONTH(G1415),{1,4,7,10},{"Winter","Spring","Summer","Autumn"})</f>
        <v>Autumn</v>
      </c>
      <c r="K1415" s="15" t="str">
        <f>_xlfn.XLOOKUP(OrderDetails[[#This Row],[ProductID]],Product!A:A,Product!B:B,"Not Found")</f>
        <v>Thüringer Rostbratwurst</v>
      </c>
    </row>
    <row r="1416" spans="1:11">
      <c r="A1416" s="1">
        <v>10788</v>
      </c>
      <c r="B1416" s="1">
        <v>19</v>
      </c>
      <c r="C1416" s="1">
        <v>9.1999999999999993</v>
      </c>
      <c r="D1416" s="1">
        <v>50</v>
      </c>
      <c r="E1416" s="3">
        <v>5.000000074505806E-2</v>
      </c>
      <c r="F1416" s="1" t="str">
        <f>_xlfn.XLOOKUP(A1416,Orders!A:A,Orders!B:B,"not found")</f>
        <v>QUICK</v>
      </c>
      <c r="G1416" s="13">
        <f>_xlfn.XLOOKUP(OrderDetails[[#This Row],[OrderID]],Orders!A:A,Orders!C:C,"Not Found")</f>
        <v>35786</v>
      </c>
      <c r="H1416" s="16">
        <f>(OrderDetails[[#This Row],[UnitPrice]]*OrderDetails[[#This Row],[Quantity]])*(1-OrderDetails[[#This Row],[Discount]])</f>
        <v>436.99999965727324</v>
      </c>
      <c r="I1416" s="15" t="str">
        <f>_xlfn.XLOOKUP(OrderDetails[[#This Row],[ProductID]],Product!A:A,Product!G:G,"Not Found")</f>
        <v>Confections</v>
      </c>
      <c r="J1416" s="15" t="str">
        <f>LOOKUP(MONTH(G1416),{1,4,7,10},{"Winter","Spring","Summer","Autumn"})</f>
        <v>Autumn</v>
      </c>
      <c r="K1416" s="15" t="str">
        <f>_xlfn.XLOOKUP(OrderDetails[[#This Row],[ProductID]],Product!A:A,Product!B:B,"Not Found")</f>
        <v>Teatime Chocolate Biscuits</v>
      </c>
    </row>
    <row r="1417" spans="1:11">
      <c r="A1417" s="2">
        <v>10788</v>
      </c>
      <c r="B1417" s="2">
        <v>75</v>
      </c>
      <c r="C1417" s="2">
        <v>7.75</v>
      </c>
      <c r="D1417" s="2">
        <v>40</v>
      </c>
      <c r="E1417" s="4">
        <v>5.000000074505806E-2</v>
      </c>
      <c r="F1417" s="1" t="str">
        <f>_xlfn.XLOOKUP(A1417,Orders!A:A,Orders!B:B,"not found")</f>
        <v>QUICK</v>
      </c>
      <c r="G1417" s="13">
        <f>_xlfn.XLOOKUP(OrderDetails[[#This Row],[OrderID]],Orders!A:A,Orders!C:C,"Not Found")</f>
        <v>35786</v>
      </c>
      <c r="H1417" s="16">
        <f>(OrderDetails[[#This Row],[UnitPrice]]*OrderDetails[[#This Row],[Quantity]])*(1-OrderDetails[[#This Row],[Discount]])</f>
        <v>294.499999769032</v>
      </c>
      <c r="I1417" s="15" t="str">
        <f>_xlfn.XLOOKUP(OrderDetails[[#This Row],[ProductID]],Product!A:A,Product!G:G,"Not Found")</f>
        <v>Beverages</v>
      </c>
      <c r="J1417" s="15" t="str">
        <f>LOOKUP(MONTH(G1417),{1,4,7,10},{"Winter","Spring","Summer","Autumn"})</f>
        <v>Autumn</v>
      </c>
      <c r="K1417" s="15" t="str">
        <f>_xlfn.XLOOKUP(OrderDetails[[#This Row],[ProductID]],Product!A:A,Product!B:B,"Not Found")</f>
        <v>Rhönbräu Klosterbier</v>
      </c>
    </row>
    <row r="1418" spans="1:11">
      <c r="A1418" s="1">
        <v>10789</v>
      </c>
      <c r="B1418" s="1">
        <v>18</v>
      </c>
      <c r="C1418" s="1">
        <v>62.5</v>
      </c>
      <c r="D1418" s="1">
        <v>30</v>
      </c>
      <c r="E1418" s="3">
        <v>0</v>
      </c>
      <c r="F1418" s="1" t="str">
        <f>_xlfn.XLOOKUP(A1418,Orders!A:A,Orders!B:B,"not found")</f>
        <v>FOLIG</v>
      </c>
      <c r="G1418" s="13">
        <f>_xlfn.XLOOKUP(OrderDetails[[#This Row],[OrderID]],Orders!A:A,Orders!C:C,"Not Found")</f>
        <v>35786</v>
      </c>
      <c r="H1418" s="16">
        <f>(OrderDetails[[#This Row],[UnitPrice]]*OrderDetails[[#This Row],[Quantity]])*(1-OrderDetails[[#This Row],[Discount]])</f>
        <v>1875</v>
      </c>
      <c r="I1418" s="15" t="str">
        <f>_xlfn.XLOOKUP(OrderDetails[[#This Row],[ProductID]],Product!A:A,Product!G:G,"Not Found")</f>
        <v>Seafood</v>
      </c>
      <c r="J1418" s="15" t="str">
        <f>LOOKUP(MONTH(G1418),{1,4,7,10},{"Winter","Spring","Summer","Autumn"})</f>
        <v>Autumn</v>
      </c>
      <c r="K1418" s="15" t="str">
        <f>_xlfn.XLOOKUP(OrderDetails[[#This Row],[ProductID]],Product!A:A,Product!B:B,"Not Found")</f>
        <v>Carnarvon Tigers</v>
      </c>
    </row>
    <row r="1419" spans="1:11">
      <c r="A1419" s="2">
        <v>10789</v>
      </c>
      <c r="B1419" s="2">
        <v>35</v>
      </c>
      <c r="C1419" s="2">
        <v>18</v>
      </c>
      <c r="D1419" s="2">
        <v>15</v>
      </c>
      <c r="E1419" s="4">
        <v>0</v>
      </c>
      <c r="F1419" s="1" t="str">
        <f>_xlfn.XLOOKUP(A1419,Orders!A:A,Orders!B:B,"not found")</f>
        <v>FOLIG</v>
      </c>
      <c r="G1419" s="13">
        <f>_xlfn.XLOOKUP(OrderDetails[[#This Row],[OrderID]],Orders!A:A,Orders!C:C,"Not Found")</f>
        <v>35786</v>
      </c>
      <c r="H1419" s="16">
        <f>(OrderDetails[[#This Row],[UnitPrice]]*OrderDetails[[#This Row],[Quantity]])*(1-OrderDetails[[#This Row],[Discount]])</f>
        <v>270</v>
      </c>
      <c r="I1419" s="15" t="str">
        <f>_xlfn.XLOOKUP(OrderDetails[[#This Row],[ProductID]],Product!A:A,Product!G:G,"Not Found")</f>
        <v>Beverages</v>
      </c>
      <c r="J1419" s="15" t="str">
        <f>LOOKUP(MONTH(G1419),{1,4,7,10},{"Winter","Spring","Summer","Autumn"})</f>
        <v>Autumn</v>
      </c>
      <c r="K1419" s="15" t="str">
        <f>_xlfn.XLOOKUP(OrderDetails[[#This Row],[ProductID]],Product!A:A,Product!B:B,"Not Found")</f>
        <v>Steeleye Stout</v>
      </c>
    </row>
    <row r="1420" spans="1:11">
      <c r="A1420" s="1">
        <v>10789</v>
      </c>
      <c r="B1420" s="1">
        <v>63</v>
      </c>
      <c r="C1420" s="1">
        <v>43.9</v>
      </c>
      <c r="D1420" s="1">
        <v>30</v>
      </c>
      <c r="E1420" s="3">
        <v>0</v>
      </c>
      <c r="F1420" s="1" t="str">
        <f>_xlfn.XLOOKUP(A1420,Orders!A:A,Orders!B:B,"not found")</f>
        <v>FOLIG</v>
      </c>
      <c r="G1420" s="13">
        <f>_xlfn.XLOOKUP(OrderDetails[[#This Row],[OrderID]],Orders!A:A,Orders!C:C,"Not Found")</f>
        <v>35786</v>
      </c>
      <c r="H1420" s="16">
        <f>(OrderDetails[[#This Row],[UnitPrice]]*OrderDetails[[#This Row],[Quantity]])*(1-OrderDetails[[#This Row],[Discount]])</f>
        <v>1317</v>
      </c>
      <c r="I1420" s="15" t="str">
        <f>_xlfn.XLOOKUP(OrderDetails[[#This Row],[ProductID]],Product!A:A,Product!G:G,"Not Found")</f>
        <v>Condiments</v>
      </c>
      <c r="J1420" s="15" t="str">
        <f>LOOKUP(MONTH(G1420),{1,4,7,10},{"Winter","Spring","Summer","Autumn"})</f>
        <v>Autumn</v>
      </c>
      <c r="K1420" s="15" t="str">
        <f>_xlfn.XLOOKUP(OrderDetails[[#This Row],[ProductID]],Product!A:A,Product!B:B,"Not Found")</f>
        <v>Vegie-spread</v>
      </c>
    </row>
    <row r="1421" spans="1:11">
      <c r="A1421" s="2">
        <v>10789</v>
      </c>
      <c r="B1421" s="2">
        <v>68</v>
      </c>
      <c r="C1421" s="2">
        <v>12.5</v>
      </c>
      <c r="D1421" s="2">
        <v>18</v>
      </c>
      <c r="E1421" s="4">
        <v>0</v>
      </c>
      <c r="F1421" s="1" t="str">
        <f>_xlfn.XLOOKUP(A1421,Orders!A:A,Orders!B:B,"not found")</f>
        <v>FOLIG</v>
      </c>
      <c r="G1421" s="13">
        <f>_xlfn.XLOOKUP(OrderDetails[[#This Row],[OrderID]],Orders!A:A,Orders!C:C,"Not Found")</f>
        <v>35786</v>
      </c>
      <c r="H1421" s="16">
        <f>(OrderDetails[[#This Row],[UnitPrice]]*OrderDetails[[#This Row],[Quantity]])*(1-OrderDetails[[#This Row],[Discount]])</f>
        <v>225</v>
      </c>
      <c r="I1421" s="15" t="str">
        <f>_xlfn.XLOOKUP(OrderDetails[[#This Row],[ProductID]],Product!A:A,Product!G:G,"Not Found")</f>
        <v>Confections</v>
      </c>
      <c r="J1421" s="15" t="str">
        <f>LOOKUP(MONTH(G1421),{1,4,7,10},{"Winter","Spring","Summer","Autumn"})</f>
        <v>Autumn</v>
      </c>
      <c r="K1421" s="15" t="str">
        <f>_xlfn.XLOOKUP(OrderDetails[[#This Row],[ProductID]],Product!A:A,Product!B:B,"Not Found")</f>
        <v>Scottish Longbreads</v>
      </c>
    </row>
    <row r="1422" spans="1:11">
      <c r="A1422" s="1">
        <v>10790</v>
      </c>
      <c r="B1422" s="1">
        <v>7</v>
      </c>
      <c r="C1422" s="1">
        <v>30</v>
      </c>
      <c r="D1422" s="1">
        <v>3</v>
      </c>
      <c r="E1422" s="3">
        <v>0.15000000596046448</v>
      </c>
      <c r="F1422" s="1" t="str">
        <f>_xlfn.XLOOKUP(A1422,Orders!A:A,Orders!B:B,"not found")</f>
        <v>GOURL</v>
      </c>
      <c r="G1422" s="13">
        <f>_xlfn.XLOOKUP(OrderDetails[[#This Row],[OrderID]],Orders!A:A,Orders!C:C,"Not Found")</f>
        <v>35786</v>
      </c>
      <c r="H1422" s="16">
        <f>(OrderDetails[[#This Row],[UnitPrice]]*OrderDetails[[#This Row],[Quantity]])*(1-OrderDetails[[#This Row],[Discount]])</f>
        <v>76.499999463558197</v>
      </c>
      <c r="I1422" s="15" t="str">
        <f>_xlfn.XLOOKUP(OrderDetails[[#This Row],[ProductID]],Product!A:A,Product!G:G,"Not Found")</f>
        <v>Produce</v>
      </c>
      <c r="J1422" s="15" t="str">
        <f>LOOKUP(MONTH(G1422),{1,4,7,10},{"Winter","Spring","Summer","Autumn"})</f>
        <v>Autumn</v>
      </c>
      <c r="K1422" s="15" t="str">
        <f>_xlfn.XLOOKUP(OrderDetails[[#This Row],[ProductID]],Product!A:A,Product!B:B,"Not Found")</f>
        <v>Uncle Bob's Organic Dried Pears</v>
      </c>
    </row>
    <row r="1423" spans="1:11">
      <c r="A1423" s="2">
        <v>10790</v>
      </c>
      <c r="B1423" s="2">
        <v>56</v>
      </c>
      <c r="C1423" s="2">
        <v>38</v>
      </c>
      <c r="D1423" s="2">
        <v>20</v>
      </c>
      <c r="E1423" s="4">
        <v>0.15000000596046448</v>
      </c>
      <c r="F1423" s="1" t="str">
        <f>_xlfn.XLOOKUP(A1423,Orders!A:A,Orders!B:B,"not found")</f>
        <v>GOURL</v>
      </c>
      <c r="G1423" s="13">
        <f>_xlfn.XLOOKUP(OrderDetails[[#This Row],[OrderID]],Orders!A:A,Orders!C:C,"Not Found")</f>
        <v>35786</v>
      </c>
      <c r="H1423" s="16">
        <f>(OrderDetails[[#This Row],[UnitPrice]]*OrderDetails[[#This Row],[Quantity]])*(1-OrderDetails[[#This Row],[Discount]])</f>
        <v>645.999995470047</v>
      </c>
      <c r="I1423" s="15" t="str">
        <f>_xlfn.XLOOKUP(OrderDetails[[#This Row],[ProductID]],Product!A:A,Product!G:G,"Not Found")</f>
        <v>Grains/Cereals</v>
      </c>
      <c r="J1423" s="15" t="str">
        <f>LOOKUP(MONTH(G1423),{1,4,7,10},{"Winter","Spring","Summer","Autumn"})</f>
        <v>Autumn</v>
      </c>
      <c r="K1423" s="15" t="str">
        <f>_xlfn.XLOOKUP(OrderDetails[[#This Row],[ProductID]],Product!A:A,Product!B:B,"Not Found")</f>
        <v>Gnocchi di nonna Alice</v>
      </c>
    </row>
    <row r="1424" spans="1:11">
      <c r="A1424" s="1">
        <v>10791</v>
      </c>
      <c r="B1424" s="1">
        <v>29</v>
      </c>
      <c r="C1424" s="1">
        <v>123.79</v>
      </c>
      <c r="D1424" s="1">
        <v>14</v>
      </c>
      <c r="E1424" s="3">
        <v>5.000000074505806E-2</v>
      </c>
      <c r="F1424" s="1" t="str">
        <f>_xlfn.XLOOKUP(A1424,Orders!A:A,Orders!B:B,"not found")</f>
        <v>FRANK</v>
      </c>
      <c r="G1424" s="13">
        <f>_xlfn.XLOOKUP(OrderDetails[[#This Row],[OrderID]],Orders!A:A,Orders!C:C,"Not Found")</f>
        <v>35787</v>
      </c>
      <c r="H1424" s="16">
        <f>(OrderDetails[[#This Row],[UnitPrice]]*OrderDetails[[#This Row],[Quantity]])*(1-OrderDetails[[#This Row],[Discount]])</f>
        <v>1646.4069987087698</v>
      </c>
      <c r="I1424" s="15" t="str">
        <f>_xlfn.XLOOKUP(OrderDetails[[#This Row],[ProductID]],Product!A:A,Product!G:G,"Not Found")</f>
        <v>Meat/Poultry</v>
      </c>
      <c r="J1424" s="15" t="str">
        <f>LOOKUP(MONTH(G1424),{1,4,7,10},{"Winter","Spring","Summer","Autumn"})</f>
        <v>Autumn</v>
      </c>
      <c r="K1424" s="15" t="str">
        <f>_xlfn.XLOOKUP(OrderDetails[[#This Row],[ProductID]],Product!A:A,Product!B:B,"Not Found")</f>
        <v>Thüringer Rostbratwurst</v>
      </c>
    </row>
    <row r="1425" spans="1:11">
      <c r="A1425" s="2">
        <v>10791</v>
      </c>
      <c r="B1425" s="2">
        <v>41</v>
      </c>
      <c r="C1425" s="2">
        <v>9.65</v>
      </c>
      <c r="D1425" s="2">
        <v>20</v>
      </c>
      <c r="E1425" s="4">
        <v>5.000000074505806E-2</v>
      </c>
      <c r="F1425" s="1" t="str">
        <f>_xlfn.XLOOKUP(A1425,Orders!A:A,Orders!B:B,"not found")</f>
        <v>FRANK</v>
      </c>
      <c r="G1425" s="13">
        <f>_xlfn.XLOOKUP(OrderDetails[[#This Row],[OrderID]],Orders!A:A,Orders!C:C,"Not Found")</f>
        <v>35787</v>
      </c>
      <c r="H1425" s="16">
        <f>(OrderDetails[[#This Row],[UnitPrice]]*OrderDetails[[#This Row],[Quantity]])*(1-OrderDetails[[#This Row],[Discount]])</f>
        <v>183.34999985620379</v>
      </c>
      <c r="I1425" s="15" t="str">
        <f>_xlfn.XLOOKUP(OrderDetails[[#This Row],[ProductID]],Product!A:A,Product!G:G,"Not Found")</f>
        <v>Seafood</v>
      </c>
      <c r="J1425" s="15" t="str">
        <f>LOOKUP(MONTH(G1425),{1,4,7,10},{"Winter","Spring","Summer","Autumn"})</f>
        <v>Autumn</v>
      </c>
      <c r="K1425" s="15" t="str">
        <f>_xlfn.XLOOKUP(OrderDetails[[#This Row],[ProductID]],Product!A:A,Product!B:B,"Not Found")</f>
        <v>Jack's New England Clam Chowder</v>
      </c>
    </row>
    <row r="1426" spans="1:11">
      <c r="A1426" s="1">
        <v>10792</v>
      </c>
      <c r="B1426" s="1">
        <v>2</v>
      </c>
      <c r="C1426" s="1">
        <v>19</v>
      </c>
      <c r="D1426" s="1">
        <v>10</v>
      </c>
      <c r="E1426" s="3">
        <v>0</v>
      </c>
      <c r="F1426" s="1" t="str">
        <f>_xlfn.XLOOKUP(A1426,Orders!A:A,Orders!B:B,"not found")</f>
        <v>WOLZA</v>
      </c>
      <c r="G1426" s="13">
        <f>_xlfn.XLOOKUP(OrderDetails[[#This Row],[OrderID]],Orders!A:A,Orders!C:C,"Not Found")</f>
        <v>35787</v>
      </c>
      <c r="H1426" s="16">
        <f>(OrderDetails[[#This Row],[UnitPrice]]*OrderDetails[[#This Row],[Quantity]])*(1-OrderDetails[[#This Row],[Discount]])</f>
        <v>190</v>
      </c>
      <c r="I1426" s="15" t="str">
        <f>_xlfn.XLOOKUP(OrderDetails[[#This Row],[ProductID]],Product!A:A,Product!G:G,"Not Found")</f>
        <v>Beverages</v>
      </c>
      <c r="J1426" s="15" t="str">
        <f>LOOKUP(MONTH(G1426),{1,4,7,10},{"Winter","Spring","Summer","Autumn"})</f>
        <v>Autumn</v>
      </c>
      <c r="K1426" s="15" t="str">
        <f>_xlfn.XLOOKUP(OrderDetails[[#This Row],[ProductID]],Product!A:A,Product!B:B,"Not Found")</f>
        <v>Chang</v>
      </c>
    </row>
    <row r="1427" spans="1:11">
      <c r="A1427" s="2">
        <v>10792</v>
      </c>
      <c r="B1427" s="2">
        <v>54</v>
      </c>
      <c r="C1427" s="2">
        <v>7.45</v>
      </c>
      <c r="D1427" s="2">
        <v>3</v>
      </c>
      <c r="E1427" s="4">
        <v>0</v>
      </c>
      <c r="F1427" s="1" t="str">
        <f>_xlfn.XLOOKUP(A1427,Orders!A:A,Orders!B:B,"not found")</f>
        <v>WOLZA</v>
      </c>
      <c r="G1427" s="13">
        <f>_xlfn.XLOOKUP(OrderDetails[[#This Row],[OrderID]],Orders!A:A,Orders!C:C,"Not Found")</f>
        <v>35787</v>
      </c>
      <c r="H1427" s="16">
        <f>(OrderDetails[[#This Row],[UnitPrice]]*OrderDetails[[#This Row],[Quantity]])*(1-OrderDetails[[#This Row],[Discount]])</f>
        <v>22.35</v>
      </c>
      <c r="I1427" s="15" t="str">
        <f>_xlfn.XLOOKUP(OrderDetails[[#This Row],[ProductID]],Product!A:A,Product!G:G,"Not Found")</f>
        <v>Meat/Poultry</v>
      </c>
      <c r="J1427" s="15" t="str">
        <f>LOOKUP(MONTH(G1427),{1,4,7,10},{"Winter","Spring","Summer","Autumn"})</f>
        <v>Autumn</v>
      </c>
      <c r="K1427" s="15" t="str">
        <f>_xlfn.XLOOKUP(OrderDetails[[#This Row],[ProductID]],Product!A:A,Product!B:B,"Not Found")</f>
        <v>Tourtière</v>
      </c>
    </row>
    <row r="1428" spans="1:11">
      <c r="A1428" s="1">
        <v>10792</v>
      </c>
      <c r="B1428" s="1">
        <v>68</v>
      </c>
      <c r="C1428" s="1">
        <v>12.5</v>
      </c>
      <c r="D1428" s="1">
        <v>15</v>
      </c>
      <c r="E1428" s="3">
        <v>0</v>
      </c>
      <c r="F1428" s="1" t="str">
        <f>_xlfn.XLOOKUP(A1428,Orders!A:A,Orders!B:B,"not found")</f>
        <v>WOLZA</v>
      </c>
      <c r="G1428" s="13">
        <f>_xlfn.XLOOKUP(OrderDetails[[#This Row],[OrderID]],Orders!A:A,Orders!C:C,"Not Found")</f>
        <v>35787</v>
      </c>
      <c r="H1428" s="16">
        <f>(OrderDetails[[#This Row],[UnitPrice]]*OrderDetails[[#This Row],[Quantity]])*(1-OrderDetails[[#This Row],[Discount]])</f>
        <v>187.5</v>
      </c>
      <c r="I1428" s="15" t="str">
        <f>_xlfn.XLOOKUP(OrderDetails[[#This Row],[ProductID]],Product!A:A,Product!G:G,"Not Found")</f>
        <v>Confections</v>
      </c>
      <c r="J1428" s="15" t="str">
        <f>LOOKUP(MONTH(G1428),{1,4,7,10},{"Winter","Spring","Summer","Autumn"})</f>
        <v>Autumn</v>
      </c>
      <c r="K1428" s="15" t="str">
        <f>_xlfn.XLOOKUP(OrderDetails[[#This Row],[ProductID]],Product!A:A,Product!B:B,"Not Found")</f>
        <v>Scottish Longbreads</v>
      </c>
    </row>
    <row r="1429" spans="1:11">
      <c r="A1429" s="2">
        <v>10793</v>
      </c>
      <c r="B1429" s="2">
        <v>41</v>
      </c>
      <c r="C1429" s="2">
        <v>9.65</v>
      </c>
      <c r="D1429" s="2">
        <v>14</v>
      </c>
      <c r="E1429" s="4">
        <v>0</v>
      </c>
      <c r="F1429" s="1" t="str">
        <f>_xlfn.XLOOKUP(A1429,Orders!A:A,Orders!B:B,"not found")</f>
        <v>AROUT</v>
      </c>
      <c r="G1429" s="13">
        <f>_xlfn.XLOOKUP(OrderDetails[[#This Row],[OrderID]],Orders!A:A,Orders!C:C,"Not Found")</f>
        <v>35788</v>
      </c>
      <c r="H1429" s="16">
        <f>(OrderDetails[[#This Row],[UnitPrice]]*OrderDetails[[#This Row],[Quantity]])*(1-OrderDetails[[#This Row],[Discount]])</f>
        <v>135.1</v>
      </c>
      <c r="I1429" s="15" t="str">
        <f>_xlfn.XLOOKUP(OrderDetails[[#This Row],[ProductID]],Product!A:A,Product!G:G,"Not Found")</f>
        <v>Seafood</v>
      </c>
      <c r="J1429" s="15" t="str">
        <f>LOOKUP(MONTH(G1429),{1,4,7,10},{"Winter","Spring","Summer","Autumn"})</f>
        <v>Autumn</v>
      </c>
      <c r="K1429" s="15" t="str">
        <f>_xlfn.XLOOKUP(OrderDetails[[#This Row],[ProductID]],Product!A:A,Product!B:B,"Not Found")</f>
        <v>Jack's New England Clam Chowder</v>
      </c>
    </row>
    <row r="1430" spans="1:11">
      <c r="A1430" s="1">
        <v>10793</v>
      </c>
      <c r="B1430" s="1">
        <v>52</v>
      </c>
      <c r="C1430" s="1">
        <v>7</v>
      </c>
      <c r="D1430" s="1">
        <v>8</v>
      </c>
      <c r="E1430" s="3">
        <v>0</v>
      </c>
      <c r="F1430" s="1" t="str">
        <f>_xlfn.XLOOKUP(A1430,Orders!A:A,Orders!B:B,"not found")</f>
        <v>AROUT</v>
      </c>
      <c r="G1430" s="13">
        <f>_xlfn.XLOOKUP(OrderDetails[[#This Row],[OrderID]],Orders!A:A,Orders!C:C,"Not Found")</f>
        <v>35788</v>
      </c>
      <c r="H1430" s="16">
        <f>(OrderDetails[[#This Row],[UnitPrice]]*OrderDetails[[#This Row],[Quantity]])*(1-OrderDetails[[#This Row],[Discount]])</f>
        <v>56</v>
      </c>
      <c r="I1430" s="15" t="str">
        <f>_xlfn.XLOOKUP(OrderDetails[[#This Row],[ProductID]],Product!A:A,Product!G:G,"Not Found")</f>
        <v>Grains/Cereals</v>
      </c>
      <c r="J1430" s="15" t="str">
        <f>LOOKUP(MONTH(G1430),{1,4,7,10},{"Winter","Spring","Summer","Autumn"})</f>
        <v>Autumn</v>
      </c>
      <c r="K1430" s="15" t="str">
        <f>_xlfn.XLOOKUP(OrderDetails[[#This Row],[ProductID]],Product!A:A,Product!B:B,"Not Found")</f>
        <v>Filo Mix</v>
      </c>
    </row>
    <row r="1431" spans="1:11">
      <c r="A1431" s="2">
        <v>10794</v>
      </c>
      <c r="B1431" s="2">
        <v>14</v>
      </c>
      <c r="C1431" s="2">
        <v>23.25</v>
      </c>
      <c r="D1431" s="2">
        <v>15</v>
      </c>
      <c r="E1431" s="4">
        <v>0.20000000298023224</v>
      </c>
      <c r="F1431" s="1" t="str">
        <f>_xlfn.XLOOKUP(A1431,Orders!A:A,Orders!B:B,"not found")</f>
        <v>QUEDE</v>
      </c>
      <c r="G1431" s="13">
        <f>_xlfn.XLOOKUP(OrderDetails[[#This Row],[OrderID]],Orders!A:A,Orders!C:C,"Not Found")</f>
        <v>35788</v>
      </c>
      <c r="H1431" s="16">
        <f>(OrderDetails[[#This Row],[UnitPrice]]*OrderDetails[[#This Row],[Quantity]])*(1-OrderDetails[[#This Row],[Discount]])</f>
        <v>278.99999896064401</v>
      </c>
      <c r="I1431" s="15" t="str">
        <f>_xlfn.XLOOKUP(OrderDetails[[#This Row],[ProductID]],Product!A:A,Product!G:G,"Not Found")</f>
        <v>Produce</v>
      </c>
      <c r="J1431" s="15" t="str">
        <f>LOOKUP(MONTH(G1431),{1,4,7,10},{"Winter","Spring","Summer","Autumn"})</f>
        <v>Autumn</v>
      </c>
      <c r="K1431" s="15" t="str">
        <f>_xlfn.XLOOKUP(OrderDetails[[#This Row],[ProductID]],Product!A:A,Product!B:B,"Not Found")</f>
        <v>Tofu</v>
      </c>
    </row>
    <row r="1432" spans="1:11">
      <c r="A1432" s="1">
        <v>10794</v>
      </c>
      <c r="B1432" s="1">
        <v>54</v>
      </c>
      <c r="C1432" s="1">
        <v>7.45</v>
      </c>
      <c r="D1432" s="1">
        <v>6</v>
      </c>
      <c r="E1432" s="3">
        <v>0.20000000298023224</v>
      </c>
      <c r="F1432" s="1" t="str">
        <f>_xlfn.XLOOKUP(A1432,Orders!A:A,Orders!B:B,"not found")</f>
        <v>QUEDE</v>
      </c>
      <c r="G1432" s="13">
        <f>_xlfn.XLOOKUP(OrderDetails[[#This Row],[OrderID]],Orders!A:A,Orders!C:C,"Not Found")</f>
        <v>35788</v>
      </c>
      <c r="H1432" s="16">
        <f>(OrderDetails[[#This Row],[UnitPrice]]*OrderDetails[[#This Row],[Quantity]])*(1-OrderDetails[[#This Row],[Discount]])</f>
        <v>35.759999866783623</v>
      </c>
      <c r="I1432" s="15" t="str">
        <f>_xlfn.XLOOKUP(OrderDetails[[#This Row],[ProductID]],Product!A:A,Product!G:G,"Not Found")</f>
        <v>Meat/Poultry</v>
      </c>
      <c r="J1432" s="15" t="str">
        <f>LOOKUP(MONTH(G1432),{1,4,7,10},{"Winter","Spring","Summer","Autumn"})</f>
        <v>Autumn</v>
      </c>
      <c r="K1432" s="15" t="str">
        <f>_xlfn.XLOOKUP(OrderDetails[[#This Row],[ProductID]],Product!A:A,Product!B:B,"Not Found")</f>
        <v>Tourtière</v>
      </c>
    </row>
    <row r="1433" spans="1:11">
      <c r="A1433" s="2">
        <v>10795</v>
      </c>
      <c r="B1433" s="2">
        <v>16</v>
      </c>
      <c r="C1433" s="2">
        <v>17.45</v>
      </c>
      <c r="D1433" s="2">
        <v>65</v>
      </c>
      <c r="E1433" s="4">
        <v>0</v>
      </c>
      <c r="F1433" s="1" t="str">
        <f>_xlfn.XLOOKUP(A1433,Orders!A:A,Orders!B:B,"not found")</f>
        <v>ERNSH</v>
      </c>
      <c r="G1433" s="13">
        <f>_xlfn.XLOOKUP(OrderDetails[[#This Row],[OrderID]],Orders!A:A,Orders!C:C,"Not Found")</f>
        <v>35788</v>
      </c>
      <c r="H1433" s="16">
        <f>(OrderDetails[[#This Row],[UnitPrice]]*OrderDetails[[#This Row],[Quantity]])*(1-OrderDetails[[#This Row],[Discount]])</f>
        <v>1134.25</v>
      </c>
      <c r="I1433" s="15" t="str">
        <f>_xlfn.XLOOKUP(OrderDetails[[#This Row],[ProductID]],Product!A:A,Product!G:G,"Not Found")</f>
        <v>Confections</v>
      </c>
      <c r="J1433" s="15" t="str">
        <f>LOOKUP(MONTH(G1433),{1,4,7,10},{"Winter","Spring","Summer","Autumn"})</f>
        <v>Autumn</v>
      </c>
      <c r="K1433" s="15" t="str">
        <f>_xlfn.XLOOKUP(OrderDetails[[#This Row],[ProductID]],Product!A:A,Product!B:B,"Not Found")</f>
        <v>Pavlova</v>
      </c>
    </row>
    <row r="1434" spans="1:11">
      <c r="A1434" s="1">
        <v>10795</v>
      </c>
      <c r="B1434" s="1">
        <v>17</v>
      </c>
      <c r="C1434" s="1">
        <v>39</v>
      </c>
      <c r="D1434" s="1">
        <v>35</v>
      </c>
      <c r="E1434" s="3">
        <v>0.25</v>
      </c>
      <c r="F1434" s="1" t="str">
        <f>_xlfn.XLOOKUP(A1434,Orders!A:A,Orders!B:B,"not found")</f>
        <v>ERNSH</v>
      </c>
      <c r="G1434" s="13">
        <f>_xlfn.XLOOKUP(OrderDetails[[#This Row],[OrderID]],Orders!A:A,Orders!C:C,"Not Found")</f>
        <v>35788</v>
      </c>
      <c r="H1434" s="16">
        <f>(OrderDetails[[#This Row],[UnitPrice]]*OrderDetails[[#This Row],[Quantity]])*(1-OrderDetails[[#This Row],[Discount]])</f>
        <v>1023.75</v>
      </c>
      <c r="I1434" s="15" t="str">
        <f>_xlfn.XLOOKUP(OrderDetails[[#This Row],[ProductID]],Product!A:A,Product!G:G,"Not Found")</f>
        <v>Meat/Poultry</v>
      </c>
      <c r="J1434" s="15" t="str">
        <f>LOOKUP(MONTH(G1434),{1,4,7,10},{"Winter","Spring","Summer","Autumn"})</f>
        <v>Autumn</v>
      </c>
      <c r="K1434" s="15" t="str">
        <f>_xlfn.XLOOKUP(OrderDetails[[#This Row],[ProductID]],Product!A:A,Product!B:B,"Not Found")</f>
        <v>Alice Mutton</v>
      </c>
    </row>
    <row r="1435" spans="1:11">
      <c r="A1435" s="2">
        <v>10796</v>
      </c>
      <c r="B1435" s="2">
        <v>26</v>
      </c>
      <c r="C1435" s="2">
        <v>31.23</v>
      </c>
      <c r="D1435" s="2">
        <v>21</v>
      </c>
      <c r="E1435" s="4">
        <v>0.20000000298023224</v>
      </c>
      <c r="F1435" s="1" t="str">
        <f>_xlfn.XLOOKUP(A1435,Orders!A:A,Orders!B:B,"not found")</f>
        <v>HILAA</v>
      </c>
      <c r="G1435" s="13">
        <f>_xlfn.XLOOKUP(OrderDetails[[#This Row],[OrderID]],Orders!A:A,Orders!C:C,"Not Found")</f>
        <v>35789</v>
      </c>
      <c r="H1435" s="16">
        <f>(OrderDetails[[#This Row],[UnitPrice]]*OrderDetails[[#This Row],[Quantity]])*(1-OrderDetails[[#This Row],[Discount]])</f>
        <v>524.66399804547427</v>
      </c>
      <c r="I1435" s="15" t="str">
        <f>_xlfn.XLOOKUP(OrderDetails[[#This Row],[ProductID]],Product!A:A,Product!G:G,"Not Found")</f>
        <v>Confections</v>
      </c>
      <c r="J1435" s="15" t="str">
        <f>LOOKUP(MONTH(G1435),{1,4,7,10},{"Winter","Spring","Summer","Autumn"})</f>
        <v>Autumn</v>
      </c>
      <c r="K1435" s="15" t="str">
        <f>_xlfn.XLOOKUP(OrderDetails[[#This Row],[ProductID]],Product!A:A,Product!B:B,"Not Found")</f>
        <v>Gumbär Gummibärchen</v>
      </c>
    </row>
    <row r="1436" spans="1:11">
      <c r="A1436" s="1">
        <v>10796</v>
      </c>
      <c r="B1436" s="1">
        <v>44</v>
      </c>
      <c r="C1436" s="1">
        <v>19.45</v>
      </c>
      <c r="D1436" s="1">
        <v>10</v>
      </c>
      <c r="E1436" s="3">
        <v>0</v>
      </c>
      <c r="F1436" s="1" t="str">
        <f>_xlfn.XLOOKUP(A1436,Orders!A:A,Orders!B:B,"not found")</f>
        <v>HILAA</v>
      </c>
      <c r="G1436" s="13">
        <f>_xlfn.XLOOKUP(OrderDetails[[#This Row],[OrderID]],Orders!A:A,Orders!C:C,"Not Found")</f>
        <v>35789</v>
      </c>
      <c r="H1436" s="16">
        <f>(OrderDetails[[#This Row],[UnitPrice]]*OrderDetails[[#This Row],[Quantity]])*(1-OrderDetails[[#This Row],[Discount]])</f>
        <v>194.5</v>
      </c>
      <c r="I1436" s="15" t="str">
        <f>_xlfn.XLOOKUP(OrderDetails[[#This Row],[ProductID]],Product!A:A,Product!G:G,"Not Found")</f>
        <v>Condiments</v>
      </c>
      <c r="J1436" s="15" t="str">
        <f>LOOKUP(MONTH(G1436),{1,4,7,10},{"Winter","Spring","Summer","Autumn"})</f>
        <v>Autumn</v>
      </c>
      <c r="K1436" s="15" t="str">
        <f>_xlfn.XLOOKUP(OrderDetails[[#This Row],[ProductID]],Product!A:A,Product!B:B,"Not Found")</f>
        <v>Gula Malacca</v>
      </c>
    </row>
    <row r="1437" spans="1:11">
      <c r="A1437" s="2">
        <v>10796</v>
      </c>
      <c r="B1437" s="2">
        <v>64</v>
      </c>
      <c r="C1437" s="2">
        <v>33.25</v>
      </c>
      <c r="D1437" s="2">
        <v>35</v>
      </c>
      <c r="E1437" s="4">
        <v>0.20000000298023224</v>
      </c>
      <c r="F1437" s="1" t="str">
        <f>_xlfn.XLOOKUP(A1437,Orders!A:A,Orders!B:B,"not found")</f>
        <v>HILAA</v>
      </c>
      <c r="G1437" s="13">
        <f>_xlfn.XLOOKUP(OrderDetails[[#This Row],[OrderID]],Orders!A:A,Orders!C:C,"Not Found")</f>
        <v>35789</v>
      </c>
      <c r="H1437" s="16">
        <f>(OrderDetails[[#This Row],[UnitPrice]]*OrderDetails[[#This Row],[Quantity]])*(1-OrderDetails[[#This Row],[Discount]])</f>
        <v>930.99999653175473</v>
      </c>
      <c r="I1437" s="15" t="str">
        <f>_xlfn.XLOOKUP(OrderDetails[[#This Row],[ProductID]],Product!A:A,Product!G:G,"Not Found")</f>
        <v>Grains/Cereals</v>
      </c>
      <c r="J1437" s="15" t="str">
        <f>LOOKUP(MONTH(G1437),{1,4,7,10},{"Winter","Spring","Summer","Autumn"})</f>
        <v>Autumn</v>
      </c>
      <c r="K1437" s="15" t="str">
        <f>_xlfn.XLOOKUP(OrderDetails[[#This Row],[ProductID]],Product!A:A,Product!B:B,"Not Found")</f>
        <v>Wimmers gute Semmelknödel</v>
      </c>
    </row>
    <row r="1438" spans="1:11">
      <c r="A1438" s="1">
        <v>10796</v>
      </c>
      <c r="B1438" s="1">
        <v>69</v>
      </c>
      <c r="C1438" s="1">
        <v>36</v>
      </c>
      <c r="D1438" s="1">
        <v>24</v>
      </c>
      <c r="E1438" s="3">
        <v>0.20000000298023224</v>
      </c>
      <c r="F1438" s="1" t="str">
        <f>_xlfn.XLOOKUP(A1438,Orders!A:A,Orders!B:B,"not found")</f>
        <v>HILAA</v>
      </c>
      <c r="G1438" s="13">
        <f>_xlfn.XLOOKUP(OrderDetails[[#This Row],[OrderID]],Orders!A:A,Orders!C:C,"Not Found")</f>
        <v>35789</v>
      </c>
      <c r="H1438" s="16">
        <f>(OrderDetails[[#This Row],[UnitPrice]]*OrderDetails[[#This Row],[Quantity]])*(1-OrderDetails[[#This Row],[Discount]])</f>
        <v>691.19999742507935</v>
      </c>
      <c r="I1438" s="15" t="str">
        <f>_xlfn.XLOOKUP(OrderDetails[[#This Row],[ProductID]],Product!A:A,Product!G:G,"Not Found")</f>
        <v>Dairy Products</v>
      </c>
      <c r="J1438" s="15" t="str">
        <f>LOOKUP(MONTH(G1438),{1,4,7,10},{"Winter","Spring","Summer","Autumn"})</f>
        <v>Autumn</v>
      </c>
      <c r="K1438" s="15" t="str">
        <f>_xlfn.XLOOKUP(OrderDetails[[#This Row],[ProductID]],Product!A:A,Product!B:B,"Not Found")</f>
        <v>Gudbrandsdalsost</v>
      </c>
    </row>
    <row r="1439" spans="1:11">
      <c r="A1439" s="2">
        <v>10797</v>
      </c>
      <c r="B1439" s="2">
        <v>11</v>
      </c>
      <c r="C1439" s="2">
        <v>21</v>
      </c>
      <c r="D1439" s="2">
        <v>20</v>
      </c>
      <c r="E1439" s="4">
        <v>0</v>
      </c>
      <c r="F1439" s="1" t="str">
        <f>_xlfn.XLOOKUP(A1439,Orders!A:A,Orders!B:B,"not found")</f>
        <v>DRACD</v>
      </c>
      <c r="G1439" s="13">
        <f>_xlfn.XLOOKUP(OrderDetails[[#This Row],[OrderID]],Orders!A:A,Orders!C:C,"Not Found")</f>
        <v>35789</v>
      </c>
      <c r="H1439" s="16">
        <f>(OrderDetails[[#This Row],[UnitPrice]]*OrderDetails[[#This Row],[Quantity]])*(1-OrderDetails[[#This Row],[Discount]])</f>
        <v>420</v>
      </c>
      <c r="I1439" s="15" t="str">
        <f>_xlfn.XLOOKUP(OrderDetails[[#This Row],[ProductID]],Product!A:A,Product!G:G,"Not Found")</f>
        <v>Dairy Products</v>
      </c>
      <c r="J1439" s="15" t="str">
        <f>LOOKUP(MONTH(G1439),{1,4,7,10},{"Winter","Spring","Summer","Autumn"})</f>
        <v>Autumn</v>
      </c>
      <c r="K1439" s="15" t="str">
        <f>_xlfn.XLOOKUP(OrderDetails[[#This Row],[ProductID]],Product!A:A,Product!B:B,"Not Found")</f>
        <v>Queso Cabrales</v>
      </c>
    </row>
    <row r="1440" spans="1:11">
      <c r="A1440" s="1">
        <v>10798</v>
      </c>
      <c r="B1440" s="1">
        <v>62</v>
      </c>
      <c r="C1440" s="1">
        <v>49.3</v>
      </c>
      <c r="D1440" s="1">
        <v>2</v>
      </c>
      <c r="E1440" s="3">
        <v>0</v>
      </c>
      <c r="F1440" s="1" t="str">
        <f>_xlfn.XLOOKUP(A1440,Orders!A:A,Orders!B:B,"not found")</f>
        <v>ISLAT</v>
      </c>
      <c r="G1440" s="13">
        <f>_xlfn.XLOOKUP(OrderDetails[[#This Row],[OrderID]],Orders!A:A,Orders!C:C,"Not Found")</f>
        <v>35790</v>
      </c>
      <c r="H1440" s="16">
        <f>(OrderDetails[[#This Row],[UnitPrice]]*OrderDetails[[#This Row],[Quantity]])*(1-OrderDetails[[#This Row],[Discount]])</f>
        <v>98.6</v>
      </c>
      <c r="I1440" s="15" t="str">
        <f>_xlfn.XLOOKUP(OrderDetails[[#This Row],[ProductID]],Product!A:A,Product!G:G,"Not Found")</f>
        <v>Confections</v>
      </c>
      <c r="J1440" s="15" t="str">
        <f>LOOKUP(MONTH(G1440),{1,4,7,10},{"Winter","Spring","Summer","Autumn"})</f>
        <v>Autumn</v>
      </c>
      <c r="K1440" s="15" t="str">
        <f>_xlfn.XLOOKUP(OrderDetails[[#This Row],[ProductID]],Product!A:A,Product!B:B,"Not Found")</f>
        <v>Tarte au sucre</v>
      </c>
    </row>
    <row r="1441" spans="1:11">
      <c r="A1441" s="2">
        <v>10798</v>
      </c>
      <c r="B1441" s="2">
        <v>72</v>
      </c>
      <c r="C1441" s="2">
        <v>34.799999999999997</v>
      </c>
      <c r="D1441" s="2">
        <v>10</v>
      </c>
      <c r="E1441" s="4">
        <v>0</v>
      </c>
      <c r="F1441" s="1" t="str">
        <f>_xlfn.XLOOKUP(A1441,Orders!A:A,Orders!B:B,"not found")</f>
        <v>ISLAT</v>
      </c>
      <c r="G1441" s="13">
        <f>_xlfn.XLOOKUP(OrderDetails[[#This Row],[OrderID]],Orders!A:A,Orders!C:C,"Not Found")</f>
        <v>35790</v>
      </c>
      <c r="H1441" s="16">
        <f>(OrderDetails[[#This Row],[UnitPrice]]*OrderDetails[[#This Row],[Quantity]])*(1-OrderDetails[[#This Row],[Discount]])</f>
        <v>348</v>
      </c>
      <c r="I1441" s="15" t="str">
        <f>_xlfn.XLOOKUP(OrderDetails[[#This Row],[ProductID]],Product!A:A,Product!G:G,"Not Found")</f>
        <v>Dairy Products</v>
      </c>
      <c r="J1441" s="15" t="str">
        <f>LOOKUP(MONTH(G1441),{1,4,7,10},{"Winter","Spring","Summer","Autumn"})</f>
        <v>Autumn</v>
      </c>
      <c r="K1441" s="15" t="str">
        <f>_xlfn.XLOOKUP(OrderDetails[[#This Row],[ProductID]],Product!A:A,Product!B:B,"Not Found")</f>
        <v>Mozzarella di Giovanni</v>
      </c>
    </row>
    <row r="1442" spans="1:11">
      <c r="A1442" s="1">
        <v>10799</v>
      </c>
      <c r="B1442" s="1">
        <v>13</v>
      </c>
      <c r="C1442" s="1">
        <v>6</v>
      </c>
      <c r="D1442" s="1">
        <v>20</v>
      </c>
      <c r="E1442" s="3">
        <v>0.15000000596046448</v>
      </c>
      <c r="F1442" s="1" t="str">
        <f>_xlfn.XLOOKUP(A1442,Orders!A:A,Orders!B:B,"not found")</f>
        <v>KOENE</v>
      </c>
      <c r="G1442" s="13">
        <f>_xlfn.XLOOKUP(OrderDetails[[#This Row],[OrderID]],Orders!A:A,Orders!C:C,"Not Found")</f>
        <v>35790</v>
      </c>
      <c r="H1442" s="16">
        <f>(OrderDetails[[#This Row],[UnitPrice]]*OrderDetails[[#This Row],[Quantity]])*(1-OrderDetails[[#This Row],[Discount]])</f>
        <v>101.99999928474426</v>
      </c>
      <c r="I1442" s="15" t="str">
        <f>_xlfn.XLOOKUP(OrderDetails[[#This Row],[ProductID]],Product!A:A,Product!G:G,"Not Found")</f>
        <v>Seafood</v>
      </c>
      <c r="J1442" s="15" t="str">
        <f>LOOKUP(MONTH(G1442),{1,4,7,10},{"Winter","Spring","Summer","Autumn"})</f>
        <v>Autumn</v>
      </c>
      <c r="K1442" s="15" t="str">
        <f>_xlfn.XLOOKUP(OrderDetails[[#This Row],[ProductID]],Product!A:A,Product!B:B,"Not Found")</f>
        <v>Konbu</v>
      </c>
    </row>
    <row r="1443" spans="1:11">
      <c r="A1443" s="2">
        <v>10799</v>
      </c>
      <c r="B1443" s="2">
        <v>24</v>
      </c>
      <c r="C1443" s="2">
        <v>4.5</v>
      </c>
      <c r="D1443" s="2">
        <v>20</v>
      </c>
      <c r="E1443" s="4">
        <v>0.15000000596046448</v>
      </c>
      <c r="F1443" s="1" t="str">
        <f>_xlfn.XLOOKUP(A1443,Orders!A:A,Orders!B:B,"not found")</f>
        <v>KOENE</v>
      </c>
      <c r="G1443" s="13">
        <f>_xlfn.XLOOKUP(OrderDetails[[#This Row],[OrderID]],Orders!A:A,Orders!C:C,"Not Found")</f>
        <v>35790</v>
      </c>
      <c r="H1443" s="16">
        <f>(OrderDetails[[#This Row],[UnitPrice]]*OrderDetails[[#This Row],[Quantity]])*(1-OrderDetails[[#This Row],[Discount]])</f>
        <v>76.499999463558197</v>
      </c>
      <c r="I1443" s="15" t="str">
        <f>_xlfn.XLOOKUP(OrderDetails[[#This Row],[ProductID]],Product!A:A,Product!G:G,"Not Found")</f>
        <v>Beverages</v>
      </c>
      <c r="J1443" s="15" t="str">
        <f>LOOKUP(MONTH(G1443),{1,4,7,10},{"Winter","Spring","Summer","Autumn"})</f>
        <v>Autumn</v>
      </c>
      <c r="K1443" s="15" t="str">
        <f>_xlfn.XLOOKUP(OrderDetails[[#This Row],[ProductID]],Product!A:A,Product!B:B,"Not Found")</f>
        <v>Guaraná Fantástica</v>
      </c>
    </row>
    <row r="1444" spans="1:11">
      <c r="A1444" s="1">
        <v>10799</v>
      </c>
      <c r="B1444" s="1">
        <v>59</v>
      </c>
      <c r="C1444" s="1">
        <v>55</v>
      </c>
      <c r="D1444" s="1">
        <v>25</v>
      </c>
      <c r="E1444" s="3">
        <v>0</v>
      </c>
      <c r="F1444" s="1" t="str">
        <f>_xlfn.XLOOKUP(A1444,Orders!A:A,Orders!B:B,"not found")</f>
        <v>KOENE</v>
      </c>
      <c r="G1444" s="13">
        <f>_xlfn.XLOOKUP(OrderDetails[[#This Row],[OrderID]],Orders!A:A,Orders!C:C,"Not Found")</f>
        <v>35790</v>
      </c>
      <c r="H1444" s="16">
        <f>(OrderDetails[[#This Row],[UnitPrice]]*OrderDetails[[#This Row],[Quantity]])*(1-OrderDetails[[#This Row],[Discount]])</f>
        <v>1375</v>
      </c>
      <c r="I1444" s="15" t="str">
        <f>_xlfn.XLOOKUP(OrderDetails[[#This Row],[ProductID]],Product!A:A,Product!G:G,"Not Found")</f>
        <v>Dairy Products</v>
      </c>
      <c r="J1444" s="15" t="str">
        <f>LOOKUP(MONTH(G1444),{1,4,7,10},{"Winter","Spring","Summer","Autumn"})</f>
        <v>Autumn</v>
      </c>
      <c r="K1444" s="15" t="str">
        <f>_xlfn.XLOOKUP(OrderDetails[[#This Row],[ProductID]],Product!A:A,Product!B:B,"Not Found")</f>
        <v>Raclette Courdavault</v>
      </c>
    </row>
    <row r="1445" spans="1:11">
      <c r="A1445" s="2">
        <v>10800</v>
      </c>
      <c r="B1445" s="2">
        <v>11</v>
      </c>
      <c r="C1445" s="2">
        <v>21</v>
      </c>
      <c r="D1445" s="2">
        <v>50</v>
      </c>
      <c r="E1445" s="4">
        <v>0.10000000149011612</v>
      </c>
      <c r="F1445" s="1" t="str">
        <f>_xlfn.XLOOKUP(A1445,Orders!A:A,Orders!B:B,"not found")</f>
        <v>SEVES</v>
      </c>
      <c r="G1445" s="13">
        <f>_xlfn.XLOOKUP(OrderDetails[[#This Row],[OrderID]],Orders!A:A,Orders!C:C,"Not Found")</f>
        <v>35790</v>
      </c>
      <c r="H1445" s="16">
        <f>(OrderDetails[[#This Row],[UnitPrice]]*OrderDetails[[#This Row],[Quantity]])*(1-OrderDetails[[#This Row],[Discount]])</f>
        <v>944.99999843537807</v>
      </c>
      <c r="I1445" s="15" t="str">
        <f>_xlfn.XLOOKUP(OrderDetails[[#This Row],[ProductID]],Product!A:A,Product!G:G,"Not Found")</f>
        <v>Dairy Products</v>
      </c>
      <c r="J1445" s="15" t="str">
        <f>LOOKUP(MONTH(G1445),{1,4,7,10},{"Winter","Spring","Summer","Autumn"})</f>
        <v>Autumn</v>
      </c>
      <c r="K1445" s="15" t="str">
        <f>_xlfn.XLOOKUP(OrderDetails[[#This Row],[ProductID]],Product!A:A,Product!B:B,"Not Found")</f>
        <v>Queso Cabrales</v>
      </c>
    </row>
    <row r="1446" spans="1:11">
      <c r="A1446" s="1">
        <v>10800</v>
      </c>
      <c r="B1446" s="1">
        <v>51</v>
      </c>
      <c r="C1446" s="1">
        <v>53</v>
      </c>
      <c r="D1446" s="1">
        <v>10</v>
      </c>
      <c r="E1446" s="3">
        <v>0.10000000149011612</v>
      </c>
      <c r="F1446" s="1" t="str">
        <f>_xlfn.XLOOKUP(A1446,Orders!A:A,Orders!B:B,"not found")</f>
        <v>SEVES</v>
      </c>
      <c r="G1446" s="13">
        <f>_xlfn.XLOOKUP(OrderDetails[[#This Row],[OrderID]],Orders!A:A,Orders!C:C,"Not Found")</f>
        <v>35790</v>
      </c>
      <c r="H1446" s="16">
        <f>(OrderDetails[[#This Row],[UnitPrice]]*OrderDetails[[#This Row],[Quantity]])*(1-OrderDetails[[#This Row],[Discount]])</f>
        <v>476.99999921023846</v>
      </c>
      <c r="I1446" s="15" t="str">
        <f>_xlfn.XLOOKUP(OrderDetails[[#This Row],[ProductID]],Product!A:A,Product!G:G,"Not Found")</f>
        <v>Produce</v>
      </c>
      <c r="J1446" s="15" t="str">
        <f>LOOKUP(MONTH(G1446),{1,4,7,10},{"Winter","Spring","Summer","Autumn"})</f>
        <v>Autumn</v>
      </c>
      <c r="K1446" s="15" t="str">
        <f>_xlfn.XLOOKUP(OrderDetails[[#This Row],[ProductID]],Product!A:A,Product!B:B,"Not Found")</f>
        <v>Manjimup Dried Apples</v>
      </c>
    </row>
    <row r="1447" spans="1:11">
      <c r="A1447" s="2">
        <v>10800</v>
      </c>
      <c r="B1447" s="2">
        <v>54</v>
      </c>
      <c r="C1447" s="2">
        <v>7.45</v>
      </c>
      <c r="D1447" s="2">
        <v>7</v>
      </c>
      <c r="E1447" s="4">
        <v>0.10000000149011612</v>
      </c>
      <c r="F1447" s="1" t="str">
        <f>_xlfn.XLOOKUP(A1447,Orders!A:A,Orders!B:B,"not found")</f>
        <v>SEVES</v>
      </c>
      <c r="G1447" s="13">
        <f>_xlfn.XLOOKUP(OrderDetails[[#This Row],[OrderID]],Orders!A:A,Orders!C:C,"Not Found")</f>
        <v>35790</v>
      </c>
      <c r="H1447" s="16">
        <f>(OrderDetails[[#This Row],[UnitPrice]]*OrderDetails[[#This Row],[Quantity]])*(1-OrderDetails[[#This Row],[Discount]])</f>
        <v>46.934999922290444</v>
      </c>
      <c r="I1447" s="15" t="str">
        <f>_xlfn.XLOOKUP(OrderDetails[[#This Row],[ProductID]],Product!A:A,Product!G:G,"Not Found")</f>
        <v>Meat/Poultry</v>
      </c>
      <c r="J1447" s="15" t="str">
        <f>LOOKUP(MONTH(G1447),{1,4,7,10},{"Winter","Spring","Summer","Autumn"})</f>
        <v>Autumn</v>
      </c>
      <c r="K1447" s="15" t="str">
        <f>_xlfn.XLOOKUP(OrderDetails[[#This Row],[ProductID]],Product!A:A,Product!B:B,"Not Found")</f>
        <v>Tourtière</v>
      </c>
    </row>
    <row r="1448" spans="1:11">
      <c r="A1448" s="1">
        <v>10801</v>
      </c>
      <c r="B1448" s="1">
        <v>17</v>
      </c>
      <c r="C1448" s="1">
        <v>39</v>
      </c>
      <c r="D1448" s="1">
        <v>40</v>
      </c>
      <c r="E1448" s="3">
        <v>0.25</v>
      </c>
      <c r="F1448" s="1" t="str">
        <f>_xlfn.XLOOKUP(A1448,Orders!A:A,Orders!B:B,"not found")</f>
        <v>BOLID</v>
      </c>
      <c r="G1448" s="13">
        <f>_xlfn.XLOOKUP(OrderDetails[[#This Row],[OrderID]],Orders!A:A,Orders!C:C,"Not Found")</f>
        <v>35793</v>
      </c>
      <c r="H1448" s="16">
        <f>(OrderDetails[[#This Row],[UnitPrice]]*OrderDetails[[#This Row],[Quantity]])*(1-OrderDetails[[#This Row],[Discount]])</f>
        <v>1170</v>
      </c>
      <c r="I1448" s="15" t="str">
        <f>_xlfn.XLOOKUP(OrderDetails[[#This Row],[ProductID]],Product!A:A,Product!G:G,"Not Found")</f>
        <v>Meat/Poultry</v>
      </c>
      <c r="J1448" s="15" t="str">
        <f>LOOKUP(MONTH(G1448),{1,4,7,10},{"Winter","Spring","Summer","Autumn"})</f>
        <v>Autumn</v>
      </c>
      <c r="K1448" s="15" t="str">
        <f>_xlfn.XLOOKUP(OrderDetails[[#This Row],[ProductID]],Product!A:A,Product!B:B,"Not Found")</f>
        <v>Alice Mutton</v>
      </c>
    </row>
    <row r="1449" spans="1:11">
      <c r="A1449" s="2">
        <v>10801</v>
      </c>
      <c r="B1449" s="2">
        <v>29</v>
      </c>
      <c r="C1449" s="2">
        <v>123.79</v>
      </c>
      <c r="D1449" s="2">
        <v>20</v>
      </c>
      <c r="E1449" s="4">
        <v>0.25</v>
      </c>
      <c r="F1449" s="1" t="str">
        <f>_xlfn.XLOOKUP(A1449,Orders!A:A,Orders!B:B,"not found")</f>
        <v>BOLID</v>
      </c>
      <c r="G1449" s="13">
        <f>_xlfn.XLOOKUP(OrderDetails[[#This Row],[OrderID]],Orders!A:A,Orders!C:C,"Not Found")</f>
        <v>35793</v>
      </c>
      <c r="H1449" s="16">
        <f>(OrderDetails[[#This Row],[UnitPrice]]*OrderDetails[[#This Row],[Quantity]])*(1-OrderDetails[[#This Row],[Discount]])</f>
        <v>1856.8500000000001</v>
      </c>
      <c r="I1449" s="15" t="str">
        <f>_xlfn.XLOOKUP(OrderDetails[[#This Row],[ProductID]],Product!A:A,Product!G:G,"Not Found")</f>
        <v>Meat/Poultry</v>
      </c>
      <c r="J1449" s="15" t="str">
        <f>LOOKUP(MONTH(G1449),{1,4,7,10},{"Winter","Spring","Summer","Autumn"})</f>
        <v>Autumn</v>
      </c>
      <c r="K1449" s="15" t="str">
        <f>_xlfn.XLOOKUP(OrderDetails[[#This Row],[ProductID]],Product!A:A,Product!B:B,"Not Found")</f>
        <v>Thüringer Rostbratwurst</v>
      </c>
    </row>
    <row r="1450" spans="1:11">
      <c r="A1450" s="1">
        <v>10802</v>
      </c>
      <c r="B1450" s="1">
        <v>30</v>
      </c>
      <c r="C1450" s="1">
        <v>25.89</v>
      </c>
      <c r="D1450" s="1">
        <v>25</v>
      </c>
      <c r="E1450" s="3">
        <v>0.25</v>
      </c>
      <c r="F1450" s="1" t="str">
        <f>_xlfn.XLOOKUP(A1450,Orders!A:A,Orders!B:B,"not found")</f>
        <v>SIMOB</v>
      </c>
      <c r="G1450" s="13">
        <f>_xlfn.XLOOKUP(OrderDetails[[#This Row],[OrderID]],Orders!A:A,Orders!C:C,"Not Found")</f>
        <v>35793</v>
      </c>
      <c r="H1450" s="16">
        <f>(OrderDetails[[#This Row],[UnitPrice]]*OrderDetails[[#This Row],[Quantity]])*(1-OrderDetails[[#This Row],[Discount]])</f>
        <v>485.4375</v>
      </c>
      <c r="I1450" s="15" t="str">
        <f>_xlfn.XLOOKUP(OrderDetails[[#This Row],[ProductID]],Product!A:A,Product!G:G,"Not Found")</f>
        <v>Seafood</v>
      </c>
      <c r="J1450" s="15" t="str">
        <f>LOOKUP(MONTH(G1450),{1,4,7,10},{"Winter","Spring","Summer","Autumn"})</f>
        <v>Autumn</v>
      </c>
      <c r="K1450" s="15" t="str">
        <f>_xlfn.XLOOKUP(OrderDetails[[#This Row],[ProductID]],Product!A:A,Product!B:B,"Not Found")</f>
        <v>Nord-Ost Matjeshering</v>
      </c>
    </row>
    <row r="1451" spans="1:11">
      <c r="A1451" s="2">
        <v>10802</v>
      </c>
      <c r="B1451" s="2">
        <v>51</v>
      </c>
      <c r="C1451" s="2">
        <v>53</v>
      </c>
      <c r="D1451" s="2">
        <v>30</v>
      </c>
      <c r="E1451" s="4">
        <v>0.25</v>
      </c>
      <c r="F1451" s="1" t="str">
        <f>_xlfn.XLOOKUP(A1451,Orders!A:A,Orders!B:B,"not found")</f>
        <v>SIMOB</v>
      </c>
      <c r="G1451" s="13">
        <f>_xlfn.XLOOKUP(OrderDetails[[#This Row],[OrderID]],Orders!A:A,Orders!C:C,"Not Found")</f>
        <v>35793</v>
      </c>
      <c r="H1451" s="16">
        <f>(OrderDetails[[#This Row],[UnitPrice]]*OrderDetails[[#This Row],[Quantity]])*(1-OrderDetails[[#This Row],[Discount]])</f>
        <v>1192.5</v>
      </c>
      <c r="I1451" s="15" t="str">
        <f>_xlfn.XLOOKUP(OrderDetails[[#This Row],[ProductID]],Product!A:A,Product!G:G,"Not Found")</f>
        <v>Produce</v>
      </c>
      <c r="J1451" s="15" t="str">
        <f>LOOKUP(MONTH(G1451),{1,4,7,10},{"Winter","Spring","Summer","Autumn"})</f>
        <v>Autumn</v>
      </c>
      <c r="K1451" s="15" t="str">
        <f>_xlfn.XLOOKUP(OrderDetails[[#This Row],[ProductID]],Product!A:A,Product!B:B,"Not Found")</f>
        <v>Manjimup Dried Apples</v>
      </c>
    </row>
    <row r="1452" spans="1:11">
      <c r="A1452" s="1">
        <v>10802</v>
      </c>
      <c r="B1452" s="1">
        <v>55</v>
      </c>
      <c r="C1452" s="1">
        <v>24</v>
      </c>
      <c r="D1452" s="1">
        <v>60</v>
      </c>
      <c r="E1452" s="3">
        <v>0.25</v>
      </c>
      <c r="F1452" s="1" t="str">
        <f>_xlfn.XLOOKUP(A1452,Orders!A:A,Orders!B:B,"not found")</f>
        <v>SIMOB</v>
      </c>
      <c r="G1452" s="13">
        <f>_xlfn.XLOOKUP(OrderDetails[[#This Row],[OrderID]],Orders!A:A,Orders!C:C,"Not Found")</f>
        <v>35793</v>
      </c>
      <c r="H1452" s="16">
        <f>(OrderDetails[[#This Row],[UnitPrice]]*OrderDetails[[#This Row],[Quantity]])*(1-OrderDetails[[#This Row],[Discount]])</f>
        <v>1080</v>
      </c>
      <c r="I1452" s="15" t="str">
        <f>_xlfn.XLOOKUP(OrderDetails[[#This Row],[ProductID]],Product!A:A,Product!G:G,"Not Found")</f>
        <v>Meat/Poultry</v>
      </c>
      <c r="J1452" s="15" t="str">
        <f>LOOKUP(MONTH(G1452),{1,4,7,10},{"Winter","Spring","Summer","Autumn"})</f>
        <v>Autumn</v>
      </c>
      <c r="K1452" s="15" t="str">
        <f>_xlfn.XLOOKUP(OrderDetails[[#This Row],[ProductID]],Product!A:A,Product!B:B,"Not Found")</f>
        <v>Pâté chinois</v>
      </c>
    </row>
    <row r="1453" spans="1:11">
      <c r="A1453" s="2">
        <v>10802</v>
      </c>
      <c r="B1453" s="2">
        <v>62</v>
      </c>
      <c r="C1453" s="2">
        <v>49.3</v>
      </c>
      <c r="D1453" s="2">
        <v>5</v>
      </c>
      <c r="E1453" s="4">
        <v>0.25</v>
      </c>
      <c r="F1453" s="1" t="str">
        <f>_xlfn.XLOOKUP(A1453,Orders!A:A,Orders!B:B,"not found")</f>
        <v>SIMOB</v>
      </c>
      <c r="G1453" s="13">
        <f>_xlfn.XLOOKUP(OrderDetails[[#This Row],[OrderID]],Orders!A:A,Orders!C:C,"Not Found")</f>
        <v>35793</v>
      </c>
      <c r="H1453" s="16">
        <f>(OrderDetails[[#This Row],[UnitPrice]]*OrderDetails[[#This Row],[Quantity]])*(1-OrderDetails[[#This Row],[Discount]])</f>
        <v>184.875</v>
      </c>
      <c r="I1453" s="15" t="str">
        <f>_xlfn.XLOOKUP(OrderDetails[[#This Row],[ProductID]],Product!A:A,Product!G:G,"Not Found")</f>
        <v>Confections</v>
      </c>
      <c r="J1453" s="15" t="str">
        <f>LOOKUP(MONTH(G1453),{1,4,7,10},{"Winter","Spring","Summer","Autumn"})</f>
        <v>Autumn</v>
      </c>
      <c r="K1453" s="15" t="str">
        <f>_xlfn.XLOOKUP(OrderDetails[[#This Row],[ProductID]],Product!A:A,Product!B:B,"Not Found")</f>
        <v>Tarte au sucre</v>
      </c>
    </row>
    <row r="1454" spans="1:11">
      <c r="A1454" s="1">
        <v>10803</v>
      </c>
      <c r="B1454" s="1">
        <v>19</v>
      </c>
      <c r="C1454" s="1">
        <v>9.1999999999999993</v>
      </c>
      <c r="D1454" s="1">
        <v>24</v>
      </c>
      <c r="E1454" s="3">
        <v>5.000000074505806E-2</v>
      </c>
      <c r="F1454" s="1" t="str">
        <f>_xlfn.XLOOKUP(A1454,Orders!A:A,Orders!B:B,"not found")</f>
        <v>WELLI</v>
      </c>
      <c r="G1454" s="13">
        <f>_xlfn.XLOOKUP(OrderDetails[[#This Row],[OrderID]],Orders!A:A,Orders!C:C,"Not Found")</f>
        <v>35794</v>
      </c>
      <c r="H1454" s="16">
        <f>(OrderDetails[[#This Row],[UnitPrice]]*OrderDetails[[#This Row],[Quantity]])*(1-OrderDetails[[#This Row],[Discount]])</f>
        <v>209.75999983549116</v>
      </c>
      <c r="I1454" s="15" t="str">
        <f>_xlfn.XLOOKUP(OrderDetails[[#This Row],[ProductID]],Product!A:A,Product!G:G,"Not Found")</f>
        <v>Confections</v>
      </c>
      <c r="J1454" s="15" t="str">
        <f>LOOKUP(MONTH(G1454),{1,4,7,10},{"Winter","Spring","Summer","Autumn"})</f>
        <v>Autumn</v>
      </c>
      <c r="K1454" s="15" t="str">
        <f>_xlfn.XLOOKUP(OrderDetails[[#This Row],[ProductID]],Product!A:A,Product!B:B,"Not Found")</f>
        <v>Teatime Chocolate Biscuits</v>
      </c>
    </row>
    <row r="1455" spans="1:11">
      <c r="A1455" s="2">
        <v>10803</v>
      </c>
      <c r="B1455" s="2">
        <v>25</v>
      </c>
      <c r="C1455" s="2">
        <v>14</v>
      </c>
      <c r="D1455" s="2">
        <v>15</v>
      </c>
      <c r="E1455" s="4">
        <v>5.000000074505806E-2</v>
      </c>
      <c r="F1455" s="1" t="str">
        <f>_xlfn.XLOOKUP(A1455,Orders!A:A,Orders!B:B,"not found")</f>
        <v>WELLI</v>
      </c>
      <c r="G1455" s="13">
        <f>_xlfn.XLOOKUP(OrderDetails[[#This Row],[OrderID]],Orders!A:A,Orders!C:C,"Not Found")</f>
        <v>35794</v>
      </c>
      <c r="H1455" s="16">
        <f>(OrderDetails[[#This Row],[UnitPrice]]*OrderDetails[[#This Row],[Quantity]])*(1-OrderDetails[[#This Row],[Discount]])</f>
        <v>199.49999984353781</v>
      </c>
      <c r="I1455" s="15" t="str">
        <f>_xlfn.XLOOKUP(OrderDetails[[#This Row],[ProductID]],Product!A:A,Product!G:G,"Not Found")</f>
        <v>Confections</v>
      </c>
      <c r="J1455" s="15" t="str">
        <f>LOOKUP(MONTH(G1455),{1,4,7,10},{"Winter","Spring","Summer","Autumn"})</f>
        <v>Autumn</v>
      </c>
      <c r="K1455" s="15" t="str">
        <f>_xlfn.XLOOKUP(OrderDetails[[#This Row],[ProductID]],Product!A:A,Product!B:B,"Not Found")</f>
        <v>NuNuCa Nuß-Nougat-Creme</v>
      </c>
    </row>
    <row r="1456" spans="1:11">
      <c r="A1456" s="1">
        <v>10803</v>
      </c>
      <c r="B1456" s="1">
        <v>59</v>
      </c>
      <c r="C1456" s="1">
        <v>55</v>
      </c>
      <c r="D1456" s="1">
        <v>15</v>
      </c>
      <c r="E1456" s="3">
        <v>5.000000074505806E-2</v>
      </c>
      <c r="F1456" s="1" t="str">
        <f>_xlfn.XLOOKUP(A1456,Orders!A:A,Orders!B:B,"not found")</f>
        <v>WELLI</v>
      </c>
      <c r="G1456" s="13">
        <f>_xlfn.XLOOKUP(OrderDetails[[#This Row],[OrderID]],Orders!A:A,Orders!C:C,"Not Found")</f>
        <v>35794</v>
      </c>
      <c r="H1456" s="16">
        <f>(OrderDetails[[#This Row],[UnitPrice]]*OrderDetails[[#This Row],[Quantity]])*(1-OrderDetails[[#This Row],[Discount]])</f>
        <v>783.7499993853271</v>
      </c>
      <c r="I1456" s="15" t="str">
        <f>_xlfn.XLOOKUP(OrderDetails[[#This Row],[ProductID]],Product!A:A,Product!G:G,"Not Found")</f>
        <v>Dairy Products</v>
      </c>
      <c r="J1456" s="15" t="str">
        <f>LOOKUP(MONTH(G1456),{1,4,7,10},{"Winter","Spring","Summer","Autumn"})</f>
        <v>Autumn</v>
      </c>
      <c r="K1456" s="15" t="str">
        <f>_xlfn.XLOOKUP(OrderDetails[[#This Row],[ProductID]],Product!A:A,Product!B:B,"Not Found")</f>
        <v>Raclette Courdavault</v>
      </c>
    </row>
    <row r="1457" spans="1:11">
      <c r="A1457" s="2">
        <v>10804</v>
      </c>
      <c r="B1457" s="2">
        <v>10</v>
      </c>
      <c r="C1457" s="2">
        <v>31</v>
      </c>
      <c r="D1457" s="2">
        <v>36</v>
      </c>
      <c r="E1457" s="4">
        <v>0</v>
      </c>
      <c r="F1457" s="1" t="str">
        <f>_xlfn.XLOOKUP(A1457,Orders!A:A,Orders!B:B,"not found")</f>
        <v>SEVES</v>
      </c>
      <c r="G1457" s="13">
        <f>_xlfn.XLOOKUP(OrderDetails[[#This Row],[OrderID]],Orders!A:A,Orders!C:C,"Not Found")</f>
        <v>35794</v>
      </c>
      <c r="H1457" s="16">
        <f>(OrderDetails[[#This Row],[UnitPrice]]*OrderDetails[[#This Row],[Quantity]])*(1-OrderDetails[[#This Row],[Discount]])</f>
        <v>1116</v>
      </c>
      <c r="I1457" s="15" t="str">
        <f>_xlfn.XLOOKUP(OrderDetails[[#This Row],[ProductID]],Product!A:A,Product!G:G,"Not Found")</f>
        <v>Seafood</v>
      </c>
      <c r="J1457" s="15" t="str">
        <f>LOOKUP(MONTH(G1457),{1,4,7,10},{"Winter","Spring","Summer","Autumn"})</f>
        <v>Autumn</v>
      </c>
      <c r="K1457" s="15" t="str">
        <f>_xlfn.XLOOKUP(OrderDetails[[#This Row],[ProductID]],Product!A:A,Product!B:B,"Not Found")</f>
        <v>Ikura</v>
      </c>
    </row>
    <row r="1458" spans="1:11">
      <c r="A1458" s="1">
        <v>10804</v>
      </c>
      <c r="B1458" s="1">
        <v>28</v>
      </c>
      <c r="C1458" s="1">
        <v>45.6</v>
      </c>
      <c r="D1458" s="1">
        <v>24</v>
      </c>
      <c r="E1458" s="3">
        <v>0</v>
      </c>
      <c r="F1458" s="1" t="str">
        <f>_xlfn.XLOOKUP(A1458,Orders!A:A,Orders!B:B,"not found")</f>
        <v>SEVES</v>
      </c>
      <c r="G1458" s="13">
        <f>_xlfn.XLOOKUP(OrderDetails[[#This Row],[OrderID]],Orders!A:A,Orders!C:C,"Not Found")</f>
        <v>35794</v>
      </c>
      <c r="H1458" s="16">
        <f>(OrderDetails[[#This Row],[UnitPrice]]*OrderDetails[[#This Row],[Quantity]])*(1-OrderDetails[[#This Row],[Discount]])</f>
        <v>1094.4000000000001</v>
      </c>
      <c r="I1458" s="15" t="str">
        <f>_xlfn.XLOOKUP(OrderDetails[[#This Row],[ProductID]],Product!A:A,Product!G:G,"Not Found")</f>
        <v>Produce</v>
      </c>
      <c r="J1458" s="15" t="str">
        <f>LOOKUP(MONTH(G1458),{1,4,7,10},{"Winter","Spring","Summer","Autumn"})</f>
        <v>Autumn</v>
      </c>
      <c r="K1458" s="15" t="str">
        <f>_xlfn.XLOOKUP(OrderDetails[[#This Row],[ProductID]],Product!A:A,Product!B:B,"Not Found")</f>
        <v>Rössle Sauerkraut</v>
      </c>
    </row>
    <row r="1459" spans="1:11">
      <c r="A1459" s="2">
        <v>10804</v>
      </c>
      <c r="B1459" s="2">
        <v>49</v>
      </c>
      <c r="C1459" s="2">
        <v>20</v>
      </c>
      <c r="D1459" s="2">
        <v>4</v>
      </c>
      <c r="E1459" s="4">
        <v>0.15000000596046448</v>
      </c>
      <c r="F1459" s="1" t="str">
        <f>_xlfn.XLOOKUP(A1459,Orders!A:A,Orders!B:B,"not found")</f>
        <v>SEVES</v>
      </c>
      <c r="G1459" s="13">
        <f>_xlfn.XLOOKUP(OrderDetails[[#This Row],[OrderID]],Orders!A:A,Orders!C:C,"Not Found")</f>
        <v>35794</v>
      </c>
      <c r="H1459" s="16">
        <f>(OrderDetails[[#This Row],[UnitPrice]]*OrderDetails[[#This Row],[Quantity]])*(1-OrderDetails[[#This Row],[Discount]])</f>
        <v>67.999999523162842</v>
      </c>
      <c r="I1459" s="15" t="str">
        <f>_xlfn.XLOOKUP(OrderDetails[[#This Row],[ProductID]],Product!A:A,Product!G:G,"Not Found")</f>
        <v>Confections</v>
      </c>
      <c r="J1459" s="15" t="str">
        <f>LOOKUP(MONTH(G1459),{1,4,7,10},{"Winter","Spring","Summer","Autumn"})</f>
        <v>Autumn</v>
      </c>
      <c r="K1459" s="15" t="str">
        <f>_xlfn.XLOOKUP(OrderDetails[[#This Row],[ProductID]],Product!A:A,Product!B:B,"Not Found")</f>
        <v>Maxilaku</v>
      </c>
    </row>
    <row r="1460" spans="1:11">
      <c r="A1460" s="1">
        <v>10805</v>
      </c>
      <c r="B1460" s="1">
        <v>34</v>
      </c>
      <c r="C1460" s="1">
        <v>14</v>
      </c>
      <c r="D1460" s="1">
        <v>10</v>
      </c>
      <c r="E1460" s="3">
        <v>0</v>
      </c>
      <c r="F1460" s="1" t="str">
        <f>_xlfn.XLOOKUP(A1460,Orders!A:A,Orders!B:B,"not found")</f>
        <v>THEBI</v>
      </c>
      <c r="G1460" s="13">
        <f>_xlfn.XLOOKUP(OrderDetails[[#This Row],[OrderID]],Orders!A:A,Orders!C:C,"Not Found")</f>
        <v>35794</v>
      </c>
      <c r="H1460" s="16">
        <f>(OrderDetails[[#This Row],[UnitPrice]]*OrderDetails[[#This Row],[Quantity]])*(1-OrderDetails[[#This Row],[Discount]])</f>
        <v>140</v>
      </c>
      <c r="I1460" s="15" t="str">
        <f>_xlfn.XLOOKUP(OrderDetails[[#This Row],[ProductID]],Product!A:A,Product!G:G,"Not Found")</f>
        <v>Beverages</v>
      </c>
      <c r="J1460" s="15" t="str">
        <f>LOOKUP(MONTH(G1460),{1,4,7,10},{"Winter","Spring","Summer","Autumn"})</f>
        <v>Autumn</v>
      </c>
      <c r="K1460" s="15" t="str">
        <f>_xlfn.XLOOKUP(OrderDetails[[#This Row],[ProductID]],Product!A:A,Product!B:B,"Not Found")</f>
        <v>Sasquatch Ale</v>
      </c>
    </row>
    <row r="1461" spans="1:11">
      <c r="A1461" s="2">
        <v>10805</v>
      </c>
      <c r="B1461" s="2">
        <v>38</v>
      </c>
      <c r="C1461" s="2">
        <v>263.5</v>
      </c>
      <c r="D1461" s="2">
        <v>10</v>
      </c>
      <c r="E1461" s="4">
        <v>0</v>
      </c>
      <c r="F1461" s="1" t="str">
        <f>_xlfn.XLOOKUP(A1461,Orders!A:A,Orders!B:B,"not found")</f>
        <v>THEBI</v>
      </c>
      <c r="G1461" s="13">
        <f>_xlfn.XLOOKUP(OrderDetails[[#This Row],[OrderID]],Orders!A:A,Orders!C:C,"Not Found")</f>
        <v>35794</v>
      </c>
      <c r="H1461" s="16">
        <f>(OrderDetails[[#This Row],[UnitPrice]]*OrderDetails[[#This Row],[Quantity]])*(1-OrderDetails[[#This Row],[Discount]])</f>
        <v>2635</v>
      </c>
      <c r="I1461" s="15" t="str">
        <f>_xlfn.XLOOKUP(OrderDetails[[#This Row],[ProductID]],Product!A:A,Product!G:G,"Not Found")</f>
        <v>Beverages</v>
      </c>
      <c r="J1461" s="15" t="str">
        <f>LOOKUP(MONTH(G1461),{1,4,7,10},{"Winter","Spring","Summer","Autumn"})</f>
        <v>Autumn</v>
      </c>
      <c r="K1461" s="15" t="str">
        <f>_xlfn.XLOOKUP(OrderDetails[[#This Row],[ProductID]],Product!A:A,Product!B:B,"Not Found")</f>
        <v>Côte de Blaye</v>
      </c>
    </row>
    <row r="1462" spans="1:11">
      <c r="A1462" s="1">
        <v>10806</v>
      </c>
      <c r="B1462" s="1">
        <v>2</v>
      </c>
      <c r="C1462" s="1">
        <v>19</v>
      </c>
      <c r="D1462" s="1">
        <v>20</v>
      </c>
      <c r="E1462" s="3">
        <v>0.25</v>
      </c>
      <c r="F1462" s="1" t="str">
        <f>_xlfn.XLOOKUP(A1462,Orders!A:A,Orders!B:B,"not found")</f>
        <v>VICTE</v>
      </c>
      <c r="G1462" s="13">
        <f>_xlfn.XLOOKUP(OrderDetails[[#This Row],[OrderID]],Orders!A:A,Orders!C:C,"Not Found")</f>
        <v>35795</v>
      </c>
      <c r="H1462" s="16">
        <f>(OrderDetails[[#This Row],[UnitPrice]]*OrderDetails[[#This Row],[Quantity]])*(1-OrderDetails[[#This Row],[Discount]])</f>
        <v>285</v>
      </c>
      <c r="I1462" s="15" t="str">
        <f>_xlfn.XLOOKUP(OrderDetails[[#This Row],[ProductID]],Product!A:A,Product!G:G,"Not Found")</f>
        <v>Beverages</v>
      </c>
      <c r="J1462" s="15" t="str">
        <f>LOOKUP(MONTH(G1462),{1,4,7,10},{"Winter","Spring","Summer","Autumn"})</f>
        <v>Autumn</v>
      </c>
      <c r="K1462" s="15" t="str">
        <f>_xlfn.XLOOKUP(OrderDetails[[#This Row],[ProductID]],Product!A:A,Product!B:B,"Not Found")</f>
        <v>Chang</v>
      </c>
    </row>
    <row r="1463" spans="1:11">
      <c r="A1463" s="2">
        <v>10806</v>
      </c>
      <c r="B1463" s="2">
        <v>65</v>
      </c>
      <c r="C1463" s="2">
        <v>21.05</v>
      </c>
      <c r="D1463" s="2">
        <v>2</v>
      </c>
      <c r="E1463" s="4">
        <v>0</v>
      </c>
      <c r="F1463" s="1" t="str">
        <f>_xlfn.XLOOKUP(A1463,Orders!A:A,Orders!B:B,"not found")</f>
        <v>VICTE</v>
      </c>
      <c r="G1463" s="13">
        <f>_xlfn.XLOOKUP(OrderDetails[[#This Row],[OrderID]],Orders!A:A,Orders!C:C,"Not Found")</f>
        <v>35795</v>
      </c>
      <c r="H1463" s="16">
        <f>(OrderDetails[[#This Row],[UnitPrice]]*OrderDetails[[#This Row],[Quantity]])*(1-OrderDetails[[#This Row],[Discount]])</f>
        <v>42.1</v>
      </c>
      <c r="I1463" s="15" t="str">
        <f>_xlfn.XLOOKUP(OrderDetails[[#This Row],[ProductID]],Product!A:A,Product!G:G,"Not Found")</f>
        <v>Condiments</v>
      </c>
      <c r="J1463" s="15" t="str">
        <f>LOOKUP(MONTH(G1463),{1,4,7,10},{"Winter","Spring","Summer","Autumn"})</f>
        <v>Autumn</v>
      </c>
      <c r="K1463" s="15" t="str">
        <f>_xlfn.XLOOKUP(OrderDetails[[#This Row],[ProductID]],Product!A:A,Product!B:B,"Not Found")</f>
        <v>Louisiana Fiery Hot Pepper Sauce</v>
      </c>
    </row>
    <row r="1464" spans="1:11">
      <c r="A1464" s="1">
        <v>10806</v>
      </c>
      <c r="B1464" s="1">
        <v>74</v>
      </c>
      <c r="C1464" s="1">
        <v>10</v>
      </c>
      <c r="D1464" s="1">
        <v>15</v>
      </c>
      <c r="E1464" s="3">
        <v>0.25</v>
      </c>
      <c r="F1464" s="1" t="str">
        <f>_xlfn.XLOOKUP(A1464,Orders!A:A,Orders!B:B,"not found")</f>
        <v>VICTE</v>
      </c>
      <c r="G1464" s="13">
        <f>_xlfn.XLOOKUP(OrderDetails[[#This Row],[OrderID]],Orders!A:A,Orders!C:C,"Not Found")</f>
        <v>35795</v>
      </c>
      <c r="H1464" s="16">
        <f>(OrderDetails[[#This Row],[UnitPrice]]*OrderDetails[[#This Row],[Quantity]])*(1-OrderDetails[[#This Row],[Discount]])</f>
        <v>112.5</v>
      </c>
      <c r="I1464" s="15" t="str">
        <f>_xlfn.XLOOKUP(OrderDetails[[#This Row],[ProductID]],Product!A:A,Product!G:G,"Not Found")</f>
        <v>Produce</v>
      </c>
      <c r="J1464" s="15" t="str">
        <f>LOOKUP(MONTH(G1464),{1,4,7,10},{"Winter","Spring","Summer","Autumn"})</f>
        <v>Autumn</v>
      </c>
      <c r="K1464" s="15" t="str">
        <f>_xlfn.XLOOKUP(OrderDetails[[#This Row],[ProductID]],Product!A:A,Product!B:B,"Not Found")</f>
        <v>Longlife Tofu</v>
      </c>
    </row>
    <row r="1465" spans="1:11">
      <c r="A1465" s="2">
        <v>10807</v>
      </c>
      <c r="B1465" s="2">
        <v>40</v>
      </c>
      <c r="C1465" s="2">
        <v>18.399999999999999</v>
      </c>
      <c r="D1465" s="2">
        <v>1</v>
      </c>
      <c r="E1465" s="4">
        <v>0</v>
      </c>
      <c r="F1465" s="1" t="str">
        <f>_xlfn.XLOOKUP(A1465,Orders!A:A,Orders!B:B,"not found")</f>
        <v>FRANS</v>
      </c>
      <c r="G1465" s="13">
        <f>_xlfn.XLOOKUP(OrderDetails[[#This Row],[OrderID]],Orders!A:A,Orders!C:C,"Not Found")</f>
        <v>35795</v>
      </c>
      <c r="H1465" s="16">
        <f>(OrderDetails[[#This Row],[UnitPrice]]*OrderDetails[[#This Row],[Quantity]])*(1-OrderDetails[[#This Row],[Discount]])</f>
        <v>18.399999999999999</v>
      </c>
      <c r="I1465" s="15" t="str">
        <f>_xlfn.XLOOKUP(OrderDetails[[#This Row],[ProductID]],Product!A:A,Product!G:G,"Not Found")</f>
        <v>Seafood</v>
      </c>
      <c r="J1465" s="15" t="str">
        <f>LOOKUP(MONTH(G1465),{1,4,7,10},{"Winter","Spring","Summer","Autumn"})</f>
        <v>Autumn</v>
      </c>
      <c r="K1465" s="15" t="str">
        <f>_xlfn.XLOOKUP(OrderDetails[[#This Row],[ProductID]],Product!A:A,Product!B:B,"Not Found")</f>
        <v>Boston Crab Meat</v>
      </c>
    </row>
    <row r="1466" spans="1:11">
      <c r="A1466" s="1">
        <v>10808</v>
      </c>
      <c r="B1466" s="1">
        <v>56</v>
      </c>
      <c r="C1466" s="1">
        <v>38</v>
      </c>
      <c r="D1466" s="1">
        <v>20</v>
      </c>
      <c r="E1466" s="3">
        <v>0.15000000596046448</v>
      </c>
      <c r="F1466" s="1" t="str">
        <f>_xlfn.XLOOKUP(A1466,Orders!A:A,Orders!B:B,"not found")</f>
        <v>OLDWO</v>
      </c>
      <c r="G1466" s="13">
        <f>_xlfn.XLOOKUP(OrderDetails[[#This Row],[OrderID]],Orders!A:A,Orders!C:C,"Not Found")</f>
        <v>35796</v>
      </c>
      <c r="H1466" s="16">
        <f>(OrderDetails[[#This Row],[UnitPrice]]*OrderDetails[[#This Row],[Quantity]])*(1-OrderDetails[[#This Row],[Discount]])</f>
        <v>645.999995470047</v>
      </c>
      <c r="I1466" s="15" t="str">
        <f>_xlfn.XLOOKUP(OrderDetails[[#This Row],[ProductID]],Product!A:A,Product!G:G,"Not Found")</f>
        <v>Grains/Cereals</v>
      </c>
      <c r="J1466" s="15" t="str">
        <f>LOOKUP(MONTH(G1466),{1,4,7,10},{"Winter","Spring","Summer","Autumn"})</f>
        <v>Winter</v>
      </c>
      <c r="K1466" s="15" t="str">
        <f>_xlfn.XLOOKUP(OrderDetails[[#This Row],[ProductID]],Product!A:A,Product!B:B,"Not Found")</f>
        <v>Gnocchi di nonna Alice</v>
      </c>
    </row>
    <row r="1467" spans="1:11">
      <c r="A1467" s="2">
        <v>10808</v>
      </c>
      <c r="B1467" s="2">
        <v>76</v>
      </c>
      <c r="C1467" s="2">
        <v>18</v>
      </c>
      <c r="D1467" s="2">
        <v>50</v>
      </c>
      <c r="E1467" s="4">
        <v>0.15000000596046448</v>
      </c>
      <c r="F1467" s="1" t="str">
        <f>_xlfn.XLOOKUP(A1467,Orders!A:A,Orders!B:B,"not found")</f>
        <v>OLDWO</v>
      </c>
      <c r="G1467" s="13">
        <f>_xlfn.XLOOKUP(OrderDetails[[#This Row],[OrderID]],Orders!A:A,Orders!C:C,"Not Found")</f>
        <v>35796</v>
      </c>
      <c r="H1467" s="16">
        <f>(OrderDetails[[#This Row],[UnitPrice]]*OrderDetails[[#This Row],[Quantity]])*(1-OrderDetails[[#This Row],[Discount]])</f>
        <v>764.99999463558197</v>
      </c>
      <c r="I1467" s="15" t="str">
        <f>_xlfn.XLOOKUP(OrderDetails[[#This Row],[ProductID]],Product!A:A,Product!G:G,"Not Found")</f>
        <v>Beverages</v>
      </c>
      <c r="J1467" s="15" t="str">
        <f>LOOKUP(MONTH(G1467),{1,4,7,10},{"Winter","Spring","Summer","Autumn"})</f>
        <v>Winter</v>
      </c>
      <c r="K1467" s="15" t="str">
        <f>_xlfn.XLOOKUP(OrderDetails[[#This Row],[ProductID]],Product!A:A,Product!B:B,"Not Found")</f>
        <v>Lakkalikööri</v>
      </c>
    </row>
    <row r="1468" spans="1:11">
      <c r="A1468" s="1">
        <v>10809</v>
      </c>
      <c r="B1468" s="1">
        <v>52</v>
      </c>
      <c r="C1468" s="1">
        <v>7</v>
      </c>
      <c r="D1468" s="1">
        <v>20</v>
      </c>
      <c r="E1468" s="3">
        <v>0</v>
      </c>
      <c r="F1468" s="1" t="str">
        <f>_xlfn.XLOOKUP(A1468,Orders!A:A,Orders!B:B,"not found")</f>
        <v>WELLI</v>
      </c>
      <c r="G1468" s="13">
        <f>_xlfn.XLOOKUP(OrderDetails[[#This Row],[OrderID]],Orders!A:A,Orders!C:C,"Not Found")</f>
        <v>35796</v>
      </c>
      <c r="H1468" s="16">
        <f>(OrderDetails[[#This Row],[UnitPrice]]*OrderDetails[[#This Row],[Quantity]])*(1-OrderDetails[[#This Row],[Discount]])</f>
        <v>140</v>
      </c>
      <c r="I1468" s="15" t="str">
        <f>_xlfn.XLOOKUP(OrderDetails[[#This Row],[ProductID]],Product!A:A,Product!G:G,"Not Found")</f>
        <v>Grains/Cereals</v>
      </c>
      <c r="J1468" s="15" t="str">
        <f>LOOKUP(MONTH(G1468),{1,4,7,10},{"Winter","Spring","Summer","Autumn"})</f>
        <v>Winter</v>
      </c>
      <c r="K1468" s="15" t="str">
        <f>_xlfn.XLOOKUP(OrderDetails[[#This Row],[ProductID]],Product!A:A,Product!B:B,"Not Found")</f>
        <v>Filo Mix</v>
      </c>
    </row>
    <row r="1469" spans="1:11">
      <c r="A1469" s="2">
        <v>10810</v>
      </c>
      <c r="B1469" s="2">
        <v>13</v>
      </c>
      <c r="C1469" s="2">
        <v>6</v>
      </c>
      <c r="D1469" s="2">
        <v>7</v>
      </c>
      <c r="E1469" s="4">
        <v>0</v>
      </c>
      <c r="F1469" s="1" t="str">
        <f>_xlfn.XLOOKUP(A1469,Orders!A:A,Orders!B:B,"not found")</f>
        <v>LAUGB</v>
      </c>
      <c r="G1469" s="13">
        <f>_xlfn.XLOOKUP(OrderDetails[[#This Row],[OrderID]],Orders!A:A,Orders!C:C,"Not Found")</f>
        <v>35796</v>
      </c>
      <c r="H1469" s="16">
        <f>(OrderDetails[[#This Row],[UnitPrice]]*OrderDetails[[#This Row],[Quantity]])*(1-OrderDetails[[#This Row],[Discount]])</f>
        <v>42</v>
      </c>
      <c r="I1469" s="15" t="str">
        <f>_xlfn.XLOOKUP(OrderDetails[[#This Row],[ProductID]],Product!A:A,Product!G:G,"Not Found")</f>
        <v>Seafood</v>
      </c>
      <c r="J1469" s="15" t="str">
        <f>LOOKUP(MONTH(G1469),{1,4,7,10},{"Winter","Spring","Summer","Autumn"})</f>
        <v>Winter</v>
      </c>
      <c r="K1469" s="15" t="str">
        <f>_xlfn.XLOOKUP(OrderDetails[[#This Row],[ProductID]],Product!A:A,Product!B:B,"Not Found")</f>
        <v>Konbu</v>
      </c>
    </row>
    <row r="1470" spans="1:11">
      <c r="A1470" s="1">
        <v>10810</v>
      </c>
      <c r="B1470" s="1">
        <v>25</v>
      </c>
      <c r="C1470" s="1">
        <v>14</v>
      </c>
      <c r="D1470" s="1">
        <v>5</v>
      </c>
      <c r="E1470" s="3">
        <v>0</v>
      </c>
      <c r="F1470" s="1" t="str">
        <f>_xlfn.XLOOKUP(A1470,Orders!A:A,Orders!B:B,"not found")</f>
        <v>LAUGB</v>
      </c>
      <c r="G1470" s="13">
        <f>_xlfn.XLOOKUP(OrderDetails[[#This Row],[OrderID]],Orders!A:A,Orders!C:C,"Not Found")</f>
        <v>35796</v>
      </c>
      <c r="H1470" s="16">
        <f>(OrderDetails[[#This Row],[UnitPrice]]*OrderDetails[[#This Row],[Quantity]])*(1-OrderDetails[[#This Row],[Discount]])</f>
        <v>70</v>
      </c>
      <c r="I1470" s="15" t="str">
        <f>_xlfn.XLOOKUP(OrderDetails[[#This Row],[ProductID]],Product!A:A,Product!G:G,"Not Found")</f>
        <v>Confections</v>
      </c>
      <c r="J1470" s="15" t="str">
        <f>LOOKUP(MONTH(G1470),{1,4,7,10},{"Winter","Spring","Summer","Autumn"})</f>
        <v>Winter</v>
      </c>
      <c r="K1470" s="15" t="str">
        <f>_xlfn.XLOOKUP(OrderDetails[[#This Row],[ProductID]],Product!A:A,Product!B:B,"Not Found")</f>
        <v>NuNuCa Nuß-Nougat-Creme</v>
      </c>
    </row>
    <row r="1471" spans="1:11">
      <c r="A1471" s="2">
        <v>10810</v>
      </c>
      <c r="B1471" s="2">
        <v>70</v>
      </c>
      <c r="C1471" s="2">
        <v>15</v>
      </c>
      <c r="D1471" s="2">
        <v>5</v>
      </c>
      <c r="E1471" s="4">
        <v>0</v>
      </c>
      <c r="F1471" s="1" t="str">
        <f>_xlfn.XLOOKUP(A1471,Orders!A:A,Orders!B:B,"not found")</f>
        <v>LAUGB</v>
      </c>
      <c r="G1471" s="13">
        <f>_xlfn.XLOOKUP(OrderDetails[[#This Row],[OrderID]],Orders!A:A,Orders!C:C,"Not Found")</f>
        <v>35796</v>
      </c>
      <c r="H1471" s="16">
        <f>(OrderDetails[[#This Row],[UnitPrice]]*OrderDetails[[#This Row],[Quantity]])*(1-OrderDetails[[#This Row],[Discount]])</f>
        <v>75</v>
      </c>
      <c r="I1471" s="15" t="str">
        <f>_xlfn.XLOOKUP(OrderDetails[[#This Row],[ProductID]],Product!A:A,Product!G:G,"Not Found")</f>
        <v>Beverages</v>
      </c>
      <c r="J1471" s="15" t="str">
        <f>LOOKUP(MONTH(G1471),{1,4,7,10},{"Winter","Spring","Summer","Autumn"})</f>
        <v>Winter</v>
      </c>
      <c r="K1471" s="15" t="str">
        <f>_xlfn.XLOOKUP(OrderDetails[[#This Row],[ProductID]],Product!A:A,Product!B:B,"Not Found")</f>
        <v>Outback Lager</v>
      </c>
    </row>
    <row r="1472" spans="1:11">
      <c r="A1472" s="1">
        <v>10811</v>
      </c>
      <c r="B1472" s="1">
        <v>19</v>
      </c>
      <c r="C1472" s="1">
        <v>9.1999999999999993</v>
      </c>
      <c r="D1472" s="1">
        <v>15</v>
      </c>
      <c r="E1472" s="3">
        <v>0</v>
      </c>
      <c r="F1472" s="1" t="str">
        <f>_xlfn.XLOOKUP(A1472,Orders!A:A,Orders!B:B,"not found")</f>
        <v>LINOD</v>
      </c>
      <c r="G1472" s="13">
        <f>_xlfn.XLOOKUP(OrderDetails[[#This Row],[OrderID]],Orders!A:A,Orders!C:C,"Not Found")</f>
        <v>35797</v>
      </c>
      <c r="H1472" s="16">
        <f>(OrderDetails[[#This Row],[UnitPrice]]*OrderDetails[[#This Row],[Quantity]])*(1-OrderDetails[[#This Row],[Discount]])</f>
        <v>138</v>
      </c>
      <c r="I1472" s="15" t="str">
        <f>_xlfn.XLOOKUP(OrderDetails[[#This Row],[ProductID]],Product!A:A,Product!G:G,"Not Found")</f>
        <v>Confections</v>
      </c>
      <c r="J1472" s="15" t="str">
        <f>LOOKUP(MONTH(G1472),{1,4,7,10},{"Winter","Spring","Summer","Autumn"})</f>
        <v>Winter</v>
      </c>
      <c r="K1472" s="15" t="str">
        <f>_xlfn.XLOOKUP(OrderDetails[[#This Row],[ProductID]],Product!A:A,Product!B:B,"Not Found")</f>
        <v>Teatime Chocolate Biscuits</v>
      </c>
    </row>
    <row r="1473" spans="1:11">
      <c r="A1473" s="2">
        <v>10811</v>
      </c>
      <c r="B1473" s="2">
        <v>23</v>
      </c>
      <c r="C1473" s="2">
        <v>9</v>
      </c>
      <c r="D1473" s="2">
        <v>18</v>
      </c>
      <c r="E1473" s="4">
        <v>0</v>
      </c>
      <c r="F1473" s="1" t="str">
        <f>_xlfn.XLOOKUP(A1473,Orders!A:A,Orders!B:B,"not found")</f>
        <v>LINOD</v>
      </c>
      <c r="G1473" s="13">
        <f>_xlfn.XLOOKUP(OrderDetails[[#This Row],[OrderID]],Orders!A:A,Orders!C:C,"Not Found")</f>
        <v>35797</v>
      </c>
      <c r="H1473" s="16">
        <f>(OrderDetails[[#This Row],[UnitPrice]]*OrderDetails[[#This Row],[Quantity]])*(1-OrderDetails[[#This Row],[Discount]])</f>
        <v>162</v>
      </c>
      <c r="I1473" s="15" t="str">
        <f>_xlfn.XLOOKUP(OrderDetails[[#This Row],[ProductID]],Product!A:A,Product!G:G,"Not Found")</f>
        <v>Grains/Cereals</v>
      </c>
      <c r="J1473" s="15" t="str">
        <f>LOOKUP(MONTH(G1473),{1,4,7,10},{"Winter","Spring","Summer","Autumn"})</f>
        <v>Winter</v>
      </c>
      <c r="K1473" s="15" t="str">
        <f>_xlfn.XLOOKUP(OrderDetails[[#This Row],[ProductID]],Product!A:A,Product!B:B,"Not Found")</f>
        <v>Tunnbröd</v>
      </c>
    </row>
    <row r="1474" spans="1:11">
      <c r="A1474" s="1">
        <v>10811</v>
      </c>
      <c r="B1474" s="1">
        <v>40</v>
      </c>
      <c r="C1474" s="1">
        <v>18.399999999999999</v>
      </c>
      <c r="D1474" s="1">
        <v>30</v>
      </c>
      <c r="E1474" s="3">
        <v>0</v>
      </c>
      <c r="F1474" s="1" t="str">
        <f>_xlfn.XLOOKUP(A1474,Orders!A:A,Orders!B:B,"not found")</f>
        <v>LINOD</v>
      </c>
      <c r="G1474" s="13">
        <f>_xlfn.XLOOKUP(OrderDetails[[#This Row],[OrderID]],Orders!A:A,Orders!C:C,"Not Found")</f>
        <v>35797</v>
      </c>
      <c r="H1474" s="16">
        <f>(OrderDetails[[#This Row],[UnitPrice]]*OrderDetails[[#This Row],[Quantity]])*(1-OrderDetails[[#This Row],[Discount]])</f>
        <v>552</v>
      </c>
      <c r="I1474" s="15" t="str">
        <f>_xlfn.XLOOKUP(OrderDetails[[#This Row],[ProductID]],Product!A:A,Product!G:G,"Not Found")</f>
        <v>Seafood</v>
      </c>
      <c r="J1474" s="15" t="str">
        <f>LOOKUP(MONTH(G1474),{1,4,7,10},{"Winter","Spring","Summer","Autumn"})</f>
        <v>Winter</v>
      </c>
      <c r="K1474" s="15" t="str">
        <f>_xlfn.XLOOKUP(OrderDetails[[#This Row],[ProductID]],Product!A:A,Product!B:B,"Not Found")</f>
        <v>Boston Crab Meat</v>
      </c>
    </row>
    <row r="1475" spans="1:11">
      <c r="A1475" s="2">
        <v>10812</v>
      </c>
      <c r="B1475" s="2">
        <v>31</v>
      </c>
      <c r="C1475" s="2">
        <v>12.5</v>
      </c>
      <c r="D1475" s="2">
        <v>16</v>
      </c>
      <c r="E1475" s="4">
        <v>0.10000000149011612</v>
      </c>
      <c r="F1475" s="1" t="str">
        <f>_xlfn.XLOOKUP(A1475,Orders!A:A,Orders!B:B,"not found")</f>
        <v>REGGC</v>
      </c>
      <c r="G1475" s="13">
        <f>_xlfn.XLOOKUP(OrderDetails[[#This Row],[OrderID]],Orders!A:A,Orders!C:C,"Not Found")</f>
        <v>35797</v>
      </c>
      <c r="H1475" s="16">
        <f>(OrderDetails[[#This Row],[UnitPrice]]*OrderDetails[[#This Row],[Quantity]])*(1-OrderDetails[[#This Row],[Discount]])</f>
        <v>179.99999970197678</v>
      </c>
      <c r="I1475" s="15" t="str">
        <f>_xlfn.XLOOKUP(OrderDetails[[#This Row],[ProductID]],Product!A:A,Product!G:G,"Not Found")</f>
        <v>Dairy Products</v>
      </c>
      <c r="J1475" s="15" t="str">
        <f>LOOKUP(MONTH(G1475),{1,4,7,10},{"Winter","Spring","Summer","Autumn"})</f>
        <v>Winter</v>
      </c>
      <c r="K1475" s="15" t="str">
        <f>_xlfn.XLOOKUP(OrderDetails[[#This Row],[ProductID]],Product!A:A,Product!B:B,"Not Found")</f>
        <v>Gorgonzola Telino</v>
      </c>
    </row>
    <row r="1476" spans="1:11">
      <c r="A1476" s="1">
        <v>10812</v>
      </c>
      <c r="B1476" s="1">
        <v>72</v>
      </c>
      <c r="C1476" s="1">
        <v>34.799999999999997</v>
      </c>
      <c r="D1476" s="1">
        <v>40</v>
      </c>
      <c r="E1476" s="3">
        <v>0.10000000149011612</v>
      </c>
      <c r="F1476" s="1" t="str">
        <f>_xlfn.XLOOKUP(A1476,Orders!A:A,Orders!B:B,"not found")</f>
        <v>REGGC</v>
      </c>
      <c r="G1476" s="13">
        <f>_xlfn.XLOOKUP(OrderDetails[[#This Row],[OrderID]],Orders!A:A,Orders!C:C,"Not Found")</f>
        <v>35797</v>
      </c>
      <c r="H1476" s="16">
        <f>(OrderDetails[[#This Row],[UnitPrice]]*OrderDetails[[#This Row],[Quantity]])*(1-OrderDetails[[#This Row],[Discount]])</f>
        <v>1252.7999979257584</v>
      </c>
      <c r="I1476" s="15" t="str">
        <f>_xlfn.XLOOKUP(OrderDetails[[#This Row],[ProductID]],Product!A:A,Product!G:G,"Not Found")</f>
        <v>Dairy Products</v>
      </c>
      <c r="J1476" s="15" t="str">
        <f>LOOKUP(MONTH(G1476),{1,4,7,10},{"Winter","Spring","Summer","Autumn"})</f>
        <v>Winter</v>
      </c>
      <c r="K1476" s="15" t="str">
        <f>_xlfn.XLOOKUP(OrderDetails[[#This Row],[ProductID]],Product!A:A,Product!B:B,"Not Found")</f>
        <v>Mozzarella di Giovanni</v>
      </c>
    </row>
    <row r="1477" spans="1:11">
      <c r="A1477" s="2">
        <v>10812</v>
      </c>
      <c r="B1477" s="2">
        <v>77</v>
      </c>
      <c r="C1477" s="2">
        <v>13</v>
      </c>
      <c r="D1477" s="2">
        <v>20</v>
      </c>
      <c r="E1477" s="4">
        <v>0</v>
      </c>
      <c r="F1477" s="1" t="str">
        <f>_xlfn.XLOOKUP(A1477,Orders!A:A,Orders!B:B,"not found")</f>
        <v>REGGC</v>
      </c>
      <c r="G1477" s="13">
        <f>_xlfn.XLOOKUP(OrderDetails[[#This Row],[OrderID]],Orders!A:A,Orders!C:C,"Not Found")</f>
        <v>35797</v>
      </c>
      <c r="H1477" s="16">
        <f>(OrderDetails[[#This Row],[UnitPrice]]*OrderDetails[[#This Row],[Quantity]])*(1-OrderDetails[[#This Row],[Discount]])</f>
        <v>260</v>
      </c>
      <c r="I1477" s="15" t="str">
        <f>_xlfn.XLOOKUP(OrderDetails[[#This Row],[ProductID]],Product!A:A,Product!G:G,"Not Found")</f>
        <v>Condiments</v>
      </c>
      <c r="J1477" s="15" t="str">
        <f>LOOKUP(MONTH(G1477),{1,4,7,10},{"Winter","Spring","Summer","Autumn"})</f>
        <v>Winter</v>
      </c>
      <c r="K1477" s="15" t="str">
        <f>_xlfn.XLOOKUP(OrderDetails[[#This Row],[ProductID]],Product!A:A,Product!B:B,"Not Found")</f>
        <v>Original Frankfurter grüne Soße</v>
      </c>
    </row>
    <row r="1478" spans="1:11">
      <c r="A1478" s="1">
        <v>10813</v>
      </c>
      <c r="B1478" s="1">
        <v>2</v>
      </c>
      <c r="C1478" s="1">
        <v>19</v>
      </c>
      <c r="D1478" s="1">
        <v>12</v>
      </c>
      <c r="E1478" s="3">
        <v>0.20000000298023224</v>
      </c>
      <c r="F1478" s="1" t="str">
        <f>_xlfn.XLOOKUP(A1478,Orders!A:A,Orders!B:B,"not found")</f>
        <v>RICAR</v>
      </c>
      <c r="G1478" s="13">
        <f>_xlfn.XLOOKUP(OrderDetails[[#This Row],[OrderID]],Orders!A:A,Orders!C:C,"Not Found")</f>
        <v>35800</v>
      </c>
      <c r="H1478" s="16">
        <f>(OrderDetails[[#This Row],[UnitPrice]]*OrderDetails[[#This Row],[Quantity]])*(1-OrderDetails[[#This Row],[Discount]])</f>
        <v>182.39999932050705</v>
      </c>
      <c r="I1478" s="15" t="str">
        <f>_xlfn.XLOOKUP(OrderDetails[[#This Row],[ProductID]],Product!A:A,Product!G:G,"Not Found")</f>
        <v>Beverages</v>
      </c>
      <c r="J1478" s="15" t="str">
        <f>LOOKUP(MONTH(G1478),{1,4,7,10},{"Winter","Spring","Summer","Autumn"})</f>
        <v>Winter</v>
      </c>
      <c r="K1478" s="15" t="str">
        <f>_xlfn.XLOOKUP(OrderDetails[[#This Row],[ProductID]],Product!A:A,Product!B:B,"Not Found")</f>
        <v>Chang</v>
      </c>
    </row>
    <row r="1479" spans="1:11">
      <c r="A1479" s="2">
        <v>10813</v>
      </c>
      <c r="B1479" s="2">
        <v>46</v>
      </c>
      <c r="C1479" s="2">
        <v>12</v>
      </c>
      <c r="D1479" s="2">
        <v>35</v>
      </c>
      <c r="E1479" s="4">
        <v>0</v>
      </c>
      <c r="F1479" s="1" t="str">
        <f>_xlfn.XLOOKUP(A1479,Orders!A:A,Orders!B:B,"not found")</f>
        <v>RICAR</v>
      </c>
      <c r="G1479" s="13">
        <f>_xlfn.XLOOKUP(OrderDetails[[#This Row],[OrderID]],Orders!A:A,Orders!C:C,"Not Found")</f>
        <v>35800</v>
      </c>
      <c r="H1479" s="16">
        <f>(OrderDetails[[#This Row],[UnitPrice]]*OrderDetails[[#This Row],[Quantity]])*(1-OrderDetails[[#This Row],[Discount]])</f>
        <v>420</v>
      </c>
      <c r="I1479" s="15" t="str">
        <f>_xlfn.XLOOKUP(OrderDetails[[#This Row],[ProductID]],Product!A:A,Product!G:G,"Not Found")</f>
        <v>Seafood</v>
      </c>
      <c r="J1479" s="15" t="str">
        <f>LOOKUP(MONTH(G1479),{1,4,7,10},{"Winter","Spring","Summer","Autumn"})</f>
        <v>Winter</v>
      </c>
      <c r="K1479" s="15" t="str">
        <f>_xlfn.XLOOKUP(OrderDetails[[#This Row],[ProductID]],Product!A:A,Product!B:B,"Not Found")</f>
        <v>Spegesild</v>
      </c>
    </row>
    <row r="1480" spans="1:11">
      <c r="A1480" s="1">
        <v>10814</v>
      </c>
      <c r="B1480" s="1">
        <v>41</v>
      </c>
      <c r="C1480" s="1">
        <v>9.65</v>
      </c>
      <c r="D1480" s="1">
        <v>20</v>
      </c>
      <c r="E1480" s="3">
        <v>0</v>
      </c>
      <c r="F1480" s="1" t="str">
        <f>_xlfn.XLOOKUP(A1480,Orders!A:A,Orders!B:B,"not found")</f>
        <v>VICTE</v>
      </c>
      <c r="G1480" s="13">
        <f>_xlfn.XLOOKUP(OrderDetails[[#This Row],[OrderID]],Orders!A:A,Orders!C:C,"Not Found")</f>
        <v>35800</v>
      </c>
      <c r="H1480" s="16">
        <f>(OrderDetails[[#This Row],[UnitPrice]]*OrderDetails[[#This Row],[Quantity]])*(1-OrderDetails[[#This Row],[Discount]])</f>
        <v>193</v>
      </c>
      <c r="I1480" s="15" t="str">
        <f>_xlfn.XLOOKUP(OrderDetails[[#This Row],[ProductID]],Product!A:A,Product!G:G,"Not Found")</f>
        <v>Seafood</v>
      </c>
      <c r="J1480" s="15" t="str">
        <f>LOOKUP(MONTH(G1480),{1,4,7,10},{"Winter","Spring","Summer","Autumn"})</f>
        <v>Winter</v>
      </c>
      <c r="K1480" s="15" t="str">
        <f>_xlfn.XLOOKUP(OrderDetails[[#This Row],[ProductID]],Product!A:A,Product!B:B,"Not Found")</f>
        <v>Jack's New England Clam Chowder</v>
      </c>
    </row>
    <row r="1481" spans="1:11">
      <c r="A1481" s="2">
        <v>10814</v>
      </c>
      <c r="B1481" s="2">
        <v>43</v>
      </c>
      <c r="C1481" s="2">
        <v>46</v>
      </c>
      <c r="D1481" s="2">
        <v>20</v>
      </c>
      <c r="E1481" s="4">
        <v>0.15000000596046448</v>
      </c>
      <c r="F1481" s="1" t="str">
        <f>_xlfn.XLOOKUP(A1481,Orders!A:A,Orders!B:B,"not found")</f>
        <v>VICTE</v>
      </c>
      <c r="G1481" s="13">
        <f>_xlfn.XLOOKUP(OrderDetails[[#This Row],[OrderID]],Orders!A:A,Orders!C:C,"Not Found")</f>
        <v>35800</v>
      </c>
      <c r="H1481" s="16">
        <f>(OrderDetails[[#This Row],[UnitPrice]]*OrderDetails[[#This Row],[Quantity]])*(1-OrderDetails[[#This Row],[Discount]])</f>
        <v>781.99999451637268</v>
      </c>
      <c r="I1481" s="15" t="str">
        <f>_xlfn.XLOOKUP(OrderDetails[[#This Row],[ProductID]],Product!A:A,Product!G:G,"Not Found")</f>
        <v>Beverages</v>
      </c>
      <c r="J1481" s="15" t="str">
        <f>LOOKUP(MONTH(G1481),{1,4,7,10},{"Winter","Spring","Summer","Autumn"})</f>
        <v>Winter</v>
      </c>
      <c r="K1481" s="15" t="str">
        <f>_xlfn.XLOOKUP(OrderDetails[[#This Row],[ProductID]],Product!A:A,Product!B:B,"Not Found")</f>
        <v>Ipoh Coffee</v>
      </c>
    </row>
    <row r="1482" spans="1:11">
      <c r="A1482" s="1">
        <v>10814</v>
      </c>
      <c r="B1482" s="1">
        <v>48</v>
      </c>
      <c r="C1482" s="1">
        <v>12.75</v>
      </c>
      <c r="D1482" s="1">
        <v>8</v>
      </c>
      <c r="E1482" s="3">
        <v>0.15000000596046448</v>
      </c>
      <c r="F1482" s="1" t="str">
        <f>_xlfn.XLOOKUP(A1482,Orders!A:A,Orders!B:B,"not found")</f>
        <v>VICTE</v>
      </c>
      <c r="G1482" s="13">
        <f>_xlfn.XLOOKUP(OrderDetails[[#This Row],[OrderID]],Orders!A:A,Orders!C:C,"Not Found")</f>
        <v>35800</v>
      </c>
      <c r="H1482" s="16">
        <f>(OrderDetails[[#This Row],[UnitPrice]]*OrderDetails[[#This Row],[Quantity]])*(1-OrderDetails[[#This Row],[Discount]])</f>
        <v>86.699999392032623</v>
      </c>
      <c r="I1482" s="15" t="str">
        <f>_xlfn.XLOOKUP(OrderDetails[[#This Row],[ProductID]],Product!A:A,Product!G:G,"Not Found")</f>
        <v>Confections</v>
      </c>
      <c r="J1482" s="15" t="str">
        <f>LOOKUP(MONTH(G1482),{1,4,7,10},{"Winter","Spring","Summer","Autumn"})</f>
        <v>Winter</v>
      </c>
      <c r="K1482" s="15" t="str">
        <f>_xlfn.XLOOKUP(OrderDetails[[#This Row],[ProductID]],Product!A:A,Product!B:B,"Not Found")</f>
        <v>Chocolade</v>
      </c>
    </row>
    <row r="1483" spans="1:11">
      <c r="A1483" s="2">
        <v>10814</v>
      </c>
      <c r="B1483" s="2">
        <v>61</v>
      </c>
      <c r="C1483" s="2">
        <v>28.5</v>
      </c>
      <c r="D1483" s="2">
        <v>30</v>
      </c>
      <c r="E1483" s="4">
        <v>0.15000000596046448</v>
      </c>
      <c r="F1483" s="1" t="str">
        <f>_xlfn.XLOOKUP(A1483,Orders!A:A,Orders!B:B,"not found")</f>
        <v>VICTE</v>
      </c>
      <c r="G1483" s="13">
        <f>_xlfn.XLOOKUP(OrderDetails[[#This Row],[OrderID]],Orders!A:A,Orders!C:C,"Not Found")</f>
        <v>35800</v>
      </c>
      <c r="H1483" s="16">
        <f>(OrderDetails[[#This Row],[UnitPrice]]*OrderDetails[[#This Row],[Quantity]])*(1-OrderDetails[[#This Row],[Discount]])</f>
        <v>726.74999490380287</v>
      </c>
      <c r="I1483" s="15" t="str">
        <f>_xlfn.XLOOKUP(OrderDetails[[#This Row],[ProductID]],Product!A:A,Product!G:G,"Not Found")</f>
        <v>Condiments</v>
      </c>
      <c r="J1483" s="15" t="str">
        <f>LOOKUP(MONTH(G1483),{1,4,7,10},{"Winter","Spring","Summer","Autumn"})</f>
        <v>Winter</v>
      </c>
      <c r="K1483" s="15" t="str">
        <f>_xlfn.XLOOKUP(OrderDetails[[#This Row],[ProductID]],Product!A:A,Product!B:B,"Not Found")</f>
        <v>Sirop d'érable</v>
      </c>
    </row>
    <row r="1484" spans="1:11">
      <c r="A1484" s="1">
        <v>10815</v>
      </c>
      <c r="B1484" s="1">
        <v>33</v>
      </c>
      <c r="C1484" s="1">
        <v>2.5</v>
      </c>
      <c r="D1484" s="1">
        <v>16</v>
      </c>
      <c r="E1484" s="3">
        <v>0</v>
      </c>
      <c r="F1484" s="1" t="str">
        <f>_xlfn.XLOOKUP(A1484,Orders!A:A,Orders!B:B,"not found")</f>
        <v>SAVEA</v>
      </c>
      <c r="G1484" s="13">
        <f>_xlfn.XLOOKUP(OrderDetails[[#This Row],[OrderID]],Orders!A:A,Orders!C:C,"Not Found")</f>
        <v>35800</v>
      </c>
      <c r="H1484" s="16">
        <f>(OrderDetails[[#This Row],[UnitPrice]]*OrderDetails[[#This Row],[Quantity]])*(1-OrderDetails[[#This Row],[Discount]])</f>
        <v>40</v>
      </c>
      <c r="I1484" s="15" t="str">
        <f>_xlfn.XLOOKUP(OrderDetails[[#This Row],[ProductID]],Product!A:A,Product!G:G,"Not Found")</f>
        <v>Dairy Products</v>
      </c>
      <c r="J1484" s="15" t="str">
        <f>LOOKUP(MONTH(G1484),{1,4,7,10},{"Winter","Spring","Summer","Autumn"})</f>
        <v>Winter</v>
      </c>
      <c r="K1484" s="15" t="str">
        <f>_xlfn.XLOOKUP(OrderDetails[[#This Row],[ProductID]],Product!A:A,Product!B:B,"Not Found")</f>
        <v>Geitost</v>
      </c>
    </row>
    <row r="1485" spans="1:11">
      <c r="A1485" s="2">
        <v>10816</v>
      </c>
      <c r="B1485" s="2">
        <v>38</v>
      </c>
      <c r="C1485" s="2">
        <v>263.5</v>
      </c>
      <c r="D1485" s="2">
        <v>30</v>
      </c>
      <c r="E1485" s="4">
        <v>5.000000074505806E-2</v>
      </c>
      <c r="F1485" s="1" t="str">
        <f>_xlfn.XLOOKUP(A1485,Orders!A:A,Orders!B:B,"not found")</f>
        <v>GREAL</v>
      </c>
      <c r="G1485" s="13">
        <f>_xlfn.XLOOKUP(OrderDetails[[#This Row],[OrderID]],Orders!A:A,Orders!C:C,"Not Found")</f>
        <v>35801</v>
      </c>
      <c r="H1485" s="16">
        <f>(OrderDetails[[#This Row],[UnitPrice]]*OrderDetails[[#This Row],[Quantity]])*(1-OrderDetails[[#This Row],[Discount]])</f>
        <v>7509.749994110316</v>
      </c>
      <c r="I1485" s="15" t="str">
        <f>_xlfn.XLOOKUP(OrderDetails[[#This Row],[ProductID]],Product!A:A,Product!G:G,"Not Found")</f>
        <v>Beverages</v>
      </c>
      <c r="J1485" s="15" t="str">
        <f>LOOKUP(MONTH(G1485),{1,4,7,10},{"Winter","Spring","Summer","Autumn"})</f>
        <v>Winter</v>
      </c>
      <c r="K1485" s="15" t="str">
        <f>_xlfn.XLOOKUP(OrderDetails[[#This Row],[ProductID]],Product!A:A,Product!B:B,"Not Found")</f>
        <v>Côte de Blaye</v>
      </c>
    </row>
    <row r="1486" spans="1:11">
      <c r="A1486" s="1">
        <v>10816</v>
      </c>
      <c r="B1486" s="1">
        <v>62</v>
      </c>
      <c r="C1486" s="1">
        <v>49.3</v>
      </c>
      <c r="D1486" s="1">
        <v>20</v>
      </c>
      <c r="E1486" s="3">
        <v>5.000000074505806E-2</v>
      </c>
      <c r="F1486" s="1" t="str">
        <f>_xlfn.XLOOKUP(A1486,Orders!A:A,Orders!B:B,"not found")</f>
        <v>GREAL</v>
      </c>
      <c r="G1486" s="13">
        <f>_xlfn.XLOOKUP(OrderDetails[[#This Row],[OrderID]],Orders!A:A,Orders!C:C,"Not Found")</f>
        <v>35801</v>
      </c>
      <c r="H1486" s="16">
        <f>(OrderDetails[[#This Row],[UnitPrice]]*OrderDetails[[#This Row],[Quantity]])*(1-OrderDetails[[#This Row],[Discount]])</f>
        <v>936.69999926537275</v>
      </c>
      <c r="I1486" s="15" t="str">
        <f>_xlfn.XLOOKUP(OrderDetails[[#This Row],[ProductID]],Product!A:A,Product!G:G,"Not Found")</f>
        <v>Confections</v>
      </c>
      <c r="J1486" s="15" t="str">
        <f>LOOKUP(MONTH(G1486),{1,4,7,10},{"Winter","Spring","Summer","Autumn"})</f>
        <v>Winter</v>
      </c>
      <c r="K1486" s="15" t="str">
        <f>_xlfn.XLOOKUP(OrderDetails[[#This Row],[ProductID]],Product!A:A,Product!B:B,"Not Found")</f>
        <v>Tarte au sucre</v>
      </c>
    </row>
    <row r="1487" spans="1:11">
      <c r="A1487" s="2">
        <v>10817</v>
      </c>
      <c r="B1487" s="2">
        <v>26</v>
      </c>
      <c r="C1487" s="2">
        <v>31.23</v>
      </c>
      <c r="D1487" s="2">
        <v>40</v>
      </c>
      <c r="E1487" s="4">
        <v>0.15000000596046448</v>
      </c>
      <c r="F1487" s="1" t="str">
        <f>_xlfn.XLOOKUP(A1487,Orders!A:A,Orders!B:B,"not found")</f>
        <v>KOENE</v>
      </c>
      <c r="G1487" s="13">
        <f>_xlfn.XLOOKUP(OrderDetails[[#This Row],[OrderID]],Orders!A:A,Orders!C:C,"Not Found")</f>
        <v>35801</v>
      </c>
      <c r="H1487" s="16">
        <f>(OrderDetails[[#This Row],[UnitPrice]]*OrderDetails[[#This Row],[Quantity]])*(1-OrderDetails[[#This Row],[Discount]])</f>
        <v>1061.8199925541878</v>
      </c>
      <c r="I1487" s="15" t="str">
        <f>_xlfn.XLOOKUP(OrderDetails[[#This Row],[ProductID]],Product!A:A,Product!G:G,"Not Found")</f>
        <v>Confections</v>
      </c>
      <c r="J1487" s="15" t="str">
        <f>LOOKUP(MONTH(G1487),{1,4,7,10},{"Winter","Spring","Summer","Autumn"})</f>
        <v>Winter</v>
      </c>
      <c r="K1487" s="15" t="str">
        <f>_xlfn.XLOOKUP(OrderDetails[[#This Row],[ProductID]],Product!A:A,Product!B:B,"Not Found")</f>
        <v>Gumbär Gummibärchen</v>
      </c>
    </row>
    <row r="1488" spans="1:11">
      <c r="A1488" s="1">
        <v>10817</v>
      </c>
      <c r="B1488" s="1">
        <v>38</v>
      </c>
      <c r="C1488" s="1">
        <v>263.5</v>
      </c>
      <c r="D1488" s="1">
        <v>30</v>
      </c>
      <c r="E1488" s="3">
        <v>0</v>
      </c>
      <c r="F1488" s="1" t="str">
        <f>_xlfn.XLOOKUP(A1488,Orders!A:A,Orders!B:B,"not found")</f>
        <v>KOENE</v>
      </c>
      <c r="G1488" s="13">
        <f>_xlfn.XLOOKUP(OrderDetails[[#This Row],[OrderID]],Orders!A:A,Orders!C:C,"Not Found")</f>
        <v>35801</v>
      </c>
      <c r="H1488" s="16">
        <f>(OrderDetails[[#This Row],[UnitPrice]]*OrderDetails[[#This Row],[Quantity]])*(1-OrderDetails[[#This Row],[Discount]])</f>
        <v>7905</v>
      </c>
      <c r="I1488" s="15" t="str">
        <f>_xlfn.XLOOKUP(OrderDetails[[#This Row],[ProductID]],Product!A:A,Product!G:G,"Not Found")</f>
        <v>Beverages</v>
      </c>
      <c r="J1488" s="15" t="str">
        <f>LOOKUP(MONTH(G1488),{1,4,7,10},{"Winter","Spring","Summer","Autumn"})</f>
        <v>Winter</v>
      </c>
      <c r="K1488" s="15" t="str">
        <f>_xlfn.XLOOKUP(OrderDetails[[#This Row],[ProductID]],Product!A:A,Product!B:B,"Not Found")</f>
        <v>Côte de Blaye</v>
      </c>
    </row>
    <row r="1489" spans="1:11">
      <c r="A1489" s="2">
        <v>10817</v>
      </c>
      <c r="B1489" s="2">
        <v>40</v>
      </c>
      <c r="C1489" s="2">
        <v>18.399999999999999</v>
      </c>
      <c r="D1489" s="2">
        <v>60</v>
      </c>
      <c r="E1489" s="4">
        <v>0.15000000596046448</v>
      </c>
      <c r="F1489" s="1" t="str">
        <f>_xlfn.XLOOKUP(A1489,Orders!A:A,Orders!B:B,"not found")</f>
        <v>KOENE</v>
      </c>
      <c r="G1489" s="13">
        <f>_xlfn.XLOOKUP(OrderDetails[[#This Row],[OrderID]],Orders!A:A,Orders!C:C,"Not Found")</f>
        <v>35801</v>
      </c>
      <c r="H1489" s="16">
        <f>(OrderDetails[[#This Row],[UnitPrice]]*OrderDetails[[#This Row],[Quantity]])*(1-OrderDetails[[#This Row],[Discount]])</f>
        <v>938.39999341964722</v>
      </c>
      <c r="I1489" s="15" t="str">
        <f>_xlfn.XLOOKUP(OrderDetails[[#This Row],[ProductID]],Product!A:A,Product!G:G,"Not Found")</f>
        <v>Seafood</v>
      </c>
      <c r="J1489" s="15" t="str">
        <f>LOOKUP(MONTH(G1489),{1,4,7,10},{"Winter","Spring","Summer","Autumn"})</f>
        <v>Winter</v>
      </c>
      <c r="K1489" s="15" t="str">
        <f>_xlfn.XLOOKUP(OrderDetails[[#This Row],[ProductID]],Product!A:A,Product!B:B,"Not Found")</f>
        <v>Boston Crab Meat</v>
      </c>
    </row>
    <row r="1490" spans="1:11">
      <c r="A1490" s="1">
        <v>10817</v>
      </c>
      <c r="B1490" s="1">
        <v>62</v>
      </c>
      <c r="C1490" s="1">
        <v>49.3</v>
      </c>
      <c r="D1490" s="1">
        <v>25</v>
      </c>
      <c r="E1490" s="3">
        <v>0.15000000596046448</v>
      </c>
      <c r="F1490" s="1" t="str">
        <f>_xlfn.XLOOKUP(A1490,Orders!A:A,Orders!B:B,"not found")</f>
        <v>KOENE</v>
      </c>
      <c r="G1490" s="13">
        <f>_xlfn.XLOOKUP(OrderDetails[[#This Row],[OrderID]],Orders!A:A,Orders!C:C,"Not Found")</f>
        <v>35801</v>
      </c>
      <c r="H1490" s="16">
        <f>(OrderDetails[[#This Row],[UnitPrice]]*OrderDetails[[#This Row],[Quantity]])*(1-OrderDetails[[#This Row],[Discount]])</f>
        <v>1047.6249926537275</v>
      </c>
      <c r="I1490" s="15" t="str">
        <f>_xlfn.XLOOKUP(OrderDetails[[#This Row],[ProductID]],Product!A:A,Product!G:G,"Not Found")</f>
        <v>Confections</v>
      </c>
      <c r="J1490" s="15" t="str">
        <f>LOOKUP(MONTH(G1490),{1,4,7,10},{"Winter","Spring","Summer","Autumn"})</f>
        <v>Winter</v>
      </c>
      <c r="K1490" s="15" t="str">
        <f>_xlfn.XLOOKUP(OrderDetails[[#This Row],[ProductID]],Product!A:A,Product!B:B,"Not Found")</f>
        <v>Tarte au sucre</v>
      </c>
    </row>
    <row r="1491" spans="1:11">
      <c r="A1491" s="2">
        <v>10818</v>
      </c>
      <c r="B1491" s="2">
        <v>32</v>
      </c>
      <c r="C1491" s="2">
        <v>32</v>
      </c>
      <c r="D1491" s="2">
        <v>20</v>
      </c>
      <c r="E1491" s="4">
        <v>0</v>
      </c>
      <c r="F1491" s="1" t="str">
        <f>_xlfn.XLOOKUP(A1491,Orders!A:A,Orders!B:B,"not found")</f>
        <v>MAGAA</v>
      </c>
      <c r="G1491" s="13">
        <f>_xlfn.XLOOKUP(OrderDetails[[#This Row],[OrderID]],Orders!A:A,Orders!C:C,"Not Found")</f>
        <v>35802</v>
      </c>
      <c r="H1491" s="16">
        <f>(OrderDetails[[#This Row],[UnitPrice]]*OrderDetails[[#This Row],[Quantity]])*(1-OrderDetails[[#This Row],[Discount]])</f>
        <v>640</v>
      </c>
      <c r="I1491" s="15" t="str">
        <f>_xlfn.XLOOKUP(OrderDetails[[#This Row],[ProductID]],Product!A:A,Product!G:G,"Not Found")</f>
        <v>Dairy Products</v>
      </c>
      <c r="J1491" s="15" t="str">
        <f>LOOKUP(MONTH(G1491),{1,4,7,10},{"Winter","Spring","Summer","Autumn"})</f>
        <v>Winter</v>
      </c>
      <c r="K1491" s="15" t="str">
        <f>_xlfn.XLOOKUP(OrderDetails[[#This Row],[ProductID]],Product!A:A,Product!B:B,"Not Found")</f>
        <v>Mascarpone Fabioli</v>
      </c>
    </row>
    <row r="1492" spans="1:11">
      <c r="A1492" s="1">
        <v>10818</v>
      </c>
      <c r="B1492" s="1">
        <v>41</v>
      </c>
      <c r="C1492" s="1">
        <v>9.65</v>
      </c>
      <c r="D1492" s="1">
        <v>20</v>
      </c>
      <c r="E1492" s="3">
        <v>0</v>
      </c>
      <c r="F1492" s="1" t="str">
        <f>_xlfn.XLOOKUP(A1492,Orders!A:A,Orders!B:B,"not found")</f>
        <v>MAGAA</v>
      </c>
      <c r="G1492" s="13">
        <f>_xlfn.XLOOKUP(OrderDetails[[#This Row],[OrderID]],Orders!A:A,Orders!C:C,"Not Found")</f>
        <v>35802</v>
      </c>
      <c r="H1492" s="16">
        <f>(OrderDetails[[#This Row],[UnitPrice]]*OrderDetails[[#This Row],[Quantity]])*(1-OrderDetails[[#This Row],[Discount]])</f>
        <v>193</v>
      </c>
      <c r="I1492" s="15" t="str">
        <f>_xlfn.XLOOKUP(OrderDetails[[#This Row],[ProductID]],Product!A:A,Product!G:G,"Not Found")</f>
        <v>Seafood</v>
      </c>
      <c r="J1492" s="15" t="str">
        <f>LOOKUP(MONTH(G1492),{1,4,7,10},{"Winter","Spring","Summer","Autumn"})</f>
        <v>Winter</v>
      </c>
      <c r="K1492" s="15" t="str">
        <f>_xlfn.XLOOKUP(OrderDetails[[#This Row],[ProductID]],Product!A:A,Product!B:B,"Not Found")</f>
        <v>Jack's New England Clam Chowder</v>
      </c>
    </row>
    <row r="1493" spans="1:11">
      <c r="A1493" s="2">
        <v>10819</v>
      </c>
      <c r="B1493" s="2">
        <v>43</v>
      </c>
      <c r="C1493" s="2">
        <v>46</v>
      </c>
      <c r="D1493" s="2">
        <v>7</v>
      </c>
      <c r="E1493" s="4">
        <v>0</v>
      </c>
      <c r="F1493" s="1" t="str">
        <f>_xlfn.XLOOKUP(A1493,Orders!A:A,Orders!B:B,"not found")</f>
        <v>CACTU</v>
      </c>
      <c r="G1493" s="13">
        <f>_xlfn.XLOOKUP(OrderDetails[[#This Row],[OrderID]],Orders!A:A,Orders!C:C,"Not Found")</f>
        <v>35802</v>
      </c>
      <c r="H1493" s="16">
        <f>(OrderDetails[[#This Row],[UnitPrice]]*OrderDetails[[#This Row],[Quantity]])*(1-OrderDetails[[#This Row],[Discount]])</f>
        <v>322</v>
      </c>
      <c r="I1493" s="15" t="str">
        <f>_xlfn.XLOOKUP(OrderDetails[[#This Row],[ProductID]],Product!A:A,Product!G:G,"Not Found")</f>
        <v>Beverages</v>
      </c>
      <c r="J1493" s="15" t="str">
        <f>LOOKUP(MONTH(G1493),{1,4,7,10},{"Winter","Spring","Summer","Autumn"})</f>
        <v>Winter</v>
      </c>
      <c r="K1493" s="15" t="str">
        <f>_xlfn.XLOOKUP(OrderDetails[[#This Row],[ProductID]],Product!A:A,Product!B:B,"Not Found")</f>
        <v>Ipoh Coffee</v>
      </c>
    </row>
    <row r="1494" spans="1:11">
      <c r="A1494" s="1">
        <v>10819</v>
      </c>
      <c r="B1494" s="1">
        <v>75</v>
      </c>
      <c r="C1494" s="1">
        <v>7.75</v>
      </c>
      <c r="D1494" s="1">
        <v>20</v>
      </c>
      <c r="E1494" s="3">
        <v>0</v>
      </c>
      <c r="F1494" s="1" t="str">
        <f>_xlfn.XLOOKUP(A1494,Orders!A:A,Orders!B:B,"not found")</f>
        <v>CACTU</v>
      </c>
      <c r="G1494" s="13">
        <f>_xlfn.XLOOKUP(OrderDetails[[#This Row],[OrderID]],Orders!A:A,Orders!C:C,"Not Found")</f>
        <v>35802</v>
      </c>
      <c r="H1494" s="16">
        <f>(OrderDetails[[#This Row],[UnitPrice]]*OrderDetails[[#This Row],[Quantity]])*(1-OrderDetails[[#This Row],[Discount]])</f>
        <v>155</v>
      </c>
      <c r="I1494" s="15" t="str">
        <f>_xlfn.XLOOKUP(OrderDetails[[#This Row],[ProductID]],Product!A:A,Product!G:G,"Not Found")</f>
        <v>Beverages</v>
      </c>
      <c r="J1494" s="15" t="str">
        <f>LOOKUP(MONTH(G1494),{1,4,7,10},{"Winter","Spring","Summer","Autumn"})</f>
        <v>Winter</v>
      </c>
      <c r="K1494" s="15" t="str">
        <f>_xlfn.XLOOKUP(OrderDetails[[#This Row],[ProductID]],Product!A:A,Product!B:B,"Not Found")</f>
        <v>Rhönbräu Klosterbier</v>
      </c>
    </row>
    <row r="1495" spans="1:11">
      <c r="A1495" s="2">
        <v>10820</v>
      </c>
      <c r="B1495" s="2">
        <v>56</v>
      </c>
      <c r="C1495" s="2">
        <v>38</v>
      </c>
      <c r="D1495" s="2">
        <v>30</v>
      </c>
      <c r="E1495" s="4">
        <v>0</v>
      </c>
      <c r="F1495" s="1" t="str">
        <f>_xlfn.XLOOKUP(A1495,Orders!A:A,Orders!B:B,"not found")</f>
        <v>RATTC</v>
      </c>
      <c r="G1495" s="13">
        <f>_xlfn.XLOOKUP(OrderDetails[[#This Row],[OrderID]],Orders!A:A,Orders!C:C,"Not Found")</f>
        <v>35802</v>
      </c>
      <c r="H1495" s="16">
        <f>(OrderDetails[[#This Row],[UnitPrice]]*OrderDetails[[#This Row],[Quantity]])*(1-OrderDetails[[#This Row],[Discount]])</f>
        <v>1140</v>
      </c>
      <c r="I1495" s="15" t="str">
        <f>_xlfn.XLOOKUP(OrderDetails[[#This Row],[ProductID]],Product!A:A,Product!G:G,"Not Found")</f>
        <v>Grains/Cereals</v>
      </c>
      <c r="J1495" s="15" t="str">
        <f>LOOKUP(MONTH(G1495),{1,4,7,10},{"Winter","Spring","Summer","Autumn"})</f>
        <v>Winter</v>
      </c>
      <c r="K1495" s="15" t="str">
        <f>_xlfn.XLOOKUP(OrderDetails[[#This Row],[ProductID]],Product!A:A,Product!B:B,"Not Found")</f>
        <v>Gnocchi di nonna Alice</v>
      </c>
    </row>
    <row r="1496" spans="1:11">
      <c r="A1496" s="1">
        <v>10821</v>
      </c>
      <c r="B1496" s="1">
        <v>35</v>
      </c>
      <c r="C1496" s="1">
        <v>18</v>
      </c>
      <c r="D1496" s="1">
        <v>20</v>
      </c>
      <c r="E1496" s="3">
        <v>0</v>
      </c>
      <c r="F1496" s="1" t="str">
        <f>_xlfn.XLOOKUP(A1496,Orders!A:A,Orders!B:B,"not found")</f>
        <v>SPLIR</v>
      </c>
      <c r="G1496" s="13">
        <f>_xlfn.XLOOKUP(OrderDetails[[#This Row],[OrderID]],Orders!A:A,Orders!C:C,"Not Found")</f>
        <v>35803</v>
      </c>
      <c r="H1496" s="16">
        <f>(OrderDetails[[#This Row],[UnitPrice]]*OrderDetails[[#This Row],[Quantity]])*(1-OrderDetails[[#This Row],[Discount]])</f>
        <v>360</v>
      </c>
      <c r="I1496" s="15" t="str">
        <f>_xlfn.XLOOKUP(OrderDetails[[#This Row],[ProductID]],Product!A:A,Product!G:G,"Not Found")</f>
        <v>Beverages</v>
      </c>
      <c r="J1496" s="15" t="str">
        <f>LOOKUP(MONTH(G1496),{1,4,7,10},{"Winter","Spring","Summer","Autumn"})</f>
        <v>Winter</v>
      </c>
      <c r="K1496" s="15" t="str">
        <f>_xlfn.XLOOKUP(OrderDetails[[#This Row],[ProductID]],Product!A:A,Product!B:B,"Not Found")</f>
        <v>Steeleye Stout</v>
      </c>
    </row>
    <row r="1497" spans="1:11">
      <c r="A1497" s="2">
        <v>10821</v>
      </c>
      <c r="B1497" s="2">
        <v>51</v>
      </c>
      <c r="C1497" s="2">
        <v>53</v>
      </c>
      <c r="D1497" s="2">
        <v>6</v>
      </c>
      <c r="E1497" s="4">
        <v>0</v>
      </c>
      <c r="F1497" s="1" t="str">
        <f>_xlfn.XLOOKUP(A1497,Orders!A:A,Orders!B:B,"not found")</f>
        <v>SPLIR</v>
      </c>
      <c r="G1497" s="13">
        <f>_xlfn.XLOOKUP(OrderDetails[[#This Row],[OrderID]],Orders!A:A,Orders!C:C,"Not Found")</f>
        <v>35803</v>
      </c>
      <c r="H1497" s="16">
        <f>(OrderDetails[[#This Row],[UnitPrice]]*OrderDetails[[#This Row],[Quantity]])*(1-OrderDetails[[#This Row],[Discount]])</f>
        <v>318</v>
      </c>
      <c r="I1497" s="15" t="str">
        <f>_xlfn.XLOOKUP(OrderDetails[[#This Row],[ProductID]],Product!A:A,Product!G:G,"Not Found")</f>
        <v>Produce</v>
      </c>
      <c r="J1497" s="15" t="str">
        <f>LOOKUP(MONTH(G1497),{1,4,7,10},{"Winter","Spring","Summer","Autumn"})</f>
        <v>Winter</v>
      </c>
      <c r="K1497" s="15" t="str">
        <f>_xlfn.XLOOKUP(OrderDetails[[#This Row],[ProductID]],Product!A:A,Product!B:B,"Not Found")</f>
        <v>Manjimup Dried Apples</v>
      </c>
    </row>
    <row r="1498" spans="1:11">
      <c r="A1498" s="1">
        <v>10822</v>
      </c>
      <c r="B1498" s="1">
        <v>62</v>
      </c>
      <c r="C1498" s="1">
        <v>49.3</v>
      </c>
      <c r="D1498" s="1">
        <v>3</v>
      </c>
      <c r="E1498" s="3">
        <v>0</v>
      </c>
      <c r="F1498" s="1" t="str">
        <f>_xlfn.XLOOKUP(A1498,Orders!A:A,Orders!B:B,"not found")</f>
        <v>TRAIH</v>
      </c>
      <c r="G1498" s="13">
        <f>_xlfn.XLOOKUP(OrderDetails[[#This Row],[OrderID]],Orders!A:A,Orders!C:C,"Not Found")</f>
        <v>35803</v>
      </c>
      <c r="H1498" s="16">
        <f>(OrderDetails[[#This Row],[UnitPrice]]*OrderDetails[[#This Row],[Quantity]])*(1-OrderDetails[[#This Row],[Discount]])</f>
        <v>147.89999999999998</v>
      </c>
      <c r="I1498" s="15" t="str">
        <f>_xlfn.XLOOKUP(OrderDetails[[#This Row],[ProductID]],Product!A:A,Product!G:G,"Not Found")</f>
        <v>Confections</v>
      </c>
      <c r="J1498" s="15" t="str">
        <f>LOOKUP(MONTH(G1498),{1,4,7,10},{"Winter","Spring","Summer","Autumn"})</f>
        <v>Winter</v>
      </c>
      <c r="K1498" s="15" t="str">
        <f>_xlfn.XLOOKUP(OrderDetails[[#This Row],[ProductID]],Product!A:A,Product!B:B,"Not Found")</f>
        <v>Tarte au sucre</v>
      </c>
    </row>
    <row r="1499" spans="1:11">
      <c r="A1499" s="2">
        <v>10822</v>
      </c>
      <c r="B1499" s="2">
        <v>70</v>
      </c>
      <c r="C1499" s="2">
        <v>15</v>
      </c>
      <c r="D1499" s="2">
        <v>6</v>
      </c>
      <c r="E1499" s="4">
        <v>0</v>
      </c>
      <c r="F1499" s="1" t="str">
        <f>_xlfn.XLOOKUP(A1499,Orders!A:A,Orders!B:B,"not found")</f>
        <v>TRAIH</v>
      </c>
      <c r="G1499" s="13">
        <f>_xlfn.XLOOKUP(OrderDetails[[#This Row],[OrderID]],Orders!A:A,Orders!C:C,"Not Found")</f>
        <v>35803</v>
      </c>
      <c r="H1499" s="16">
        <f>(OrderDetails[[#This Row],[UnitPrice]]*OrderDetails[[#This Row],[Quantity]])*(1-OrderDetails[[#This Row],[Discount]])</f>
        <v>90</v>
      </c>
      <c r="I1499" s="15" t="str">
        <f>_xlfn.XLOOKUP(OrderDetails[[#This Row],[ProductID]],Product!A:A,Product!G:G,"Not Found")</f>
        <v>Beverages</v>
      </c>
      <c r="J1499" s="15" t="str">
        <f>LOOKUP(MONTH(G1499),{1,4,7,10},{"Winter","Spring","Summer","Autumn"})</f>
        <v>Winter</v>
      </c>
      <c r="K1499" s="15" t="str">
        <f>_xlfn.XLOOKUP(OrderDetails[[#This Row],[ProductID]],Product!A:A,Product!B:B,"Not Found")</f>
        <v>Outback Lager</v>
      </c>
    </row>
    <row r="1500" spans="1:11">
      <c r="A1500" s="1">
        <v>10823</v>
      </c>
      <c r="B1500" s="1">
        <v>11</v>
      </c>
      <c r="C1500" s="1">
        <v>21</v>
      </c>
      <c r="D1500" s="1">
        <v>20</v>
      </c>
      <c r="E1500" s="3">
        <v>0.10000000149011612</v>
      </c>
      <c r="F1500" s="1" t="str">
        <f>_xlfn.XLOOKUP(A1500,Orders!A:A,Orders!B:B,"not found")</f>
        <v>LILAS</v>
      </c>
      <c r="G1500" s="13">
        <f>_xlfn.XLOOKUP(OrderDetails[[#This Row],[OrderID]],Orders!A:A,Orders!C:C,"Not Found")</f>
        <v>35804</v>
      </c>
      <c r="H1500" s="16">
        <f>(OrderDetails[[#This Row],[UnitPrice]]*OrderDetails[[#This Row],[Quantity]])*(1-OrderDetails[[#This Row],[Discount]])</f>
        <v>377.99999937415123</v>
      </c>
      <c r="I1500" s="15" t="str">
        <f>_xlfn.XLOOKUP(OrderDetails[[#This Row],[ProductID]],Product!A:A,Product!G:G,"Not Found")</f>
        <v>Dairy Products</v>
      </c>
      <c r="J1500" s="15" t="str">
        <f>LOOKUP(MONTH(G1500),{1,4,7,10},{"Winter","Spring","Summer","Autumn"})</f>
        <v>Winter</v>
      </c>
      <c r="K1500" s="15" t="str">
        <f>_xlfn.XLOOKUP(OrderDetails[[#This Row],[ProductID]],Product!A:A,Product!B:B,"Not Found")</f>
        <v>Queso Cabrales</v>
      </c>
    </row>
    <row r="1501" spans="1:11">
      <c r="A1501" s="2">
        <v>10823</v>
      </c>
      <c r="B1501" s="2">
        <v>57</v>
      </c>
      <c r="C1501" s="2">
        <v>19.5</v>
      </c>
      <c r="D1501" s="2">
        <v>15</v>
      </c>
      <c r="E1501" s="4">
        <v>0</v>
      </c>
      <c r="F1501" s="1" t="str">
        <f>_xlfn.XLOOKUP(A1501,Orders!A:A,Orders!B:B,"not found")</f>
        <v>LILAS</v>
      </c>
      <c r="G1501" s="13">
        <f>_xlfn.XLOOKUP(OrderDetails[[#This Row],[OrderID]],Orders!A:A,Orders!C:C,"Not Found")</f>
        <v>35804</v>
      </c>
      <c r="H1501" s="16">
        <f>(OrderDetails[[#This Row],[UnitPrice]]*OrderDetails[[#This Row],[Quantity]])*(1-OrderDetails[[#This Row],[Discount]])</f>
        <v>292.5</v>
      </c>
      <c r="I1501" s="15" t="str">
        <f>_xlfn.XLOOKUP(OrderDetails[[#This Row],[ProductID]],Product!A:A,Product!G:G,"Not Found")</f>
        <v>Grains/Cereals</v>
      </c>
      <c r="J1501" s="15" t="str">
        <f>LOOKUP(MONTH(G1501),{1,4,7,10},{"Winter","Spring","Summer","Autumn"})</f>
        <v>Winter</v>
      </c>
      <c r="K1501" s="15" t="str">
        <f>_xlfn.XLOOKUP(OrderDetails[[#This Row],[ProductID]],Product!A:A,Product!B:B,"Not Found")</f>
        <v>Ravioli Angelo</v>
      </c>
    </row>
    <row r="1502" spans="1:11">
      <c r="A1502" s="1">
        <v>10823</v>
      </c>
      <c r="B1502" s="1">
        <v>59</v>
      </c>
      <c r="C1502" s="1">
        <v>55</v>
      </c>
      <c r="D1502" s="1">
        <v>40</v>
      </c>
      <c r="E1502" s="3">
        <v>0.10000000149011612</v>
      </c>
      <c r="F1502" s="1" t="str">
        <f>_xlfn.XLOOKUP(A1502,Orders!A:A,Orders!B:B,"not found")</f>
        <v>LILAS</v>
      </c>
      <c r="G1502" s="13">
        <f>_xlfn.XLOOKUP(OrderDetails[[#This Row],[OrderID]],Orders!A:A,Orders!C:C,"Not Found")</f>
        <v>35804</v>
      </c>
      <c r="H1502" s="16">
        <f>(OrderDetails[[#This Row],[UnitPrice]]*OrderDetails[[#This Row],[Quantity]])*(1-OrderDetails[[#This Row],[Discount]])</f>
        <v>1979.9999967217445</v>
      </c>
      <c r="I1502" s="15" t="str">
        <f>_xlfn.XLOOKUP(OrderDetails[[#This Row],[ProductID]],Product!A:A,Product!G:G,"Not Found")</f>
        <v>Dairy Products</v>
      </c>
      <c r="J1502" s="15" t="str">
        <f>LOOKUP(MONTH(G1502),{1,4,7,10},{"Winter","Spring","Summer","Autumn"})</f>
        <v>Winter</v>
      </c>
      <c r="K1502" s="15" t="str">
        <f>_xlfn.XLOOKUP(OrderDetails[[#This Row],[ProductID]],Product!A:A,Product!B:B,"Not Found")</f>
        <v>Raclette Courdavault</v>
      </c>
    </row>
    <row r="1503" spans="1:11">
      <c r="A1503" s="2">
        <v>10823</v>
      </c>
      <c r="B1503" s="2">
        <v>77</v>
      </c>
      <c r="C1503" s="2">
        <v>13</v>
      </c>
      <c r="D1503" s="2">
        <v>15</v>
      </c>
      <c r="E1503" s="4">
        <v>0.10000000149011612</v>
      </c>
      <c r="F1503" s="1" t="str">
        <f>_xlfn.XLOOKUP(A1503,Orders!A:A,Orders!B:B,"not found")</f>
        <v>LILAS</v>
      </c>
      <c r="G1503" s="13">
        <f>_xlfn.XLOOKUP(OrderDetails[[#This Row],[OrderID]],Orders!A:A,Orders!C:C,"Not Found")</f>
        <v>35804</v>
      </c>
      <c r="H1503" s="16">
        <f>(OrderDetails[[#This Row],[UnitPrice]]*OrderDetails[[#This Row],[Quantity]])*(1-OrderDetails[[#This Row],[Discount]])</f>
        <v>175.49999970942736</v>
      </c>
      <c r="I1503" s="15" t="str">
        <f>_xlfn.XLOOKUP(OrderDetails[[#This Row],[ProductID]],Product!A:A,Product!G:G,"Not Found")</f>
        <v>Condiments</v>
      </c>
      <c r="J1503" s="15" t="str">
        <f>LOOKUP(MONTH(G1503),{1,4,7,10},{"Winter","Spring","Summer","Autumn"})</f>
        <v>Winter</v>
      </c>
      <c r="K1503" s="15" t="str">
        <f>_xlfn.XLOOKUP(OrderDetails[[#This Row],[ProductID]],Product!A:A,Product!B:B,"Not Found")</f>
        <v>Original Frankfurter grüne Soße</v>
      </c>
    </row>
    <row r="1504" spans="1:11">
      <c r="A1504" s="1">
        <v>10824</v>
      </c>
      <c r="B1504" s="1">
        <v>41</v>
      </c>
      <c r="C1504" s="1">
        <v>9.65</v>
      </c>
      <c r="D1504" s="1">
        <v>12</v>
      </c>
      <c r="E1504" s="3">
        <v>0</v>
      </c>
      <c r="F1504" s="1" t="str">
        <f>_xlfn.XLOOKUP(A1504,Orders!A:A,Orders!B:B,"not found")</f>
        <v>FOLKO</v>
      </c>
      <c r="G1504" s="13">
        <f>_xlfn.XLOOKUP(OrderDetails[[#This Row],[OrderID]],Orders!A:A,Orders!C:C,"Not Found")</f>
        <v>35804</v>
      </c>
      <c r="H1504" s="16">
        <f>(OrderDetails[[#This Row],[UnitPrice]]*OrderDetails[[#This Row],[Quantity]])*(1-OrderDetails[[#This Row],[Discount]])</f>
        <v>115.80000000000001</v>
      </c>
      <c r="I1504" s="15" t="str">
        <f>_xlfn.XLOOKUP(OrderDetails[[#This Row],[ProductID]],Product!A:A,Product!G:G,"Not Found")</f>
        <v>Seafood</v>
      </c>
      <c r="J1504" s="15" t="str">
        <f>LOOKUP(MONTH(G1504),{1,4,7,10},{"Winter","Spring","Summer","Autumn"})</f>
        <v>Winter</v>
      </c>
      <c r="K1504" s="15" t="str">
        <f>_xlfn.XLOOKUP(OrderDetails[[#This Row],[ProductID]],Product!A:A,Product!B:B,"Not Found")</f>
        <v>Jack's New England Clam Chowder</v>
      </c>
    </row>
    <row r="1505" spans="1:11">
      <c r="A1505" s="2">
        <v>10824</v>
      </c>
      <c r="B1505" s="2">
        <v>70</v>
      </c>
      <c r="C1505" s="2">
        <v>15</v>
      </c>
      <c r="D1505" s="2">
        <v>9</v>
      </c>
      <c r="E1505" s="4">
        <v>0</v>
      </c>
      <c r="F1505" s="1" t="str">
        <f>_xlfn.XLOOKUP(A1505,Orders!A:A,Orders!B:B,"not found")</f>
        <v>FOLKO</v>
      </c>
      <c r="G1505" s="13">
        <f>_xlfn.XLOOKUP(OrderDetails[[#This Row],[OrderID]],Orders!A:A,Orders!C:C,"Not Found")</f>
        <v>35804</v>
      </c>
      <c r="H1505" s="16">
        <f>(OrderDetails[[#This Row],[UnitPrice]]*OrderDetails[[#This Row],[Quantity]])*(1-OrderDetails[[#This Row],[Discount]])</f>
        <v>135</v>
      </c>
      <c r="I1505" s="15" t="str">
        <f>_xlfn.XLOOKUP(OrderDetails[[#This Row],[ProductID]],Product!A:A,Product!G:G,"Not Found")</f>
        <v>Beverages</v>
      </c>
      <c r="J1505" s="15" t="str">
        <f>LOOKUP(MONTH(G1505),{1,4,7,10},{"Winter","Spring","Summer","Autumn"})</f>
        <v>Winter</v>
      </c>
      <c r="K1505" s="15" t="str">
        <f>_xlfn.XLOOKUP(OrderDetails[[#This Row],[ProductID]],Product!A:A,Product!B:B,"Not Found")</f>
        <v>Outback Lager</v>
      </c>
    </row>
    <row r="1506" spans="1:11">
      <c r="A1506" s="1">
        <v>10825</v>
      </c>
      <c r="B1506" s="1">
        <v>26</v>
      </c>
      <c r="C1506" s="1">
        <v>31.23</v>
      </c>
      <c r="D1506" s="1">
        <v>12</v>
      </c>
      <c r="E1506" s="3">
        <v>0</v>
      </c>
      <c r="F1506" s="1" t="str">
        <f>_xlfn.XLOOKUP(A1506,Orders!A:A,Orders!B:B,"not found")</f>
        <v>DRACD</v>
      </c>
      <c r="G1506" s="13">
        <f>_xlfn.XLOOKUP(OrderDetails[[#This Row],[OrderID]],Orders!A:A,Orders!C:C,"Not Found")</f>
        <v>35804</v>
      </c>
      <c r="H1506" s="16">
        <f>(OrderDetails[[#This Row],[UnitPrice]]*OrderDetails[[#This Row],[Quantity]])*(1-OrderDetails[[#This Row],[Discount]])</f>
        <v>374.76</v>
      </c>
      <c r="I1506" s="15" t="str">
        <f>_xlfn.XLOOKUP(OrderDetails[[#This Row],[ProductID]],Product!A:A,Product!G:G,"Not Found")</f>
        <v>Confections</v>
      </c>
      <c r="J1506" s="15" t="str">
        <f>LOOKUP(MONTH(G1506),{1,4,7,10},{"Winter","Spring","Summer","Autumn"})</f>
        <v>Winter</v>
      </c>
      <c r="K1506" s="15" t="str">
        <f>_xlfn.XLOOKUP(OrderDetails[[#This Row],[ProductID]],Product!A:A,Product!B:B,"Not Found")</f>
        <v>Gumbär Gummibärchen</v>
      </c>
    </row>
    <row r="1507" spans="1:11">
      <c r="A1507" s="2">
        <v>10825</v>
      </c>
      <c r="B1507" s="2">
        <v>53</v>
      </c>
      <c r="C1507" s="2">
        <v>32.799999999999997</v>
      </c>
      <c r="D1507" s="2">
        <v>20</v>
      </c>
      <c r="E1507" s="4">
        <v>0</v>
      </c>
      <c r="F1507" s="1" t="str">
        <f>_xlfn.XLOOKUP(A1507,Orders!A:A,Orders!B:B,"not found")</f>
        <v>DRACD</v>
      </c>
      <c r="G1507" s="13">
        <f>_xlfn.XLOOKUP(OrderDetails[[#This Row],[OrderID]],Orders!A:A,Orders!C:C,"Not Found")</f>
        <v>35804</v>
      </c>
      <c r="H1507" s="16">
        <f>(OrderDetails[[#This Row],[UnitPrice]]*OrderDetails[[#This Row],[Quantity]])*(1-OrderDetails[[#This Row],[Discount]])</f>
        <v>656</v>
      </c>
      <c r="I1507" s="15" t="str">
        <f>_xlfn.XLOOKUP(OrderDetails[[#This Row],[ProductID]],Product!A:A,Product!G:G,"Not Found")</f>
        <v>Meat/Poultry</v>
      </c>
      <c r="J1507" s="15" t="str">
        <f>LOOKUP(MONTH(G1507),{1,4,7,10},{"Winter","Spring","Summer","Autumn"})</f>
        <v>Winter</v>
      </c>
      <c r="K1507" s="15" t="str">
        <f>_xlfn.XLOOKUP(OrderDetails[[#This Row],[ProductID]],Product!A:A,Product!B:B,"Not Found")</f>
        <v>Perth Pasties</v>
      </c>
    </row>
    <row r="1508" spans="1:11">
      <c r="A1508" s="1">
        <v>10826</v>
      </c>
      <c r="B1508" s="1">
        <v>31</v>
      </c>
      <c r="C1508" s="1">
        <v>12.5</v>
      </c>
      <c r="D1508" s="1">
        <v>35</v>
      </c>
      <c r="E1508" s="3">
        <v>0</v>
      </c>
      <c r="F1508" s="1" t="str">
        <f>_xlfn.XLOOKUP(A1508,Orders!A:A,Orders!B:B,"not found")</f>
        <v>BLONP</v>
      </c>
      <c r="G1508" s="13">
        <f>_xlfn.XLOOKUP(OrderDetails[[#This Row],[OrderID]],Orders!A:A,Orders!C:C,"Not Found")</f>
        <v>35807</v>
      </c>
      <c r="H1508" s="16">
        <f>(OrderDetails[[#This Row],[UnitPrice]]*OrderDetails[[#This Row],[Quantity]])*(1-OrderDetails[[#This Row],[Discount]])</f>
        <v>437.5</v>
      </c>
      <c r="I1508" s="15" t="str">
        <f>_xlfn.XLOOKUP(OrderDetails[[#This Row],[ProductID]],Product!A:A,Product!G:G,"Not Found")</f>
        <v>Dairy Products</v>
      </c>
      <c r="J1508" s="15" t="str">
        <f>LOOKUP(MONTH(G1508),{1,4,7,10},{"Winter","Spring","Summer","Autumn"})</f>
        <v>Winter</v>
      </c>
      <c r="K1508" s="15" t="str">
        <f>_xlfn.XLOOKUP(OrderDetails[[#This Row],[ProductID]],Product!A:A,Product!B:B,"Not Found")</f>
        <v>Gorgonzola Telino</v>
      </c>
    </row>
    <row r="1509" spans="1:11">
      <c r="A1509" s="2">
        <v>10826</v>
      </c>
      <c r="B1509" s="2">
        <v>57</v>
      </c>
      <c r="C1509" s="2">
        <v>19.5</v>
      </c>
      <c r="D1509" s="2">
        <v>15</v>
      </c>
      <c r="E1509" s="4">
        <v>0</v>
      </c>
      <c r="F1509" s="1" t="str">
        <f>_xlfn.XLOOKUP(A1509,Orders!A:A,Orders!B:B,"not found")</f>
        <v>BLONP</v>
      </c>
      <c r="G1509" s="13">
        <f>_xlfn.XLOOKUP(OrderDetails[[#This Row],[OrderID]],Orders!A:A,Orders!C:C,"Not Found")</f>
        <v>35807</v>
      </c>
      <c r="H1509" s="16">
        <f>(OrderDetails[[#This Row],[UnitPrice]]*OrderDetails[[#This Row],[Quantity]])*(1-OrderDetails[[#This Row],[Discount]])</f>
        <v>292.5</v>
      </c>
      <c r="I1509" s="15" t="str">
        <f>_xlfn.XLOOKUP(OrderDetails[[#This Row],[ProductID]],Product!A:A,Product!G:G,"Not Found")</f>
        <v>Grains/Cereals</v>
      </c>
      <c r="J1509" s="15" t="str">
        <f>LOOKUP(MONTH(G1509),{1,4,7,10},{"Winter","Spring","Summer","Autumn"})</f>
        <v>Winter</v>
      </c>
      <c r="K1509" s="15" t="str">
        <f>_xlfn.XLOOKUP(OrderDetails[[#This Row],[ProductID]],Product!A:A,Product!B:B,"Not Found")</f>
        <v>Ravioli Angelo</v>
      </c>
    </row>
    <row r="1510" spans="1:11">
      <c r="A1510" s="1">
        <v>10827</v>
      </c>
      <c r="B1510" s="1">
        <v>10</v>
      </c>
      <c r="C1510" s="1">
        <v>31</v>
      </c>
      <c r="D1510" s="1">
        <v>15</v>
      </c>
      <c r="E1510" s="3">
        <v>0</v>
      </c>
      <c r="F1510" s="1" t="str">
        <f>_xlfn.XLOOKUP(A1510,Orders!A:A,Orders!B:B,"not found")</f>
        <v>BONAP</v>
      </c>
      <c r="G1510" s="13">
        <f>_xlfn.XLOOKUP(OrderDetails[[#This Row],[OrderID]],Orders!A:A,Orders!C:C,"Not Found")</f>
        <v>35807</v>
      </c>
      <c r="H1510" s="16">
        <f>(OrderDetails[[#This Row],[UnitPrice]]*OrderDetails[[#This Row],[Quantity]])*(1-OrderDetails[[#This Row],[Discount]])</f>
        <v>465</v>
      </c>
      <c r="I1510" s="15" t="str">
        <f>_xlfn.XLOOKUP(OrderDetails[[#This Row],[ProductID]],Product!A:A,Product!G:G,"Not Found")</f>
        <v>Seafood</v>
      </c>
      <c r="J1510" s="15" t="str">
        <f>LOOKUP(MONTH(G1510),{1,4,7,10},{"Winter","Spring","Summer","Autumn"})</f>
        <v>Winter</v>
      </c>
      <c r="K1510" s="15" t="str">
        <f>_xlfn.XLOOKUP(OrderDetails[[#This Row],[ProductID]],Product!A:A,Product!B:B,"Not Found")</f>
        <v>Ikura</v>
      </c>
    </row>
    <row r="1511" spans="1:11">
      <c r="A1511" s="2">
        <v>10827</v>
      </c>
      <c r="B1511" s="2">
        <v>39</v>
      </c>
      <c r="C1511" s="2">
        <v>18</v>
      </c>
      <c r="D1511" s="2">
        <v>21</v>
      </c>
      <c r="E1511" s="4">
        <v>0</v>
      </c>
      <c r="F1511" s="1" t="str">
        <f>_xlfn.XLOOKUP(A1511,Orders!A:A,Orders!B:B,"not found")</f>
        <v>BONAP</v>
      </c>
      <c r="G1511" s="13">
        <f>_xlfn.XLOOKUP(OrderDetails[[#This Row],[OrderID]],Orders!A:A,Orders!C:C,"Not Found")</f>
        <v>35807</v>
      </c>
      <c r="H1511" s="16">
        <f>(OrderDetails[[#This Row],[UnitPrice]]*OrderDetails[[#This Row],[Quantity]])*(1-OrderDetails[[#This Row],[Discount]])</f>
        <v>378</v>
      </c>
      <c r="I1511" s="15" t="str">
        <f>_xlfn.XLOOKUP(OrderDetails[[#This Row],[ProductID]],Product!A:A,Product!G:G,"Not Found")</f>
        <v>Beverages</v>
      </c>
      <c r="J1511" s="15" t="str">
        <f>LOOKUP(MONTH(G1511),{1,4,7,10},{"Winter","Spring","Summer","Autumn"})</f>
        <v>Winter</v>
      </c>
      <c r="K1511" s="15" t="str">
        <f>_xlfn.XLOOKUP(OrderDetails[[#This Row],[ProductID]],Product!A:A,Product!B:B,"Not Found")</f>
        <v>Chartreuse verte</v>
      </c>
    </row>
    <row r="1512" spans="1:11">
      <c r="A1512" s="1">
        <v>10828</v>
      </c>
      <c r="B1512" s="1">
        <v>20</v>
      </c>
      <c r="C1512" s="1">
        <v>81</v>
      </c>
      <c r="D1512" s="1">
        <v>5</v>
      </c>
      <c r="E1512" s="3">
        <v>0</v>
      </c>
      <c r="F1512" s="1" t="str">
        <f>_xlfn.XLOOKUP(A1512,Orders!A:A,Orders!B:B,"not found")</f>
        <v>RANCH</v>
      </c>
      <c r="G1512" s="13">
        <f>_xlfn.XLOOKUP(OrderDetails[[#This Row],[OrderID]],Orders!A:A,Orders!C:C,"Not Found")</f>
        <v>35808</v>
      </c>
      <c r="H1512" s="16">
        <f>(OrderDetails[[#This Row],[UnitPrice]]*OrderDetails[[#This Row],[Quantity]])*(1-OrderDetails[[#This Row],[Discount]])</f>
        <v>405</v>
      </c>
      <c r="I1512" s="15" t="str">
        <f>_xlfn.XLOOKUP(OrderDetails[[#This Row],[ProductID]],Product!A:A,Product!G:G,"Not Found")</f>
        <v>Confections</v>
      </c>
      <c r="J1512" s="15" t="str">
        <f>LOOKUP(MONTH(G1512),{1,4,7,10},{"Winter","Spring","Summer","Autumn"})</f>
        <v>Winter</v>
      </c>
      <c r="K1512" s="15" t="str">
        <f>_xlfn.XLOOKUP(OrderDetails[[#This Row],[ProductID]],Product!A:A,Product!B:B,"Not Found")</f>
        <v>Sir Rodney's Marmalade</v>
      </c>
    </row>
    <row r="1513" spans="1:11">
      <c r="A1513" s="2">
        <v>10828</v>
      </c>
      <c r="B1513" s="2">
        <v>38</v>
      </c>
      <c r="C1513" s="2">
        <v>263.5</v>
      </c>
      <c r="D1513" s="2">
        <v>2</v>
      </c>
      <c r="E1513" s="4">
        <v>0</v>
      </c>
      <c r="F1513" s="1" t="str">
        <f>_xlfn.XLOOKUP(A1513,Orders!A:A,Orders!B:B,"not found")</f>
        <v>RANCH</v>
      </c>
      <c r="G1513" s="13">
        <f>_xlfn.XLOOKUP(OrderDetails[[#This Row],[OrderID]],Orders!A:A,Orders!C:C,"Not Found")</f>
        <v>35808</v>
      </c>
      <c r="H1513" s="16">
        <f>(OrderDetails[[#This Row],[UnitPrice]]*OrderDetails[[#This Row],[Quantity]])*(1-OrderDetails[[#This Row],[Discount]])</f>
        <v>527</v>
      </c>
      <c r="I1513" s="15" t="str">
        <f>_xlfn.XLOOKUP(OrderDetails[[#This Row],[ProductID]],Product!A:A,Product!G:G,"Not Found")</f>
        <v>Beverages</v>
      </c>
      <c r="J1513" s="15" t="str">
        <f>LOOKUP(MONTH(G1513),{1,4,7,10},{"Winter","Spring","Summer","Autumn"})</f>
        <v>Winter</v>
      </c>
      <c r="K1513" s="15" t="str">
        <f>_xlfn.XLOOKUP(OrderDetails[[#This Row],[ProductID]],Product!A:A,Product!B:B,"Not Found")</f>
        <v>Côte de Blaye</v>
      </c>
    </row>
    <row r="1514" spans="1:11">
      <c r="A1514" s="1">
        <v>10829</v>
      </c>
      <c r="B1514" s="1">
        <v>2</v>
      </c>
      <c r="C1514" s="1">
        <v>19</v>
      </c>
      <c r="D1514" s="1">
        <v>10</v>
      </c>
      <c r="E1514" s="3">
        <v>0</v>
      </c>
      <c r="F1514" s="1" t="str">
        <f>_xlfn.XLOOKUP(A1514,Orders!A:A,Orders!B:B,"not found")</f>
        <v>ISLAT</v>
      </c>
      <c r="G1514" s="13">
        <f>_xlfn.XLOOKUP(OrderDetails[[#This Row],[OrderID]],Orders!A:A,Orders!C:C,"Not Found")</f>
        <v>35808</v>
      </c>
      <c r="H1514" s="16">
        <f>(OrderDetails[[#This Row],[UnitPrice]]*OrderDetails[[#This Row],[Quantity]])*(1-OrderDetails[[#This Row],[Discount]])</f>
        <v>190</v>
      </c>
      <c r="I1514" s="15" t="str">
        <f>_xlfn.XLOOKUP(OrderDetails[[#This Row],[ProductID]],Product!A:A,Product!G:G,"Not Found")</f>
        <v>Beverages</v>
      </c>
      <c r="J1514" s="15" t="str">
        <f>LOOKUP(MONTH(G1514),{1,4,7,10},{"Winter","Spring","Summer","Autumn"})</f>
        <v>Winter</v>
      </c>
      <c r="K1514" s="15" t="str">
        <f>_xlfn.XLOOKUP(OrderDetails[[#This Row],[ProductID]],Product!A:A,Product!B:B,"Not Found")</f>
        <v>Chang</v>
      </c>
    </row>
    <row r="1515" spans="1:11">
      <c r="A1515" s="2">
        <v>10829</v>
      </c>
      <c r="B1515" s="2">
        <v>8</v>
      </c>
      <c r="C1515" s="2">
        <v>40</v>
      </c>
      <c r="D1515" s="2">
        <v>20</v>
      </c>
      <c r="E1515" s="4">
        <v>0</v>
      </c>
      <c r="F1515" s="1" t="str">
        <f>_xlfn.XLOOKUP(A1515,Orders!A:A,Orders!B:B,"not found")</f>
        <v>ISLAT</v>
      </c>
      <c r="G1515" s="13">
        <f>_xlfn.XLOOKUP(OrderDetails[[#This Row],[OrderID]],Orders!A:A,Orders!C:C,"Not Found")</f>
        <v>35808</v>
      </c>
      <c r="H1515" s="16">
        <f>(OrderDetails[[#This Row],[UnitPrice]]*OrderDetails[[#This Row],[Quantity]])*(1-OrderDetails[[#This Row],[Discount]])</f>
        <v>800</v>
      </c>
      <c r="I1515" s="15" t="str">
        <f>_xlfn.XLOOKUP(OrderDetails[[#This Row],[ProductID]],Product!A:A,Product!G:G,"Not Found")</f>
        <v>Condiments</v>
      </c>
      <c r="J1515" s="15" t="str">
        <f>LOOKUP(MONTH(G1515),{1,4,7,10},{"Winter","Spring","Summer","Autumn"})</f>
        <v>Winter</v>
      </c>
      <c r="K1515" s="15" t="str">
        <f>_xlfn.XLOOKUP(OrderDetails[[#This Row],[ProductID]],Product!A:A,Product!B:B,"Not Found")</f>
        <v>Northwoods Cranberry Sauce</v>
      </c>
    </row>
    <row r="1516" spans="1:11">
      <c r="A1516" s="1">
        <v>10829</v>
      </c>
      <c r="B1516" s="1">
        <v>13</v>
      </c>
      <c r="C1516" s="1">
        <v>6</v>
      </c>
      <c r="D1516" s="1">
        <v>10</v>
      </c>
      <c r="E1516" s="3">
        <v>0</v>
      </c>
      <c r="F1516" s="1" t="str">
        <f>_xlfn.XLOOKUP(A1516,Orders!A:A,Orders!B:B,"not found")</f>
        <v>ISLAT</v>
      </c>
      <c r="G1516" s="13">
        <f>_xlfn.XLOOKUP(OrderDetails[[#This Row],[OrderID]],Orders!A:A,Orders!C:C,"Not Found")</f>
        <v>35808</v>
      </c>
      <c r="H1516" s="16">
        <f>(OrderDetails[[#This Row],[UnitPrice]]*OrderDetails[[#This Row],[Quantity]])*(1-OrderDetails[[#This Row],[Discount]])</f>
        <v>60</v>
      </c>
      <c r="I1516" s="15" t="str">
        <f>_xlfn.XLOOKUP(OrderDetails[[#This Row],[ProductID]],Product!A:A,Product!G:G,"Not Found")</f>
        <v>Seafood</v>
      </c>
      <c r="J1516" s="15" t="str">
        <f>LOOKUP(MONTH(G1516),{1,4,7,10},{"Winter","Spring","Summer","Autumn"})</f>
        <v>Winter</v>
      </c>
      <c r="K1516" s="15" t="str">
        <f>_xlfn.XLOOKUP(OrderDetails[[#This Row],[ProductID]],Product!A:A,Product!B:B,"Not Found")</f>
        <v>Konbu</v>
      </c>
    </row>
    <row r="1517" spans="1:11">
      <c r="A1517" s="2">
        <v>10829</v>
      </c>
      <c r="B1517" s="2">
        <v>60</v>
      </c>
      <c r="C1517" s="2">
        <v>34</v>
      </c>
      <c r="D1517" s="2">
        <v>21</v>
      </c>
      <c r="E1517" s="4">
        <v>0</v>
      </c>
      <c r="F1517" s="1" t="str">
        <f>_xlfn.XLOOKUP(A1517,Orders!A:A,Orders!B:B,"not found")</f>
        <v>ISLAT</v>
      </c>
      <c r="G1517" s="13">
        <f>_xlfn.XLOOKUP(OrderDetails[[#This Row],[OrderID]],Orders!A:A,Orders!C:C,"Not Found")</f>
        <v>35808</v>
      </c>
      <c r="H1517" s="16">
        <f>(OrderDetails[[#This Row],[UnitPrice]]*OrderDetails[[#This Row],[Quantity]])*(1-OrderDetails[[#This Row],[Discount]])</f>
        <v>714</v>
      </c>
      <c r="I1517" s="15" t="str">
        <f>_xlfn.XLOOKUP(OrderDetails[[#This Row],[ProductID]],Product!A:A,Product!G:G,"Not Found")</f>
        <v>Dairy Products</v>
      </c>
      <c r="J1517" s="15" t="str">
        <f>LOOKUP(MONTH(G1517),{1,4,7,10},{"Winter","Spring","Summer","Autumn"})</f>
        <v>Winter</v>
      </c>
      <c r="K1517" s="15" t="str">
        <f>_xlfn.XLOOKUP(OrderDetails[[#This Row],[ProductID]],Product!A:A,Product!B:B,"Not Found")</f>
        <v>Camembert Pierrot</v>
      </c>
    </row>
    <row r="1518" spans="1:11">
      <c r="A1518" s="1">
        <v>10830</v>
      </c>
      <c r="B1518" s="1">
        <v>6</v>
      </c>
      <c r="C1518" s="1">
        <v>25</v>
      </c>
      <c r="D1518" s="1">
        <v>6</v>
      </c>
      <c r="E1518" s="3">
        <v>0</v>
      </c>
      <c r="F1518" s="1" t="str">
        <f>_xlfn.XLOOKUP(A1518,Orders!A:A,Orders!B:B,"not found")</f>
        <v>TRADH</v>
      </c>
      <c r="G1518" s="13">
        <f>_xlfn.XLOOKUP(OrderDetails[[#This Row],[OrderID]],Orders!A:A,Orders!C:C,"Not Found")</f>
        <v>35808</v>
      </c>
      <c r="H1518" s="16">
        <f>(OrderDetails[[#This Row],[UnitPrice]]*OrderDetails[[#This Row],[Quantity]])*(1-OrderDetails[[#This Row],[Discount]])</f>
        <v>150</v>
      </c>
      <c r="I1518" s="15" t="str">
        <f>_xlfn.XLOOKUP(OrderDetails[[#This Row],[ProductID]],Product!A:A,Product!G:G,"Not Found")</f>
        <v>Condiments</v>
      </c>
      <c r="J1518" s="15" t="str">
        <f>LOOKUP(MONTH(G1518),{1,4,7,10},{"Winter","Spring","Summer","Autumn"})</f>
        <v>Winter</v>
      </c>
      <c r="K1518" s="15" t="str">
        <f>_xlfn.XLOOKUP(OrderDetails[[#This Row],[ProductID]],Product!A:A,Product!B:B,"Not Found")</f>
        <v>Grandma's Boysenberry Spread</v>
      </c>
    </row>
    <row r="1519" spans="1:11">
      <c r="A1519" s="2">
        <v>10830</v>
      </c>
      <c r="B1519" s="2">
        <v>39</v>
      </c>
      <c r="C1519" s="2">
        <v>18</v>
      </c>
      <c r="D1519" s="2">
        <v>28</v>
      </c>
      <c r="E1519" s="4">
        <v>0</v>
      </c>
      <c r="F1519" s="1" t="str">
        <f>_xlfn.XLOOKUP(A1519,Orders!A:A,Orders!B:B,"not found")</f>
        <v>TRADH</v>
      </c>
      <c r="G1519" s="13">
        <f>_xlfn.XLOOKUP(OrderDetails[[#This Row],[OrderID]],Orders!A:A,Orders!C:C,"Not Found")</f>
        <v>35808</v>
      </c>
      <c r="H1519" s="16">
        <f>(OrderDetails[[#This Row],[UnitPrice]]*OrderDetails[[#This Row],[Quantity]])*(1-OrderDetails[[#This Row],[Discount]])</f>
        <v>504</v>
      </c>
      <c r="I1519" s="15" t="str">
        <f>_xlfn.XLOOKUP(OrderDetails[[#This Row],[ProductID]],Product!A:A,Product!G:G,"Not Found")</f>
        <v>Beverages</v>
      </c>
      <c r="J1519" s="15" t="str">
        <f>LOOKUP(MONTH(G1519),{1,4,7,10},{"Winter","Spring","Summer","Autumn"})</f>
        <v>Winter</v>
      </c>
      <c r="K1519" s="15" t="str">
        <f>_xlfn.XLOOKUP(OrderDetails[[#This Row],[ProductID]],Product!A:A,Product!B:B,"Not Found")</f>
        <v>Chartreuse verte</v>
      </c>
    </row>
    <row r="1520" spans="1:11">
      <c r="A1520" s="1">
        <v>10830</v>
      </c>
      <c r="B1520" s="1">
        <v>60</v>
      </c>
      <c r="C1520" s="1">
        <v>34</v>
      </c>
      <c r="D1520" s="1">
        <v>30</v>
      </c>
      <c r="E1520" s="3">
        <v>0</v>
      </c>
      <c r="F1520" s="1" t="str">
        <f>_xlfn.XLOOKUP(A1520,Orders!A:A,Orders!B:B,"not found")</f>
        <v>TRADH</v>
      </c>
      <c r="G1520" s="13">
        <f>_xlfn.XLOOKUP(OrderDetails[[#This Row],[OrderID]],Orders!A:A,Orders!C:C,"Not Found")</f>
        <v>35808</v>
      </c>
      <c r="H1520" s="16">
        <f>(OrderDetails[[#This Row],[UnitPrice]]*OrderDetails[[#This Row],[Quantity]])*(1-OrderDetails[[#This Row],[Discount]])</f>
        <v>1020</v>
      </c>
      <c r="I1520" s="15" t="str">
        <f>_xlfn.XLOOKUP(OrderDetails[[#This Row],[ProductID]],Product!A:A,Product!G:G,"Not Found")</f>
        <v>Dairy Products</v>
      </c>
      <c r="J1520" s="15" t="str">
        <f>LOOKUP(MONTH(G1520),{1,4,7,10},{"Winter","Spring","Summer","Autumn"})</f>
        <v>Winter</v>
      </c>
      <c r="K1520" s="15" t="str">
        <f>_xlfn.XLOOKUP(OrderDetails[[#This Row],[ProductID]],Product!A:A,Product!B:B,"Not Found")</f>
        <v>Camembert Pierrot</v>
      </c>
    </row>
    <row r="1521" spans="1:11">
      <c r="A1521" s="2">
        <v>10830</v>
      </c>
      <c r="B1521" s="2">
        <v>68</v>
      </c>
      <c r="C1521" s="2">
        <v>12.5</v>
      </c>
      <c r="D1521" s="2">
        <v>24</v>
      </c>
      <c r="E1521" s="4">
        <v>0</v>
      </c>
      <c r="F1521" s="1" t="str">
        <f>_xlfn.XLOOKUP(A1521,Orders!A:A,Orders!B:B,"not found")</f>
        <v>TRADH</v>
      </c>
      <c r="G1521" s="13">
        <f>_xlfn.XLOOKUP(OrderDetails[[#This Row],[OrderID]],Orders!A:A,Orders!C:C,"Not Found")</f>
        <v>35808</v>
      </c>
      <c r="H1521" s="16">
        <f>(OrderDetails[[#This Row],[UnitPrice]]*OrderDetails[[#This Row],[Quantity]])*(1-OrderDetails[[#This Row],[Discount]])</f>
        <v>300</v>
      </c>
      <c r="I1521" s="15" t="str">
        <f>_xlfn.XLOOKUP(OrderDetails[[#This Row],[ProductID]],Product!A:A,Product!G:G,"Not Found")</f>
        <v>Confections</v>
      </c>
      <c r="J1521" s="15" t="str">
        <f>LOOKUP(MONTH(G1521),{1,4,7,10},{"Winter","Spring","Summer","Autumn"})</f>
        <v>Winter</v>
      </c>
      <c r="K1521" s="15" t="str">
        <f>_xlfn.XLOOKUP(OrderDetails[[#This Row],[ProductID]],Product!A:A,Product!B:B,"Not Found")</f>
        <v>Scottish Longbreads</v>
      </c>
    </row>
    <row r="1522" spans="1:11">
      <c r="A1522" s="1">
        <v>10831</v>
      </c>
      <c r="B1522" s="1">
        <v>19</v>
      </c>
      <c r="C1522" s="1">
        <v>9.1999999999999993</v>
      </c>
      <c r="D1522" s="1">
        <v>2</v>
      </c>
      <c r="E1522" s="3">
        <v>0</v>
      </c>
      <c r="F1522" s="1" t="str">
        <f>_xlfn.XLOOKUP(A1522,Orders!A:A,Orders!B:B,"not found")</f>
        <v>SANTG</v>
      </c>
      <c r="G1522" s="13">
        <f>_xlfn.XLOOKUP(OrderDetails[[#This Row],[OrderID]],Orders!A:A,Orders!C:C,"Not Found")</f>
        <v>35809</v>
      </c>
      <c r="H1522" s="16">
        <f>(OrderDetails[[#This Row],[UnitPrice]]*OrderDetails[[#This Row],[Quantity]])*(1-OrderDetails[[#This Row],[Discount]])</f>
        <v>18.399999999999999</v>
      </c>
      <c r="I1522" s="15" t="str">
        <f>_xlfn.XLOOKUP(OrderDetails[[#This Row],[ProductID]],Product!A:A,Product!G:G,"Not Found")</f>
        <v>Confections</v>
      </c>
      <c r="J1522" s="15" t="str">
        <f>LOOKUP(MONTH(G1522),{1,4,7,10},{"Winter","Spring","Summer","Autumn"})</f>
        <v>Winter</v>
      </c>
      <c r="K1522" s="15" t="str">
        <f>_xlfn.XLOOKUP(OrderDetails[[#This Row],[ProductID]],Product!A:A,Product!B:B,"Not Found")</f>
        <v>Teatime Chocolate Biscuits</v>
      </c>
    </row>
    <row r="1523" spans="1:11">
      <c r="A1523" s="2">
        <v>10831</v>
      </c>
      <c r="B1523" s="2">
        <v>35</v>
      </c>
      <c r="C1523" s="2">
        <v>18</v>
      </c>
      <c r="D1523" s="2">
        <v>8</v>
      </c>
      <c r="E1523" s="4">
        <v>0</v>
      </c>
      <c r="F1523" s="1" t="str">
        <f>_xlfn.XLOOKUP(A1523,Orders!A:A,Orders!B:B,"not found")</f>
        <v>SANTG</v>
      </c>
      <c r="G1523" s="13">
        <f>_xlfn.XLOOKUP(OrderDetails[[#This Row],[OrderID]],Orders!A:A,Orders!C:C,"Not Found")</f>
        <v>35809</v>
      </c>
      <c r="H1523" s="16">
        <f>(OrderDetails[[#This Row],[UnitPrice]]*OrderDetails[[#This Row],[Quantity]])*(1-OrderDetails[[#This Row],[Discount]])</f>
        <v>144</v>
      </c>
      <c r="I1523" s="15" t="str">
        <f>_xlfn.XLOOKUP(OrderDetails[[#This Row],[ProductID]],Product!A:A,Product!G:G,"Not Found")</f>
        <v>Beverages</v>
      </c>
      <c r="J1523" s="15" t="str">
        <f>LOOKUP(MONTH(G1523),{1,4,7,10},{"Winter","Spring","Summer","Autumn"})</f>
        <v>Winter</v>
      </c>
      <c r="K1523" s="15" t="str">
        <f>_xlfn.XLOOKUP(OrderDetails[[#This Row],[ProductID]],Product!A:A,Product!B:B,"Not Found")</f>
        <v>Steeleye Stout</v>
      </c>
    </row>
    <row r="1524" spans="1:11">
      <c r="A1524" s="1">
        <v>10831</v>
      </c>
      <c r="B1524" s="1">
        <v>38</v>
      </c>
      <c r="C1524" s="1">
        <v>263.5</v>
      </c>
      <c r="D1524" s="1">
        <v>8</v>
      </c>
      <c r="E1524" s="3">
        <v>0</v>
      </c>
      <c r="F1524" s="1" t="str">
        <f>_xlfn.XLOOKUP(A1524,Orders!A:A,Orders!B:B,"not found")</f>
        <v>SANTG</v>
      </c>
      <c r="G1524" s="13">
        <f>_xlfn.XLOOKUP(OrderDetails[[#This Row],[OrderID]],Orders!A:A,Orders!C:C,"Not Found")</f>
        <v>35809</v>
      </c>
      <c r="H1524" s="16">
        <f>(OrderDetails[[#This Row],[UnitPrice]]*OrderDetails[[#This Row],[Quantity]])*(1-OrderDetails[[#This Row],[Discount]])</f>
        <v>2108</v>
      </c>
      <c r="I1524" s="15" t="str">
        <f>_xlfn.XLOOKUP(OrderDetails[[#This Row],[ProductID]],Product!A:A,Product!G:G,"Not Found")</f>
        <v>Beverages</v>
      </c>
      <c r="J1524" s="15" t="str">
        <f>LOOKUP(MONTH(G1524),{1,4,7,10},{"Winter","Spring","Summer","Autumn"})</f>
        <v>Winter</v>
      </c>
      <c r="K1524" s="15" t="str">
        <f>_xlfn.XLOOKUP(OrderDetails[[#This Row],[ProductID]],Product!A:A,Product!B:B,"Not Found")</f>
        <v>Côte de Blaye</v>
      </c>
    </row>
    <row r="1525" spans="1:11">
      <c r="A1525" s="2">
        <v>10831</v>
      </c>
      <c r="B1525" s="2">
        <v>43</v>
      </c>
      <c r="C1525" s="2">
        <v>46</v>
      </c>
      <c r="D1525" s="2">
        <v>9</v>
      </c>
      <c r="E1525" s="4">
        <v>0</v>
      </c>
      <c r="F1525" s="1" t="str">
        <f>_xlfn.XLOOKUP(A1525,Orders!A:A,Orders!B:B,"not found")</f>
        <v>SANTG</v>
      </c>
      <c r="G1525" s="13">
        <f>_xlfn.XLOOKUP(OrderDetails[[#This Row],[OrderID]],Orders!A:A,Orders!C:C,"Not Found")</f>
        <v>35809</v>
      </c>
      <c r="H1525" s="16">
        <f>(OrderDetails[[#This Row],[UnitPrice]]*OrderDetails[[#This Row],[Quantity]])*(1-OrderDetails[[#This Row],[Discount]])</f>
        <v>414</v>
      </c>
      <c r="I1525" s="15" t="str">
        <f>_xlfn.XLOOKUP(OrderDetails[[#This Row],[ProductID]],Product!A:A,Product!G:G,"Not Found")</f>
        <v>Beverages</v>
      </c>
      <c r="J1525" s="15" t="str">
        <f>LOOKUP(MONTH(G1525),{1,4,7,10},{"Winter","Spring","Summer","Autumn"})</f>
        <v>Winter</v>
      </c>
      <c r="K1525" s="15" t="str">
        <f>_xlfn.XLOOKUP(OrderDetails[[#This Row],[ProductID]],Product!A:A,Product!B:B,"Not Found")</f>
        <v>Ipoh Coffee</v>
      </c>
    </row>
    <row r="1526" spans="1:11">
      <c r="A1526" s="1">
        <v>10832</v>
      </c>
      <c r="B1526" s="1">
        <v>13</v>
      </c>
      <c r="C1526" s="1">
        <v>6</v>
      </c>
      <c r="D1526" s="1">
        <v>3</v>
      </c>
      <c r="E1526" s="3">
        <v>0.20000000298023224</v>
      </c>
      <c r="F1526" s="1" t="str">
        <f>_xlfn.XLOOKUP(A1526,Orders!A:A,Orders!B:B,"not found")</f>
        <v>LAMAI</v>
      </c>
      <c r="G1526" s="13">
        <f>_xlfn.XLOOKUP(OrderDetails[[#This Row],[OrderID]],Orders!A:A,Orders!C:C,"Not Found")</f>
        <v>35809</v>
      </c>
      <c r="H1526" s="16">
        <f>(OrderDetails[[#This Row],[UnitPrice]]*OrderDetails[[#This Row],[Quantity]])*(1-OrderDetails[[#This Row],[Discount]])</f>
        <v>14.39999994635582</v>
      </c>
      <c r="I1526" s="15" t="str">
        <f>_xlfn.XLOOKUP(OrderDetails[[#This Row],[ProductID]],Product!A:A,Product!G:G,"Not Found")</f>
        <v>Seafood</v>
      </c>
      <c r="J1526" s="15" t="str">
        <f>LOOKUP(MONTH(G1526),{1,4,7,10},{"Winter","Spring","Summer","Autumn"})</f>
        <v>Winter</v>
      </c>
      <c r="K1526" s="15" t="str">
        <f>_xlfn.XLOOKUP(OrderDetails[[#This Row],[ProductID]],Product!A:A,Product!B:B,"Not Found")</f>
        <v>Konbu</v>
      </c>
    </row>
    <row r="1527" spans="1:11">
      <c r="A1527" s="2">
        <v>10832</v>
      </c>
      <c r="B1527" s="2">
        <v>25</v>
      </c>
      <c r="C1527" s="2">
        <v>14</v>
      </c>
      <c r="D1527" s="2">
        <v>10</v>
      </c>
      <c r="E1527" s="4">
        <v>0.20000000298023224</v>
      </c>
      <c r="F1527" s="1" t="str">
        <f>_xlfn.XLOOKUP(A1527,Orders!A:A,Orders!B:B,"not found")</f>
        <v>LAMAI</v>
      </c>
      <c r="G1527" s="13">
        <f>_xlfn.XLOOKUP(OrderDetails[[#This Row],[OrderID]],Orders!A:A,Orders!C:C,"Not Found")</f>
        <v>35809</v>
      </c>
      <c r="H1527" s="16">
        <f>(OrderDetails[[#This Row],[UnitPrice]]*OrderDetails[[#This Row],[Quantity]])*(1-OrderDetails[[#This Row],[Discount]])</f>
        <v>111.99999958276749</v>
      </c>
      <c r="I1527" s="15" t="str">
        <f>_xlfn.XLOOKUP(OrderDetails[[#This Row],[ProductID]],Product!A:A,Product!G:G,"Not Found")</f>
        <v>Confections</v>
      </c>
      <c r="J1527" s="15" t="str">
        <f>LOOKUP(MONTH(G1527),{1,4,7,10},{"Winter","Spring","Summer","Autumn"})</f>
        <v>Winter</v>
      </c>
      <c r="K1527" s="15" t="str">
        <f>_xlfn.XLOOKUP(OrderDetails[[#This Row],[ProductID]],Product!A:A,Product!B:B,"Not Found")</f>
        <v>NuNuCa Nuß-Nougat-Creme</v>
      </c>
    </row>
    <row r="1528" spans="1:11">
      <c r="A1528" s="1">
        <v>10832</v>
      </c>
      <c r="B1528" s="1">
        <v>44</v>
      </c>
      <c r="C1528" s="1">
        <v>19.45</v>
      </c>
      <c r="D1528" s="1">
        <v>16</v>
      </c>
      <c r="E1528" s="3">
        <v>0.20000000298023224</v>
      </c>
      <c r="F1528" s="1" t="str">
        <f>_xlfn.XLOOKUP(A1528,Orders!A:A,Orders!B:B,"not found")</f>
        <v>LAMAI</v>
      </c>
      <c r="G1528" s="13">
        <f>_xlfn.XLOOKUP(OrderDetails[[#This Row],[OrderID]],Orders!A:A,Orders!C:C,"Not Found")</f>
        <v>35809</v>
      </c>
      <c r="H1528" s="16">
        <f>(OrderDetails[[#This Row],[UnitPrice]]*OrderDetails[[#This Row],[Quantity]])*(1-OrderDetails[[#This Row],[Discount]])</f>
        <v>248.95999907255171</v>
      </c>
      <c r="I1528" s="15" t="str">
        <f>_xlfn.XLOOKUP(OrderDetails[[#This Row],[ProductID]],Product!A:A,Product!G:G,"Not Found")</f>
        <v>Condiments</v>
      </c>
      <c r="J1528" s="15" t="str">
        <f>LOOKUP(MONTH(G1528),{1,4,7,10},{"Winter","Spring","Summer","Autumn"})</f>
        <v>Winter</v>
      </c>
      <c r="K1528" s="15" t="str">
        <f>_xlfn.XLOOKUP(OrderDetails[[#This Row],[ProductID]],Product!A:A,Product!B:B,"Not Found")</f>
        <v>Gula Malacca</v>
      </c>
    </row>
    <row r="1529" spans="1:11">
      <c r="A1529" s="2">
        <v>10832</v>
      </c>
      <c r="B1529" s="2">
        <v>64</v>
      </c>
      <c r="C1529" s="2">
        <v>33.25</v>
      </c>
      <c r="D1529" s="2">
        <v>3</v>
      </c>
      <c r="E1529" s="4">
        <v>0</v>
      </c>
      <c r="F1529" s="1" t="str">
        <f>_xlfn.XLOOKUP(A1529,Orders!A:A,Orders!B:B,"not found")</f>
        <v>LAMAI</v>
      </c>
      <c r="G1529" s="13">
        <f>_xlfn.XLOOKUP(OrderDetails[[#This Row],[OrderID]],Orders!A:A,Orders!C:C,"Not Found")</f>
        <v>35809</v>
      </c>
      <c r="H1529" s="16">
        <f>(OrderDetails[[#This Row],[UnitPrice]]*OrderDetails[[#This Row],[Quantity]])*(1-OrderDetails[[#This Row],[Discount]])</f>
        <v>99.75</v>
      </c>
      <c r="I1529" s="15" t="str">
        <f>_xlfn.XLOOKUP(OrderDetails[[#This Row],[ProductID]],Product!A:A,Product!G:G,"Not Found")</f>
        <v>Grains/Cereals</v>
      </c>
      <c r="J1529" s="15" t="str">
        <f>LOOKUP(MONTH(G1529),{1,4,7,10},{"Winter","Spring","Summer","Autumn"})</f>
        <v>Winter</v>
      </c>
      <c r="K1529" s="15" t="str">
        <f>_xlfn.XLOOKUP(OrderDetails[[#This Row],[ProductID]],Product!A:A,Product!B:B,"Not Found")</f>
        <v>Wimmers gute Semmelknödel</v>
      </c>
    </row>
    <row r="1530" spans="1:11">
      <c r="A1530" s="1">
        <v>10833</v>
      </c>
      <c r="B1530" s="1">
        <v>7</v>
      </c>
      <c r="C1530" s="1">
        <v>30</v>
      </c>
      <c r="D1530" s="1">
        <v>20</v>
      </c>
      <c r="E1530" s="3">
        <v>0.10000000149011612</v>
      </c>
      <c r="F1530" s="1" t="str">
        <f>_xlfn.XLOOKUP(A1530,Orders!A:A,Orders!B:B,"not found")</f>
        <v>OTTIK</v>
      </c>
      <c r="G1530" s="13">
        <f>_xlfn.XLOOKUP(OrderDetails[[#This Row],[OrderID]],Orders!A:A,Orders!C:C,"Not Found")</f>
        <v>35810</v>
      </c>
      <c r="H1530" s="16">
        <f>(OrderDetails[[#This Row],[UnitPrice]]*OrderDetails[[#This Row],[Quantity]])*(1-OrderDetails[[#This Row],[Discount]])</f>
        <v>539.99999910593033</v>
      </c>
      <c r="I1530" s="15" t="str">
        <f>_xlfn.XLOOKUP(OrderDetails[[#This Row],[ProductID]],Product!A:A,Product!G:G,"Not Found")</f>
        <v>Produce</v>
      </c>
      <c r="J1530" s="15" t="str">
        <f>LOOKUP(MONTH(G1530),{1,4,7,10},{"Winter","Spring","Summer","Autumn"})</f>
        <v>Winter</v>
      </c>
      <c r="K1530" s="15" t="str">
        <f>_xlfn.XLOOKUP(OrderDetails[[#This Row],[ProductID]],Product!A:A,Product!B:B,"Not Found")</f>
        <v>Uncle Bob's Organic Dried Pears</v>
      </c>
    </row>
    <row r="1531" spans="1:11">
      <c r="A1531" s="2">
        <v>10833</v>
      </c>
      <c r="B1531" s="2">
        <v>31</v>
      </c>
      <c r="C1531" s="2">
        <v>12.5</v>
      </c>
      <c r="D1531" s="2">
        <v>9</v>
      </c>
      <c r="E1531" s="4">
        <v>0.10000000149011612</v>
      </c>
      <c r="F1531" s="1" t="str">
        <f>_xlfn.XLOOKUP(A1531,Orders!A:A,Orders!B:B,"not found")</f>
        <v>OTTIK</v>
      </c>
      <c r="G1531" s="13">
        <f>_xlfn.XLOOKUP(OrderDetails[[#This Row],[OrderID]],Orders!A:A,Orders!C:C,"Not Found")</f>
        <v>35810</v>
      </c>
      <c r="H1531" s="16">
        <f>(OrderDetails[[#This Row],[UnitPrice]]*OrderDetails[[#This Row],[Quantity]])*(1-OrderDetails[[#This Row],[Discount]])</f>
        <v>101.24999983236194</v>
      </c>
      <c r="I1531" s="15" t="str">
        <f>_xlfn.XLOOKUP(OrderDetails[[#This Row],[ProductID]],Product!A:A,Product!G:G,"Not Found")</f>
        <v>Dairy Products</v>
      </c>
      <c r="J1531" s="15" t="str">
        <f>LOOKUP(MONTH(G1531),{1,4,7,10},{"Winter","Spring","Summer","Autumn"})</f>
        <v>Winter</v>
      </c>
      <c r="K1531" s="15" t="str">
        <f>_xlfn.XLOOKUP(OrderDetails[[#This Row],[ProductID]],Product!A:A,Product!B:B,"Not Found")</f>
        <v>Gorgonzola Telino</v>
      </c>
    </row>
    <row r="1532" spans="1:11">
      <c r="A1532" s="1">
        <v>10833</v>
      </c>
      <c r="B1532" s="1">
        <v>53</v>
      </c>
      <c r="C1532" s="1">
        <v>32.799999999999997</v>
      </c>
      <c r="D1532" s="1">
        <v>9</v>
      </c>
      <c r="E1532" s="3">
        <v>0.10000000149011612</v>
      </c>
      <c r="F1532" s="1" t="str">
        <f>_xlfn.XLOOKUP(A1532,Orders!A:A,Orders!B:B,"not found")</f>
        <v>OTTIK</v>
      </c>
      <c r="G1532" s="13">
        <f>_xlfn.XLOOKUP(OrderDetails[[#This Row],[OrderID]],Orders!A:A,Orders!C:C,"Not Found")</f>
        <v>35810</v>
      </c>
      <c r="H1532" s="16">
        <f>(OrderDetails[[#This Row],[UnitPrice]]*OrderDetails[[#This Row],[Quantity]])*(1-OrderDetails[[#This Row],[Discount]])</f>
        <v>265.67999956011772</v>
      </c>
      <c r="I1532" s="15" t="str">
        <f>_xlfn.XLOOKUP(OrderDetails[[#This Row],[ProductID]],Product!A:A,Product!G:G,"Not Found")</f>
        <v>Meat/Poultry</v>
      </c>
      <c r="J1532" s="15" t="str">
        <f>LOOKUP(MONTH(G1532),{1,4,7,10},{"Winter","Spring","Summer","Autumn"})</f>
        <v>Winter</v>
      </c>
      <c r="K1532" s="15" t="str">
        <f>_xlfn.XLOOKUP(OrderDetails[[#This Row],[ProductID]],Product!A:A,Product!B:B,"Not Found")</f>
        <v>Perth Pasties</v>
      </c>
    </row>
    <row r="1533" spans="1:11">
      <c r="A1533" s="2">
        <v>10834</v>
      </c>
      <c r="B1533" s="2">
        <v>29</v>
      </c>
      <c r="C1533" s="2">
        <v>123.79</v>
      </c>
      <c r="D1533" s="2">
        <v>8</v>
      </c>
      <c r="E1533" s="4">
        <v>5.000000074505806E-2</v>
      </c>
      <c r="F1533" s="1" t="str">
        <f>_xlfn.XLOOKUP(A1533,Orders!A:A,Orders!B:B,"not found")</f>
        <v>TRADH</v>
      </c>
      <c r="G1533" s="13">
        <f>_xlfn.XLOOKUP(OrderDetails[[#This Row],[OrderID]],Orders!A:A,Orders!C:C,"Not Found")</f>
        <v>35810</v>
      </c>
      <c r="H1533" s="16">
        <f>(OrderDetails[[#This Row],[UnitPrice]]*OrderDetails[[#This Row],[Quantity]])*(1-OrderDetails[[#This Row],[Discount]])</f>
        <v>940.80399926215409</v>
      </c>
      <c r="I1533" s="15" t="str">
        <f>_xlfn.XLOOKUP(OrderDetails[[#This Row],[ProductID]],Product!A:A,Product!G:G,"Not Found")</f>
        <v>Meat/Poultry</v>
      </c>
      <c r="J1533" s="15" t="str">
        <f>LOOKUP(MONTH(G1533),{1,4,7,10},{"Winter","Spring","Summer","Autumn"})</f>
        <v>Winter</v>
      </c>
      <c r="K1533" s="15" t="str">
        <f>_xlfn.XLOOKUP(OrderDetails[[#This Row],[ProductID]],Product!A:A,Product!B:B,"Not Found")</f>
        <v>Thüringer Rostbratwurst</v>
      </c>
    </row>
    <row r="1534" spans="1:11">
      <c r="A1534" s="1">
        <v>10834</v>
      </c>
      <c r="B1534" s="1">
        <v>30</v>
      </c>
      <c r="C1534" s="1">
        <v>25.89</v>
      </c>
      <c r="D1534" s="1">
        <v>20</v>
      </c>
      <c r="E1534" s="3">
        <v>5.000000074505806E-2</v>
      </c>
      <c r="F1534" s="1" t="str">
        <f>_xlfn.XLOOKUP(A1534,Orders!A:A,Orders!B:B,"not found")</f>
        <v>TRADH</v>
      </c>
      <c r="G1534" s="13">
        <f>_xlfn.XLOOKUP(OrderDetails[[#This Row],[OrderID]],Orders!A:A,Orders!C:C,"Not Found")</f>
        <v>35810</v>
      </c>
      <c r="H1534" s="16">
        <f>(OrderDetails[[#This Row],[UnitPrice]]*OrderDetails[[#This Row],[Quantity]])*(1-OrderDetails[[#This Row],[Discount]])</f>
        <v>491.90999961420891</v>
      </c>
      <c r="I1534" s="15" t="str">
        <f>_xlfn.XLOOKUP(OrderDetails[[#This Row],[ProductID]],Product!A:A,Product!G:G,"Not Found")</f>
        <v>Seafood</v>
      </c>
      <c r="J1534" s="15" t="str">
        <f>LOOKUP(MONTH(G1534),{1,4,7,10},{"Winter","Spring","Summer","Autumn"})</f>
        <v>Winter</v>
      </c>
      <c r="K1534" s="15" t="str">
        <f>_xlfn.XLOOKUP(OrderDetails[[#This Row],[ProductID]],Product!A:A,Product!B:B,"Not Found")</f>
        <v>Nord-Ost Matjeshering</v>
      </c>
    </row>
    <row r="1535" spans="1:11">
      <c r="A1535" s="2">
        <v>10835</v>
      </c>
      <c r="B1535" s="2">
        <v>59</v>
      </c>
      <c r="C1535" s="2">
        <v>55</v>
      </c>
      <c r="D1535" s="2">
        <v>15</v>
      </c>
      <c r="E1535" s="4">
        <v>0</v>
      </c>
      <c r="F1535" s="1" t="str">
        <f>_xlfn.XLOOKUP(A1535,Orders!A:A,Orders!B:B,"not found")</f>
        <v>ALFKI</v>
      </c>
      <c r="G1535" s="13">
        <f>_xlfn.XLOOKUP(OrderDetails[[#This Row],[OrderID]],Orders!A:A,Orders!C:C,"Not Found")</f>
        <v>35810</v>
      </c>
      <c r="H1535" s="16">
        <f>(OrderDetails[[#This Row],[UnitPrice]]*OrderDetails[[#This Row],[Quantity]])*(1-OrderDetails[[#This Row],[Discount]])</f>
        <v>825</v>
      </c>
      <c r="I1535" s="15" t="str">
        <f>_xlfn.XLOOKUP(OrderDetails[[#This Row],[ProductID]],Product!A:A,Product!G:G,"Not Found")</f>
        <v>Dairy Products</v>
      </c>
      <c r="J1535" s="15" t="str">
        <f>LOOKUP(MONTH(G1535),{1,4,7,10},{"Winter","Spring","Summer","Autumn"})</f>
        <v>Winter</v>
      </c>
      <c r="K1535" s="15" t="str">
        <f>_xlfn.XLOOKUP(OrderDetails[[#This Row],[ProductID]],Product!A:A,Product!B:B,"Not Found")</f>
        <v>Raclette Courdavault</v>
      </c>
    </row>
    <row r="1536" spans="1:11">
      <c r="A1536" s="1">
        <v>10835</v>
      </c>
      <c r="B1536" s="1">
        <v>77</v>
      </c>
      <c r="C1536" s="1">
        <v>13</v>
      </c>
      <c r="D1536" s="1">
        <v>2</v>
      </c>
      <c r="E1536" s="3">
        <v>0.20000000298023224</v>
      </c>
      <c r="F1536" s="1" t="str">
        <f>_xlfn.XLOOKUP(A1536,Orders!A:A,Orders!B:B,"not found")</f>
        <v>ALFKI</v>
      </c>
      <c r="G1536" s="13">
        <f>_xlfn.XLOOKUP(OrderDetails[[#This Row],[OrderID]],Orders!A:A,Orders!C:C,"Not Found")</f>
        <v>35810</v>
      </c>
      <c r="H1536" s="16">
        <f>(OrderDetails[[#This Row],[UnitPrice]]*OrderDetails[[#This Row],[Quantity]])*(1-OrderDetails[[#This Row],[Discount]])</f>
        <v>20.799999922513962</v>
      </c>
      <c r="I1536" s="15" t="str">
        <f>_xlfn.XLOOKUP(OrderDetails[[#This Row],[ProductID]],Product!A:A,Product!G:G,"Not Found")</f>
        <v>Condiments</v>
      </c>
      <c r="J1536" s="15" t="str">
        <f>LOOKUP(MONTH(G1536),{1,4,7,10},{"Winter","Spring","Summer","Autumn"})</f>
        <v>Winter</v>
      </c>
      <c r="K1536" s="15" t="str">
        <f>_xlfn.XLOOKUP(OrderDetails[[#This Row],[ProductID]],Product!A:A,Product!B:B,"Not Found")</f>
        <v>Original Frankfurter grüne Soße</v>
      </c>
    </row>
    <row r="1537" spans="1:11">
      <c r="A1537" s="2">
        <v>10836</v>
      </c>
      <c r="B1537" s="2">
        <v>22</v>
      </c>
      <c r="C1537" s="2">
        <v>21</v>
      </c>
      <c r="D1537" s="2">
        <v>52</v>
      </c>
      <c r="E1537" s="4">
        <v>0</v>
      </c>
      <c r="F1537" s="1" t="str">
        <f>_xlfn.XLOOKUP(A1537,Orders!A:A,Orders!B:B,"not found")</f>
        <v>ERNSH</v>
      </c>
      <c r="G1537" s="13">
        <f>_xlfn.XLOOKUP(OrderDetails[[#This Row],[OrderID]],Orders!A:A,Orders!C:C,"Not Found")</f>
        <v>35811</v>
      </c>
      <c r="H1537" s="16">
        <f>(OrderDetails[[#This Row],[UnitPrice]]*OrderDetails[[#This Row],[Quantity]])*(1-OrderDetails[[#This Row],[Discount]])</f>
        <v>1092</v>
      </c>
      <c r="I1537" s="15" t="str">
        <f>_xlfn.XLOOKUP(OrderDetails[[#This Row],[ProductID]],Product!A:A,Product!G:G,"Not Found")</f>
        <v>Grains/Cereals</v>
      </c>
      <c r="J1537" s="15" t="str">
        <f>LOOKUP(MONTH(G1537),{1,4,7,10},{"Winter","Spring","Summer","Autumn"})</f>
        <v>Winter</v>
      </c>
      <c r="K1537" s="15" t="str">
        <f>_xlfn.XLOOKUP(OrderDetails[[#This Row],[ProductID]],Product!A:A,Product!B:B,"Not Found")</f>
        <v>Gustaf's Knäckebröd</v>
      </c>
    </row>
    <row r="1538" spans="1:11">
      <c r="A1538" s="1">
        <v>10836</v>
      </c>
      <c r="B1538" s="1">
        <v>35</v>
      </c>
      <c r="C1538" s="1">
        <v>18</v>
      </c>
      <c r="D1538" s="1">
        <v>6</v>
      </c>
      <c r="E1538" s="3">
        <v>0</v>
      </c>
      <c r="F1538" s="1" t="str">
        <f>_xlfn.XLOOKUP(A1538,Orders!A:A,Orders!B:B,"not found")</f>
        <v>ERNSH</v>
      </c>
      <c r="G1538" s="13">
        <f>_xlfn.XLOOKUP(OrderDetails[[#This Row],[OrderID]],Orders!A:A,Orders!C:C,"Not Found")</f>
        <v>35811</v>
      </c>
      <c r="H1538" s="16">
        <f>(OrderDetails[[#This Row],[UnitPrice]]*OrderDetails[[#This Row],[Quantity]])*(1-OrderDetails[[#This Row],[Discount]])</f>
        <v>108</v>
      </c>
      <c r="I1538" s="15" t="str">
        <f>_xlfn.XLOOKUP(OrderDetails[[#This Row],[ProductID]],Product!A:A,Product!G:G,"Not Found")</f>
        <v>Beverages</v>
      </c>
      <c r="J1538" s="15" t="str">
        <f>LOOKUP(MONTH(G1538),{1,4,7,10},{"Winter","Spring","Summer","Autumn"})</f>
        <v>Winter</v>
      </c>
      <c r="K1538" s="15" t="str">
        <f>_xlfn.XLOOKUP(OrderDetails[[#This Row],[ProductID]],Product!A:A,Product!B:B,"Not Found")</f>
        <v>Steeleye Stout</v>
      </c>
    </row>
    <row r="1539" spans="1:11">
      <c r="A1539" s="2">
        <v>10836</v>
      </c>
      <c r="B1539" s="2">
        <v>57</v>
      </c>
      <c r="C1539" s="2">
        <v>19.5</v>
      </c>
      <c r="D1539" s="2">
        <v>24</v>
      </c>
      <c r="E1539" s="4">
        <v>0</v>
      </c>
      <c r="F1539" s="1" t="str">
        <f>_xlfn.XLOOKUP(A1539,Orders!A:A,Orders!B:B,"not found")</f>
        <v>ERNSH</v>
      </c>
      <c r="G1539" s="13">
        <f>_xlfn.XLOOKUP(OrderDetails[[#This Row],[OrderID]],Orders!A:A,Orders!C:C,"Not Found")</f>
        <v>35811</v>
      </c>
      <c r="H1539" s="16">
        <f>(OrderDetails[[#This Row],[UnitPrice]]*OrderDetails[[#This Row],[Quantity]])*(1-OrderDetails[[#This Row],[Discount]])</f>
        <v>468</v>
      </c>
      <c r="I1539" s="15" t="str">
        <f>_xlfn.XLOOKUP(OrderDetails[[#This Row],[ProductID]],Product!A:A,Product!G:G,"Not Found")</f>
        <v>Grains/Cereals</v>
      </c>
      <c r="J1539" s="15" t="str">
        <f>LOOKUP(MONTH(G1539),{1,4,7,10},{"Winter","Spring","Summer","Autumn"})</f>
        <v>Winter</v>
      </c>
      <c r="K1539" s="15" t="str">
        <f>_xlfn.XLOOKUP(OrderDetails[[#This Row],[ProductID]],Product!A:A,Product!B:B,"Not Found")</f>
        <v>Ravioli Angelo</v>
      </c>
    </row>
    <row r="1540" spans="1:11">
      <c r="A1540" s="1">
        <v>10836</v>
      </c>
      <c r="B1540" s="1">
        <v>60</v>
      </c>
      <c r="C1540" s="1">
        <v>34</v>
      </c>
      <c r="D1540" s="1">
        <v>60</v>
      </c>
      <c r="E1540" s="3">
        <v>0</v>
      </c>
      <c r="F1540" s="1" t="str">
        <f>_xlfn.XLOOKUP(A1540,Orders!A:A,Orders!B:B,"not found")</f>
        <v>ERNSH</v>
      </c>
      <c r="G1540" s="13">
        <f>_xlfn.XLOOKUP(OrderDetails[[#This Row],[OrderID]],Orders!A:A,Orders!C:C,"Not Found")</f>
        <v>35811</v>
      </c>
      <c r="H1540" s="16">
        <f>(OrderDetails[[#This Row],[UnitPrice]]*OrderDetails[[#This Row],[Quantity]])*(1-OrderDetails[[#This Row],[Discount]])</f>
        <v>2040</v>
      </c>
      <c r="I1540" s="15" t="str">
        <f>_xlfn.XLOOKUP(OrderDetails[[#This Row],[ProductID]],Product!A:A,Product!G:G,"Not Found")</f>
        <v>Dairy Products</v>
      </c>
      <c r="J1540" s="15" t="str">
        <f>LOOKUP(MONTH(G1540),{1,4,7,10},{"Winter","Spring","Summer","Autumn"})</f>
        <v>Winter</v>
      </c>
      <c r="K1540" s="15" t="str">
        <f>_xlfn.XLOOKUP(OrderDetails[[#This Row],[ProductID]],Product!A:A,Product!B:B,"Not Found")</f>
        <v>Camembert Pierrot</v>
      </c>
    </row>
    <row r="1541" spans="1:11">
      <c r="A1541" s="2">
        <v>10836</v>
      </c>
      <c r="B1541" s="2">
        <v>64</v>
      </c>
      <c r="C1541" s="2">
        <v>33.25</v>
      </c>
      <c r="D1541" s="2">
        <v>30</v>
      </c>
      <c r="E1541" s="4">
        <v>0</v>
      </c>
      <c r="F1541" s="1" t="str">
        <f>_xlfn.XLOOKUP(A1541,Orders!A:A,Orders!B:B,"not found")</f>
        <v>ERNSH</v>
      </c>
      <c r="G1541" s="13">
        <f>_xlfn.XLOOKUP(OrderDetails[[#This Row],[OrderID]],Orders!A:A,Orders!C:C,"Not Found")</f>
        <v>35811</v>
      </c>
      <c r="H1541" s="16">
        <f>(OrderDetails[[#This Row],[UnitPrice]]*OrderDetails[[#This Row],[Quantity]])*(1-OrderDetails[[#This Row],[Discount]])</f>
        <v>997.5</v>
      </c>
      <c r="I1541" s="15" t="str">
        <f>_xlfn.XLOOKUP(OrderDetails[[#This Row],[ProductID]],Product!A:A,Product!G:G,"Not Found")</f>
        <v>Grains/Cereals</v>
      </c>
      <c r="J1541" s="15" t="str">
        <f>LOOKUP(MONTH(G1541),{1,4,7,10},{"Winter","Spring","Summer","Autumn"})</f>
        <v>Winter</v>
      </c>
      <c r="K1541" s="15" t="str">
        <f>_xlfn.XLOOKUP(OrderDetails[[#This Row],[ProductID]],Product!A:A,Product!B:B,"Not Found")</f>
        <v>Wimmers gute Semmelknödel</v>
      </c>
    </row>
    <row r="1542" spans="1:11">
      <c r="A1542" s="1">
        <v>10837</v>
      </c>
      <c r="B1542" s="1">
        <v>13</v>
      </c>
      <c r="C1542" s="1">
        <v>6</v>
      </c>
      <c r="D1542" s="1">
        <v>6</v>
      </c>
      <c r="E1542" s="3">
        <v>0</v>
      </c>
      <c r="F1542" s="1" t="str">
        <f>_xlfn.XLOOKUP(A1542,Orders!A:A,Orders!B:B,"not found")</f>
        <v>BERGS</v>
      </c>
      <c r="G1542" s="13">
        <f>_xlfn.XLOOKUP(OrderDetails[[#This Row],[OrderID]],Orders!A:A,Orders!C:C,"Not Found")</f>
        <v>35811</v>
      </c>
      <c r="H1542" s="16">
        <f>(OrderDetails[[#This Row],[UnitPrice]]*OrderDetails[[#This Row],[Quantity]])*(1-OrderDetails[[#This Row],[Discount]])</f>
        <v>36</v>
      </c>
      <c r="I1542" s="15" t="str">
        <f>_xlfn.XLOOKUP(OrderDetails[[#This Row],[ProductID]],Product!A:A,Product!G:G,"Not Found")</f>
        <v>Seafood</v>
      </c>
      <c r="J1542" s="15" t="str">
        <f>LOOKUP(MONTH(G1542),{1,4,7,10},{"Winter","Spring","Summer","Autumn"})</f>
        <v>Winter</v>
      </c>
      <c r="K1542" s="15" t="str">
        <f>_xlfn.XLOOKUP(OrderDetails[[#This Row],[ProductID]],Product!A:A,Product!B:B,"Not Found")</f>
        <v>Konbu</v>
      </c>
    </row>
    <row r="1543" spans="1:11">
      <c r="A1543" s="2">
        <v>10837</v>
      </c>
      <c r="B1543" s="2">
        <v>40</v>
      </c>
      <c r="C1543" s="2">
        <v>18.399999999999999</v>
      </c>
      <c r="D1543" s="2">
        <v>25</v>
      </c>
      <c r="E1543" s="4">
        <v>0</v>
      </c>
      <c r="F1543" s="1" t="str">
        <f>_xlfn.XLOOKUP(A1543,Orders!A:A,Orders!B:B,"not found")</f>
        <v>BERGS</v>
      </c>
      <c r="G1543" s="13">
        <f>_xlfn.XLOOKUP(OrderDetails[[#This Row],[OrderID]],Orders!A:A,Orders!C:C,"Not Found")</f>
        <v>35811</v>
      </c>
      <c r="H1543" s="16">
        <f>(OrderDetails[[#This Row],[UnitPrice]]*OrderDetails[[#This Row],[Quantity]])*(1-OrderDetails[[#This Row],[Discount]])</f>
        <v>459.99999999999994</v>
      </c>
      <c r="I1543" s="15" t="str">
        <f>_xlfn.XLOOKUP(OrderDetails[[#This Row],[ProductID]],Product!A:A,Product!G:G,"Not Found")</f>
        <v>Seafood</v>
      </c>
      <c r="J1543" s="15" t="str">
        <f>LOOKUP(MONTH(G1543),{1,4,7,10},{"Winter","Spring","Summer","Autumn"})</f>
        <v>Winter</v>
      </c>
      <c r="K1543" s="15" t="str">
        <f>_xlfn.XLOOKUP(OrderDetails[[#This Row],[ProductID]],Product!A:A,Product!B:B,"Not Found")</f>
        <v>Boston Crab Meat</v>
      </c>
    </row>
    <row r="1544" spans="1:11">
      <c r="A1544" s="1">
        <v>10837</v>
      </c>
      <c r="B1544" s="1">
        <v>47</v>
      </c>
      <c r="C1544" s="1">
        <v>9.5</v>
      </c>
      <c r="D1544" s="1">
        <v>40</v>
      </c>
      <c r="E1544" s="3">
        <v>0.25</v>
      </c>
      <c r="F1544" s="1" t="str">
        <f>_xlfn.XLOOKUP(A1544,Orders!A:A,Orders!B:B,"not found")</f>
        <v>BERGS</v>
      </c>
      <c r="G1544" s="13">
        <f>_xlfn.XLOOKUP(OrderDetails[[#This Row],[OrderID]],Orders!A:A,Orders!C:C,"Not Found")</f>
        <v>35811</v>
      </c>
      <c r="H1544" s="16">
        <f>(OrderDetails[[#This Row],[UnitPrice]]*OrderDetails[[#This Row],[Quantity]])*(1-OrderDetails[[#This Row],[Discount]])</f>
        <v>285</v>
      </c>
      <c r="I1544" s="15" t="str">
        <f>_xlfn.XLOOKUP(OrderDetails[[#This Row],[ProductID]],Product!A:A,Product!G:G,"Not Found")</f>
        <v>Confections</v>
      </c>
      <c r="J1544" s="15" t="str">
        <f>LOOKUP(MONTH(G1544),{1,4,7,10},{"Winter","Spring","Summer","Autumn"})</f>
        <v>Winter</v>
      </c>
      <c r="K1544" s="15" t="str">
        <f>_xlfn.XLOOKUP(OrderDetails[[#This Row],[ProductID]],Product!A:A,Product!B:B,"Not Found")</f>
        <v>Zaanse koeken</v>
      </c>
    </row>
    <row r="1545" spans="1:11">
      <c r="A1545" s="2">
        <v>10837</v>
      </c>
      <c r="B1545" s="2">
        <v>76</v>
      </c>
      <c r="C1545" s="2">
        <v>18</v>
      </c>
      <c r="D1545" s="2">
        <v>21</v>
      </c>
      <c r="E1545" s="4">
        <v>0.25</v>
      </c>
      <c r="F1545" s="1" t="str">
        <f>_xlfn.XLOOKUP(A1545,Orders!A:A,Orders!B:B,"not found")</f>
        <v>BERGS</v>
      </c>
      <c r="G1545" s="13">
        <f>_xlfn.XLOOKUP(OrderDetails[[#This Row],[OrderID]],Orders!A:A,Orders!C:C,"Not Found")</f>
        <v>35811</v>
      </c>
      <c r="H1545" s="16">
        <f>(OrderDetails[[#This Row],[UnitPrice]]*OrderDetails[[#This Row],[Quantity]])*(1-OrderDetails[[#This Row],[Discount]])</f>
        <v>283.5</v>
      </c>
      <c r="I1545" s="15" t="str">
        <f>_xlfn.XLOOKUP(OrderDetails[[#This Row],[ProductID]],Product!A:A,Product!G:G,"Not Found")</f>
        <v>Beverages</v>
      </c>
      <c r="J1545" s="15" t="str">
        <f>LOOKUP(MONTH(G1545),{1,4,7,10},{"Winter","Spring","Summer","Autumn"})</f>
        <v>Winter</v>
      </c>
      <c r="K1545" s="15" t="str">
        <f>_xlfn.XLOOKUP(OrderDetails[[#This Row],[ProductID]],Product!A:A,Product!B:B,"Not Found")</f>
        <v>Lakkalikööri</v>
      </c>
    </row>
    <row r="1546" spans="1:11">
      <c r="A1546" s="1">
        <v>10838</v>
      </c>
      <c r="B1546" s="1">
        <v>1</v>
      </c>
      <c r="C1546" s="1">
        <v>18</v>
      </c>
      <c r="D1546" s="1">
        <v>4</v>
      </c>
      <c r="E1546" s="3">
        <v>0.25</v>
      </c>
      <c r="F1546" s="1" t="str">
        <f>_xlfn.XLOOKUP(A1546,Orders!A:A,Orders!B:B,"not found")</f>
        <v>LINOD</v>
      </c>
      <c r="G1546" s="13">
        <f>_xlfn.XLOOKUP(OrderDetails[[#This Row],[OrderID]],Orders!A:A,Orders!C:C,"Not Found")</f>
        <v>35814</v>
      </c>
      <c r="H1546" s="16">
        <f>(OrderDetails[[#This Row],[UnitPrice]]*OrderDetails[[#This Row],[Quantity]])*(1-OrderDetails[[#This Row],[Discount]])</f>
        <v>54</v>
      </c>
      <c r="I1546" s="15" t="str">
        <f>_xlfn.XLOOKUP(OrderDetails[[#This Row],[ProductID]],Product!A:A,Product!G:G,"Not Found")</f>
        <v>Beverages</v>
      </c>
      <c r="J1546" s="15" t="str">
        <f>LOOKUP(MONTH(G1546),{1,4,7,10},{"Winter","Spring","Summer","Autumn"})</f>
        <v>Winter</v>
      </c>
      <c r="K1546" s="15" t="str">
        <f>_xlfn.XLOOKUP(OrderDetails[[#This Row],[ProductID]],Product!A:A,Product!B:B,"Not Found")</f>
        <v>Chai</v>
      </c>
    </row>
    <row r="1547" spans="1:11">
      <c r="A1547" s="2">
        <v>10838</v>
      </c>
      <c r="B1547" s="2">
        <v>18</v>
      </c>
      <c r="C1547" s="2">
        <v>62.5</v>
      </c>
      <c r="D1547" s="2">
        <v>25</v>
      </c>
      <c r="E1547" s="4">
        <v>0.25</v>
      </c>
      <c r="F1547" s="1" t="str">
        <f>_xlfn.XLOOKUP(A1547,Orders!A:A,Orders!B:B,"not found")</f>
        <v>LINOD</v>
      </c>
      <c r="G1547" s="13">
        <f>_xlfn.XLOOKUP(OrderDetails[[#This Row],[OrderID]],Orders!A:A,Orders!C:C,"Not Found")</f>
        <v>35814</v>
      </c>
      <c r="H1547" s="16">
        <f>(OrderDetails[[#This Row],[UnitPrice]]*OrderDetails[[#This Row],[Quantity]])*(1-OrderDetails[[#This Row],[Discount]])</f>
        <v>1171.875</v>
      </c>
      <c r="I1547" s="15" t="str">
        <f>_xlfn.XLOOKUP(OrderDetails[[#This Row],[ProductID]],Product!A:A,Product!G:G,"Not Found")</f>
        <v>Seafood</v>
      </c>
      <c r="J1547" s="15" t="str">
        <f>LOOKUP(MONTH(G1547),{1,4,7,10},{"Winter","Spring","Summer","Autumn"})</f>
        <v>Winter</v>
      </c>
      <c r="K1547" s="15" t="str">
        <f>_xlfn.XLOOKUP(OrderDetails[[#This Row],[ProductID]],Product!A:A,Product!B:B,"Not Found")</f>
        <v>Carnarvon Tigers</v>
      </c>
    </row>
    <row r="1548" spans="1:11">
      <c r="A1548" s="1">
        <v>10838</v>
      </c>
      <c r="B1548" s="1">
        <v>36</v>
      </c>
      <c r="C1548" s="1">
        <v>19</v>
      </c>
      <c r="D1548" s="1">
        <v>50</v>
      </c>
      <c r="E1548" s="3">
        <v>0.25</v>
      </c>
      <c r="F1548" s="1" t="str">
        <f>_xlfn.XLOOKUP(A1548,Orders!A:A,Orders!B:B,"not found")</f>
        <v>LINOD</v>
      </c>
      <c r="G1548" s="13">
        <f>_xlfn.XLOOKUP(OrderDetails[[#This Row],[OrderID]],Orders!A:A,Orders!C:C,"Not Found")</f>
        <v>35814</v>
      </c>
      <c r="H1548" s="16">
        <f>(OrderDetails[[#This Row],[UnitPrice]]*OrderDetails[[#This Row],[Quantity]])*(1-OrderDetails[[#This Row],[Discount]])</f>
        <v>712.5</v>
      </c>
      <c r="I1548" s="15" t="str">
        <f>_xlfn.XLOOKUP(OrderDetails[[#This Row],[ProductID]],Product!A:A,Product!G:G,"Not Found")</f>
        <v>Seafood</v>
      </c>
      <c r="J1548" s="15" t="str">
        <f>LOOKUP(MONTH(G1548),{1,4,7,10},{"Winter","Spring","Summer","Autumn"})</f>
        <v>Winter</v>
      </c>
      <c r="K1548" s="15" t="str">
        <f>_xlfn.XLOOKUP(OrderDetails[[#This Row],[ProductID]],Product!A:A,Product!B:B,"Not Found")</f>
        <v>Inlagd Sill</v>
      </c>
    </row>
    <row r="1549" spans="1:11">
      <c r="A1549" s="2">
        <v>10839</v>
      </c>
      <c r="B1549" s="2">
        <v>58</v>
      </c>
      <c r="C1549" s="2">
        <v>13.25</v>
      </c>
      <c r="D1549" s="2">
        <v>30</v>
      </c>
      <c r="E1549" s="4">
        <v>0.10000000149011612</v>
      </c>
      <c r="F1549" s="1" t="str">
        <f>_xlfn.XLOOKUP(A1549,Orders!A:A,Orders!B:B,"not found")</f>
        <v>TRADH</v>
      </c>
      <c r="G1549" s="13">
        <f>_xlfn.XLOOKUP(OrderDetails[[#This Row],[OrderID]],Orders!A:A,Orders!C:C,"Not Found")</f>
        <v>35814</v>
      </c>
      <c r="H1549" s="16">
        <f>(OrderDetails[[#This Row],[UnitPrice]]*OrderDetails[[#This Row],[Quantity]])*(1-OrderDetails[[#This Row],[Discount]])</f>
        <v>357.74999940767884</v>
      </c>
      <c r="I1549" s="15" t="str">
        <f>_xlfn.XLOOKUP(OrderDetails[[#This Row],[ProductID]],Product!A:A,Product!G:G,"Not Found")</f>
        <v>Seafood</v>
      </c>
      <c r="J1549" s="15" t="str">
        <f>LOOKUP(MONTH(G1549),{1,4,7,10},{"Winter","Spring","Summer","Autumn"})</f>
        <v>Winter</v>
      </c>
      <c r="K1549" s="15" t="str">
        <f>_xlfn.XLOOKUP(OrderDetails[[#This Row],[ProductID]],Product!A:A,Product!B:B,"Not Found")</f>
        <v>Escargots de Bourgogne</v>
      </c>
    </row>
    <row r="1550" spans="1:11">
      <c r="A1550" s="1">
        <v>10839</v>
      </c>
      <c r="B1550" s="1">
        <v>72</v>
      </c>
      <c r="C1550" s="1">
        <v>34.799999999999997</v>
      </c>
      <c r="D1550" s="1">
        <v>15</v>
      </c>
      <c r="E1550" s="3">
        <v>0.10000000149011612</v>
      </c>
      <c r="F1550" s="1" t="str">
        <f>_xlfn.XLOOKUP(A1550,Orders!A:A,Orders!B:B,"not found")</f>
        <v>TRADH</v>
      </c>
      <c r="G1550" s="13">
        <f>_xlfn.XLOOKUP(OrderDetails[[#This Row],[OrderID]],Orders!A:A,Orders!C:C,"Not Found")</f>
        <v>35814</v>
      </c>
      <c r="H1550" s="16">
        <f>(OrderDetails[[#This Row],[UnitPrice]]*OrderDetails[[#This Row],[Quantity]])*(1-OrderDetails[[#This Row],[Discount]])</f>
        <v>469.79999922215939</v>
      </c>
      <c r="I1550" s="15" t="str">
        <f>_xlfn.XLOOKUP(OrderDetails[[#This Row],[ProductID]],Product!A:A,Product!G:G,"Not Found")</f>
        <v>Dairy Products</v>
      </c>
      <c r="J1550" s="15" t="str">
        <f>LOOKUP(MONTH(G1550),{1,4,7,10},{"Winter","Spring","Summer","Autumn"})</f>
        <v>Winter</v>
      </c>
      <c r="K1550" s="15" t="str">
        <f>_xlfn.XLOOKUP(OrderDetails[[#This Row],[ProductID]],Product!A:A,Product!B:B,"Not Found")</f>
        <v>Mozzarella di Giovanni</v>
      </c>
    </row>
    <row r="1551" spans="1:11">
      <c r="A1551" s="2">
        <v>10840</v>
      </c>
      <c r="B1551" s="2">
        <v>25</v>
      </c>
      <c r="C1551" s="2">
        <v>14</v>
      </c>
      <c r="D1551" s="2">
        <v>6</v>
      </c>
      <c r="E1551" s="4">
        <v>0.20000000298023224</v>
      </c>
      <c r="F1551" s="1" t="str">
        <f>_xlfn.XLOOKUP(A1551,Orders!A:A,Orders!B:B,"not found")</f>
        <v>LINOD</v>
      </c>
      <c r="G1551" s="13">
        <f>_xlfn.XLOOKUP(OrderDetails[[#This Row],[OrderID]],Orders!A:A,Orders!C:C,"Not Found")</f>
        <v>35814</v>
      </c>
      <c r="H1551" s="16">
        <f>(OrderDetails[[#This Row],[UnitPrice]]*OrderDetails[[#This Row],[Quantity]])*(1-OrderDetails[[#This Row],[Discount]])</f>
        <v>67.199999749660492</v>
      </c>
      <c r="I1551" s="15" t="str">
        <f>_xlfn.XLOOKUP(OrderDetails[[#This Row],[ProductID]],Product!A:A,Product!G:G,"Not Found")</f>
        <v>Confections</v>
      </c>
      <c r="J1551" s="15" t="str">
        <f>LOOKUP(MONTH(G1551),{1,4,7,10},{"Winter","Spring","Summer","Autumn"})</f>
        <v>Winter</v>
      </c>
      <c r="K1551" s="15" t="str">
        <f>_xlfn.XLOOKUP(OrderDetails[[#This Row],[ProductID]],Product!A:A,Product!B:B,"Not Found")</f>
        <v>NuNuCa Nuß-Nougat-Creme</v>
      </c>
    </row>
    <row r="1552" spans="1:11">
      <c r="A1552" s="1">
        <v>10840</v>
      </c>
      <c r="B1552" s="1">
        <v>39</v>
      </c>
      <c r="C1552" s="1">
        <v>18</v>
      </c>
      <c r="D1552" s="1">
        <v>10</v>
      </c>
      <c r="E1552" s="3">
        <v>0.20000000298023224</v>
      </c>
      <c r="F1552" s="1" t="str">
        <f>_xlfn.XLOOKUP(A1552,Orders!A:A,Orders!B:B,"not found")</f>
        <v>LINOD</v>
      </c>
      <c r="G1552" s="13">
        <f>_xlfn.XLOOKUP(OrderDetails[[#This Row],[OrderID]],Orders!A:A,Orders!C:C,"Not Found")</f>
        <v>35814</v>
      </c>
      <c r="H1552" s="16">
        <f>(OrderDetails[[#This Row],[UnitPrice]]*OrderDetails[[#This Row],[Quantity]])*(1-OrderDetails[[#This Row],[Discount]])</f>
        <v>143.9999994635582</v>
      </c>
      <c r="I1552" s="15" t="str">
        <f>_xlfn.XLOOKUP(OrderDetails[[#This Row],[ProductID]],Product!A:A,Product!G:G,"Not Found")</f>
        <v>Beverages</v>
      </c>
      <c r="J1552" s="15" t="str">
        <f>LOOKUP(MONTH(G1552),{1,4,7,10},{"Winter","Spring","Summer","Autumn"})</f>
        <v>Winter</v>
      </c>
      <c r="K1552" s="15" t="str">
        <f>_xlfn.XLOOKUP(OrderDetails[[#This Row],[ProductID]],Product!A:A,Product!B:B,"Not Found")</f>
        <v>Chartreuse verte</v>
      </c>
    </row>
    <row r="1553" spans="1:11">
      <c r="A1553" s="2">
        <v>10841</v>
      </c>
      <c r="B1553" s="2">
        <v>10</v>
      </c>
      <c r="C1553" s="2">
        <v>31</v>
      </c>
      <c r="D1553" s="2">
        <v>16</v>
      </c>
      <c r="E1553" s="4">
        <v>0</v>
      </c>
      <c r="F1553" s="1" t="str">
        <f>_xlfn.XLOOKUP(A1553,Orders!A:A,Orders!B:B,"not found")</f>
        <v>SUPRD</v>
      </c>
      <c r="G1553" s="13">
        <f>_xlfn.XLOOKUP(OrderDetails[[#This Row],[OrderID]],Orders!A:A,Orders!C:C,"Not Found")</f>
        <v>35815</v>
      </c>
      <c r="H1553" s="16">
        <f>(OrderDetails[[#This Row],[UnitPrice]]*OrderDetails[[#This Row],[Quantity]])*(1-OrderDetails[[#This Row],[Discount]])</f>
        <v>496</v>
      </c>
      <c r="I1553" s="15" t="str">
        <f>_xlfn.XLOOKUP(OrderDetails[[#This Row],[ProductID]],Product!A:A,Product!G:G,"Not Found")</f>
        <v>Seafood</v>
      </c>
      <c r="J1553" s="15" t="str">
        <f>LOOKUP(MONTH(G1553),{1,4,7,10},{"Winter","Spring","Summer","Autumn"})</f>
        <v>Winter</v>
      </c>
      <c r="K1553" s="15" t="str">
        <f>_xlfn.XLOOKUP(OrderDetails[[#This Row],[ProductID]],Product!A:A,Product!B:B,"Not Found")</f>
        <v>Ikura</v>
      </c>
    </row>
    <row r="1554" spans="1:11">
      <c r="A1554" s="1">
        <v>10841</v>
      </c>
      <c r="B1554" s="1">
        <v>56</v>
      </c>
      <c r="C1554" s="1">
        <v>38</v>
      </c>
      <c r="D1554" s="1">
        <v>30</v>
      </c>
      <c r="E1554" s="3">
        <v>0</v>
      </c>
      <c r="F1554" s="1" t="str">
        <f>_xlfn.XLOOKUP(A1554,Orders!A:A,Orders!B:B,"not found")</f>
        <v>SUPRD</v>
      </c>
      <c r="G1554" s="13">
        <f>_xlfn.XLOOKUP(OrderDetails[[#This Row],[OrderID]],Orders!A:A,Orders!C:C,"Not Found")</f>
        <v>35815</v>
      </c>
      <c r="H1554" s="16">
        <f>(OrderDetails[[#This Row],[UnitPrice]]*OrderDetails[[#This Row],[Quantity]])*(1-OrderDetails[[#This Row],[Discount]])</f>
        <v>1140</v>
      </c>
      <c r="I1554" s="15" t="str">
        <f>_xlfn.XLOOKUP(OrderDetails[[#This Row],[ProductID]],Product!A:A,Product!G:G,"Not Found")</f>
        <v>Grains/Cereals</v>
      </c>
      <c r="J1554" s="15" t="str">
        <f>LOOKUP(MONTH(G1554),{1,4,7,10},{"Winter","Spring","Summer","Autumn"})</f>
        <v>Winter</v>
      </c>
      <c r="K1554" s="15" t="str">
        <f>_xlfn.XLOOKUP(OrderDetails[[#This Row],[ProductID]],Product!A:A,Product!B:B,"Not Found")</f>
        <v>Gnocchi di nonna Alice</v>
      </c>
    </row>
    <row r="1555" spans="1:11">
      <c r="A1555" s="2">
        <v>10841</v>
      </c>
      <c r="B1555" s="2">
        <v>59</v>
      </c>
      <c r="C1555" s="2">
        <v>55</v>
      </c>
      <c r="D1555" s="2">
        <v>50</v>
      </c>
      <c r="E1555" s="4">
        <v>0</v>
      </c>
      <c r="F1555" s="1" t="str">
        <f>_xlfn.XLOOKUP(A1555,Orders!A:A,Orders!B:B,"not found")</f>
        <v>SUPRD</v>
      </c>
      <c r="G1555" s="13">
        <f>_xlfn.XLOOKUP(OrderDetails[[#This Row],[OrderID]],Orders!A:A,Orders!C:C,"Not Found")</f>
        <v>35815</v>
      </c>
      <c r="H1555" s="16">
        <f>(OrderDetails[[#This Row],[UnitPrice]]*OrderDetails[[#This Row],[Quantity]])*(1-OrderDetails[[#This Row],[Discount]])</f>
        <v>2750</v>
      </c>
      <c r="I1555" s="15" t="str">
        <f>_xlfn.XLOOKUP(OrderDetails[[#This Row],[ProductID]],Product!A:A,Product!G:G,"Not Found")</f>
        <v>Dairy Products</v>
      </c>
      <c r="J1555" s="15" t="str">
        <f>LOOKUP(MONTH(G1555),{1,4,7,10},{"Winter","Spring","Summer","Autumn"})</f>
        <v>Winter</v>
      </c>
      <c r="K1555" s="15" t="str">
        <f>_xlfn.XLOOKUP(OrderDetails[[#This Row],[ProductID]],Product!A:A,Product!B:B,"Not Found")</f>
        <v>Raclette Courdavault</v>
      </c>
    </row>
    <row r="1556" spans="1:11">
      <c r="A1556" s="1">
        <v>10841</v>
      </c>
      <c r="B1556" s="1">
        <v>77</v>
      </c>
      <c r="C1556" s="1">
        <v>13</v>
      </c>
      <c r="D1556" s="1">
        <v>15</v>
      </c>
      <c r="E1556" s="3">
        <v>0</v>
      </c>
      <c r="F1556" s="1" t="str">
        <f>_xlfn.XLOOKUP(A1556,Orders!A:A,Orders!B:B,"not found")</f>
        <v>SUPRD</v>
      </c>
      <c r="G1556" s="13">
        <f>_xlfn.XLOOKUP(OrderDetails[[#This Row],[OrderID]],Orders!A:A,Orders!C:C,"Not Found")</f>
        <v>35815</v>
      </c>
      <c r="H1556" s="16">
        <f>(OrderDetails[[#This Row],[UnitPrice]]*OrderDetails[[#This Row],[Quantity]])*(1-OrderDetails[[#This Row],[Discount]])</f>
        <v>195</v>
      </c>
      <c r="I1556" s="15" t="str">
        <f>_xlfn.XLOOKUP(OrderDetails[[#This Row],[ProductID]],Product!A:A,Product!G:G,"Not Found")</f>
        <v>Condiments</v>
      </c>
      <c r="J1556" s="15" t="str">
        <f>LOOKUP(MONTH(G1556),{1,4,7,10},{"Winter","Spring","Summer","Autumn"})</f>
        <v>Winter</v>
      </c>
      <c r="K1556" s="15" t="str">
        <f>_xlfn.XLOOKUP(OrderDetails[[#This Row],[ProductID]],Product!A:A,Product!B:B,"Not Found")</f>
        <v>Original Frankfurter grüne Soße</v>
      </c>
    </row>
    <row r="1557" spans="1:11">
      <c r="A1557" s="2">
        <v>10842</v>
      </c>
      <c r="B1557" s="2">
        <v>11</v>
      </c>
      <c r="C1557" s="2">
        <v>21</v>
      </c>
      <c r="D1557" s="2">
        <v>15</v>
      </c>
      <c r="E1557" s="4">
        <v>0</v>
      </c>
      <c r="F1557" s="1" t="str">
        <f>_xlfn.XLOOKUP(A1557,Orders!A:A,Orders!B:B,"not found")</f>
        <v>TORTU</v>
      </c>
      <c r="G1557" s="13">
        <f>_xlfn.XLOOKUP(OrderDetails[[#This Row],[OrderID]],Orders!A:A,Orders!C:C,"Not Found")</f>
        <v>35815</v>
      </c>
      <c r="H1557" s="16">
        <f>(OrderDetails[[#This Row],[UnitPrice]]*OrderDetails[[#This Row],[Quantity]])*(1-OrderDetails[[#This Row],[Discount]])</f>
        <v>315</v>
      </c>
      <c r="I1557" s="15" t="str">
        <f>_xlfn.XLOOKUP(OrderDetails[[#This Row],[ProductID]],Product!A:A,Product!G:G,"Not Found")</f>
        <v>Dairy Products</v>
      </c>
      <c r="J1557" s="15" t="str">
        <f>LOOKUP(MONTH(G1557),{1,4,7,10},{"Winter","Spring","Summer","Autumn"})</f>
        <v>Winter</v>
      </c>
      <c r="K1557" s="15" t="str">
        <f>_xlfn.XLOOKUP(OrderDetails[[#This Row],[ProductID]],Product!A:A,Product!B:B,"Not Found")</f>
        <v>Queso Cabrales</v>
      </c>
    </row>
    <row r="1558" spans="1:11">
      <c r="A1558" s="1">
        <v>10842</v>
      </c>
      <c r="B1558" s="1">
        <v>43</v>
      </c>
      <c r="C1558" s="1">
        <v>46</v>
      </c>
      <c r="D1558" s="1">
        <v>5</v>
      </c>
      <c r="E1558" s="3">
        <v>0</v>
      </c>
      <c r="F1558" s="1" t="str">
        <f>_xlfn.XLOOKUP(A1558,Orders!A:A,Orders!B:B,"not found")</f>
        <v>TORTU</v>
      </c>
      <c r="G1558" s="13">
        <f>_xlfn.XLOOKUP(OrderDetails[[#This Row],[OrderID]],Orders!A:A,Orders!C:C,"Not Found")</f>
        <v>35815</v>
      </c>
      <c r="H1558" s="16">
        <f>(OrderDetails[[#This Row],[UnitPrice]]*OrderDetails[[#This Row],[Quantity]])*(1-OrderDetails[[#This Row],[Discount]])</f>
        <v>230</v>
      </c>
      <c r="I1558" s="15" t="str">
        <f>_xlfn.XLOOKUP(OrderDetails[[#This Row],[ProductID]],Product!A:A,Product!G:G,"Not Found")</f>
        <v>Beverages</v>
      </c>
      <c r="J1558" s="15" t="str">
        <f>LOOKUP(MONTH(G1558),{1,4,7,10},{"Winter","Spring","Summer","Autumn"})</f>
        <v>Winter</v>
      </c>
      <c r="K1558" s="15" t="str">
        <f>_xlfn.XLOOKUP(OrderDetails[[#This Row],[ProductID]],Product!A:A,Product!B:B,"Not Found")</f>
        <v>Ipoh Coffee</v>
      </c>
    </row>
    <row r="1559" spans="1:11">
      <c r="A1559" s="2">
        <v>10842</v>
      </c>
      <c r="B1559" s="2">
        <v>68</v>
      </c>
      <c r="C1559" s="2">
        <v>12.5</v>
      </c>
      <c r="D1559" s="2">
        <v>20</v>
      </c>
      <c r="E1559" s="4">
        <v>0</v>
      </c>
      <c r="F1559" s="1" t="str">
        <f>_xlfn.XLOOKUP(A1559,Orders!A:A,Orders!B:B,"not found")</f>
        <v>TORTU</v>
      </c>
      <c r="G1559" s="13">
        <f>_xlfn.XLOOKUP(OrderDetails[[#This Row],[OrderID]],Orders!A:A,Orders!C:C,"Not Found")</f>
        <v>35815</v>
      </c>
      <c r="H1559" s="16">
        <f>(OrderDetails[[#This Row],[UnitPrice]]*OrderDetails[[#This Row],[Quantity]])*(1-OrderDetails[[#This Row],[Discount]])</f>
        <v>250</v>
      </c>
      <c r="I1559" s="15" t="str">
        <f>_xlfn.XLOOKUP(OrderDetails[[#This Row],[ProductID]],Product!A:A,Product!G:G,"Not Found")</f>
        <v>Confections</v>
      </c>
      <c r="J1559" s="15" t="str">
        <f>LOOKUP(MONTH(G1559),{1,4,7,10},{"Winter","Spring","Summer","Autumn"})</f>
        <v>Winter</v>
      </c>
      <c r="K1559" s="15" t="str">
        <f>_xlfn.XLOOKUP(OrderDetails[[#This Row],[ProductID]],Product!A:A,Product!B:B,"Not Found")</f>
        <v>Scottish Longbreads</v>
      </c>
    </row>
    <row r="1560" spans="1:11">
      <c r="A1560" s="1">
        <v>10842</v>
      </c>
      <c r="B1560" s="1">
        <v>70</v>
      </c>
      <c r="C1560" s="1">
        <v>15</v>
      </c>
      <c r="D1560" s="1">
        <v>12</v>
      </c>
      <c r="E1560" s="3">
        <v>0</v>
      </c>
      <c r="F1560" s="1" t="str">
        <f>_xlfn.XLOOKUP(A1560,Orders!A:A,Orders!B:B,"not found")</f>
        <v>TORTU</v>
      </c>
      <c r="G1560" s="13">
        <f>_xlfn.XLOOKUP(OrderDetails[[#This Row],[OrderID]],Orders!A:A,Orders!C:C,"Not Found")</f>
        <v>35815</v>
      </c>
      <c r="H1560" s="16">
        <f>(OrderDetails[[#This Row],[UnitPrice]]*OrderDetails[[#This Row],[Quantity]])*(1-OrderDetails[[#This Row],[Discount]])</f>
        <v>180</v>
      </c>
      <c r="I1560" s="15" t="str">
        <f>_xlfn.XLOOKUP(OrderDetails[[#This Row],[ProductID]],Product!A:A,Product!G:G,"Not Found")</f>
        <v>Beverages</v>
      </c>
      <c r="J1560" s="15" t="str">
        <f>LOOKUP(MONTH(G1560),{1,4,7,10},{"Winter","Spring","Summer","Autumn"})</f>
        <v>Winter</v>
      </c>
      <c r="K1560" s="15" t="str">
        <f>_xlfn.XLOOKUP(OrderDetails[[#This Row],[ProductID]],Product!A:A,Product!B:B,"Not Found")</f>
        <v>Outback Lager</v>
      </c>
    </row>
    <row r="1561" spans="1:11">
      <c r="A1561" s="2">
        <v>10843</v>
      </c>
      <c r="B1561" s="2">
        <v>51</v>
      </c>
      <c r="C1561" s="2">
        <v>53</v>
      </c>
      <c r="D1561" s="2">
        <v>4</v>
      </c>
      <c r="E1561" s="4">
        <v>0.25</v>
      </c>
      <c r="F1561" s="1" t="str">
        <f>_xlfn.XLOOKUP(A1561,Orders!A:A,Orders!B:B,"not found")</f>
        <v>VICTE</v>
      </c>
      <c r="G1561" s="13">
        <f>_xlfn.XLOOKUP(OrderDetails[[#This Row],[OrderID]],Orders!A:A,Orders!C:C,"Not Found")</f>
        <v>35816</v>
      </c>
      <c r="H1561" s="16">
        <f>(OrderDetails[[#This Row],[UnitPrice]]*OrderDetails[[#This Row],[Quantity]])*(1-OrderDetails[[#This Row],[Discount]])</f>
        <v>159</v>
      </c>
      <c r="I1561" s="15" t="str">
        <f>_xlfn.XLOOKUP(OrderDetails[[#This Row],[ProductID]],Product!A:A,Product!G:G,"Not Found")</f>
        <v>Produce</v>
      </c>
      <c r="J1561" s="15" t="str">
        <f>LOOKUP(MONTH(G1561),{1,4,7,10},{"Winter","Spring","Summer","Autumn"})</f>
        <v>Winter</v>
      </c>
      <c r="K1561" s="15" t="str">
        <f>_xlfn.XLOOKUP(OrderDetails[[#This Row],[ProductID]],Product!A:A,Product!B:B,"Not Found")</f>
        <v>Manjimup Dried Apples</v>
      </c>
    </row>
    <row r="1562" spans="1:11">
      <c r="A1562" s="1">
        <v>10844</v>
      </c>
      <c r="B1562" s="1">
        <v>22</v>
      </c>
      <c r="C1562" s="1">
        <v>21</v>
      </c>
      <c r="D1562" s="1">
        <v>35</v>
      </c>
      <c r="E1562" s="3">
        <v>0</v>
      </c>
      <c r="F1562" s="1" t="str">
        <f>_xlfn.XLOOKUP(A1562,Orders!A:A,Orders!B:B,"not found")</f>
        <v>PICCO</v>
      </c>
      <c r="G1562" s="13">
        <f>_xlfn.XLOOKUP(OrderDetails[[#This Row],[OrderID]],Orders!A:A,Orders!C:C,"Not Found")</f>
        <v>35816</v>
      </c>
      <c r="H1562" s="16">
        <f>(OrderDetails[[#This Row],[UnitPrice]]*OrderDetails[[#This Row],[Quantity]])*(1-OrderDetails[[#This Row],[Discount]])</f>
        <v>735</v>
      </c>
      <c r="I1562" s="15" t="str">
        <f>_xlfn.XLOOKUP(OrderDetails[[#This Row],[ProductID]],Product!A:A,Product!G:G,"Not Found")</f>
        <v>Grains/Cereals</v>
      </c>
      <c r="J1562" s="15" t="str">
        <f>LOOKUP(MONTH(G1562),{1,4,7,10},{"Winter","Spring","Summer","Autumn"})</f>
        <v>Winter</v>
      </c>
      <c r="K1562" s="15" t="str">
        <f>_xlfn.XLOOKUP(OrderDetails[[#This Row],[ProductID]],Product!A:A,Product!B:B,"Not Found")</f>
        <v>Gustaf's Knäckebröd</v>
      </c>
    </row>
    <row r="1563" spans="1:11">
      <c r="A1563" s="2">
        <v>10845</v>
      </c>
      <c r="B1563" s="2">
        <v>23</v>
      </c>
      <c r="C1563" s="2">
        <v>9</v>
      </c>
      <c r="D1563" s="2">
        <v>70</v>
      </c>
      <c r="E1563" s="4">
        <v>0.10000000149011612</v>
      </c>
      <c r="F1563" s="1" t="str">
        <f>_xlfn.XLOOKUP(A1563,Orders!A:A,Orders!B:B,"not found")</f>
        <v>QUICK</v>
      </c>
      <c r="G1563" s="13">
        <f>_xlfn.XLOOKUP(OrderDetails[[#This Row],[OrderID]],Orders!A:A,Orders!C:C,"Not Found")</f>
        <v>35816</v>
      </c>
      <c r="H1563" s="16">
        <f>(OrderDetails[[#This Row],[UnitPrice]]*OrderDetails[[#This Row],[Quantity]])*(1-OrderDetails[[#This Row],[Discount]])</f>
        <v>566.99999906122684</v>
      </c>
      <c r="I1563" s="15" t="str">
        <f>_xlfn.XLOOKUP(OrderDetails[[#This Row],[ProductID]],Product!A:A,Product!G:G,"Not Found")</f>
        <v>Grains/Cereals</v>
      </c>
      <c r="J1563" s="15" t="str">
        <f>LOOKUP(MONTH(G1563),{1,4,7,10},{"Winter","Spring","Summer","Autumn"})</f>
        <v>Winter</v>
      </c>
      <c r="K1563" s="15" t="str">
        <f>_xlfn.XLOOKUP(OrderDetails[[#This Row],[ProductID]],Product!A:A,Product!B:B,"Not Found")</f>
        <v>Tunnbröd</v>
      </c>
    </row>
    <row r="1564" spans="1:11">
      <c r="A1564" s="1">
        <v>10845</v>
      </c>
      <c r="B1564" s="1">
        <v>35</v>
      </c>
      <c r="C1564" s="1">
        <v>18</v>
      </c>
      <c r="D1564" s="1">
        <v>25</v>
      </c>
      <c r="E1564" s="3">
        <v>0.10000000149011612</v>
      </c>
      <c r="F1564" s="1" t="str">
        <f>_xlfn.XLOOKUP(A1564,Orders!A:A,Orders!B:B,"not found")</f>
        <v>QUICK</v>
      </c>
      <c r="G1564" s="13">
        <f>_xlfn.XLOOKUP(OrderDetails[[#This Row],[OrderID]],Orders!A:A,Orders!C:C,"Not Found")</f>
        <v>35816</v>
      </c>
      <c r="H1564" s="16">
        <f>(OrderDetails[[#This Row],[UnitPrice]]*OrderDetails[[#This Row],[Quantity]])*(1-OrderDetails[[#This Row],[Discount]])</f>
        <v>404.99999932944775</v>
      </c>
      <c r="I1564" s="15" t="str">
        <f>_xlfn.XLOOKUP(OrderDetails[[#This Row],[ProductID]],Product!A:A,Product!G:G,"Not Found")</f>
        <v>Beverages</v>
      </c>
      <c r="J1564" s="15" t="str">
        <f>LOOKUP(MONTH(G1564),{1,4,7,10},{"Winter","Spring","Summer","Autumn"})</f>
        <v>Winter</v>
      </c>
      <c r="K1564" s="15" t="str">
        <f>_xlfn.XLOOKUP(OrderDetails[[#This Row],[ProductID]],Product!A:A,Product!B:B,"Not Found")</f>
        <v>Steeleye Stout</v>
      </c>
    </row>
    <row r="1565" spans="1:11">
      <c r="A1565" s="2">
        <v>10845</v>
      </c>
      <c r="B1565" s="2">
        <v>42</v>
      </c>
      <c r="C1565" s="2">
        <v>14</v>
      </c>
      <c r="D1565" s="2">
        <v>42</v>
      </c>
      <c r="E1565" s="4">
        <v>0.10000000149011612</v>
      </c>
      <c r="F1565" s="1" t="str">
        <f>_xlfn.XLOOKUP(A1565,Orders!A:A,Orders!B:B,"not found")</f>
        <v>QUICK</v>
      </c>
      <c r="G1565" s="13">
        <f>_xlfn.XLOOKUP(OrderDetails[[#This Row],[OrderID]],Orders!A:A,Orders!C:C,"Not Found")</f>
        <v>35816</v>
      </c>
      <c r="H1565" s="16">
        <f>(OrderDetails[[#This Row],[UnitPrice]]*OrderDetails[[#This Row],[Quantity]])*(1-OrderDetails[[#This Row],[Discount]])</f>
        <v>529.19999912381172</v>
      </c>
      <c r="I1565" s="15" t="str">
        <f>_xlfn.XLOOKUP(OrderDetails[[#This Row],[ProductID]],Product!A:A,Product!G:G,"Not Found")</f>
        <v>Grains/Cereals</v>
      </c>
      <c r="J1565" s="15" t="str">
        <f>LOOKUP(MONTH(G1565),{1,4,7,10},{"Winter","Spring","Summer","Autumn"})</f>
        <v>Winter</v>
      </c>
      <c r="K1565" s="15" t="str">
        <f>_xlfn.XLOOKUP(OrderDetails[[#This Row],[ProductID]],Product!A:A,Product!B:B,"Not Found")</f>
        <v>Singaporean Hokkien Fried Mee</v>
      </c>
    </row>
    <row r="1566" spans="1:11">
      <c r="A1566" s="1">
        <v>10845</v>
      </c>
      <c r="B1566" s="1">
        <v>58</v>
      </c>
      <c r="C1566" s="1">
        <v>13.25</v>
      </c>
      <c r="D1566" s="1">
        <v>60</v>
      </c>
      <c r="E1566" s="3">
        <v>0.10000000149011612</v>
      </c>
      <c r="F1566" s="1" t="str">
        <f>_xlfn.XLOOKUP(A1566,Orders!A:A,Orders!B:B,"not found")</f>
        <v>QUICK</v>
      </c>
      <c r="G1566" s="13">
        <f>_xlfn.XLOOKUP(OrderDetails[[#This Row],[OrderID]],Orders!A:A,Orders!C:C,"Not Found")</f>
        <v>35816</v>
      </c>
      <c r="H1566" s="16">
        <f>(OrderDetails[[#This Row],[UnitPrice]]*OrderDetails[[#This Row],[Quantity]])*(1-OrderDetails[[#This Row],[Discount]])</f>
        <v>715.49999881535769</v>
      </c>
      <c r="I1566" s="15" t="str">
        <f>_xlfn.XLOOKUP(OrderDetails[[#This Row],[ProductID]],Product!A:A,Product!G:G,"Not Found")</f>
        <v>Seafood</v>
      </c>
      <c r="J1566" s="15" t="str">
        <f>LOOKUP(MONTH(G1566),{1,4,7,10},{"Winter","Spring","Summer","Autumn"})</f>
        <v>Winter</v>
      </c>
      <c r="K1566" s="15" t="str">
        <f>_xlfn.XLOOKUP(OrderDetails[[#This Row],[ProductID]],Product!A:A,Product!B:B,"Not Found")</f>
        <v>Escargots de Bourgogne</v>
      </c>
    </row>
    <row r="1567" spans="1:11">
      <c r="A1567" s="2">
        <v>10845</v>
      </c>
      <c r="B1567" s="2">
        <v>64</v>
      </c>
      <c r="C1567" s="2">
        <v>33.25</v>
      </c>
      <c r="D1567" s="2">
        <v>48</v>
      </c>
      <c r="E1567" s="4">
        <v>0</v>
      </c>
      <c r="F1567" s="1" t="str">
        <f>_xlfn.XLOOKUP(A1567,Orders!A:A,Orders!B:B,"not found")</f>
        <v>QUICK</v>
      </c>
      <c r="G1567" s="13">
        <f>_xlfn.XLOOKUP(OrderDetails[[#This Row],[OrderID]],Orders!A:A,Orders!C:C,"Not Found")</f>
        <v>35816</v>
      </c>
      <c r="H1567" s="16">
        <f>(OrderDetails[[#This Row],[UnitPrice]]*OrderDetails[[#This Row],[Quantity]])*(1-OrderDetails[[#This Row],[Discount]])</f>
        <v>1596</v>
      </c>
      <c r="I1567" s="15" t="str">
        <f>_xlfn.XLOOKUP(OrderDetails[[#This Row],[ProductID]],Product!A:A,Product!G:G,"Not Found")</f>
        <v>Grains/Cereals</v>
      </c>
      <c r="J1567" s="15" t="str">
        <f>LOOKUP(MONTH(G1567),{1,4,7,10},{"Winter","Spring","Summer","Autumn"})</f>
        <v>Winter</v>
      </c>
      <c r="K1567" s="15" t="str">
        <f>_xlfn.XLOOKUP(OrderDetails[[#This Row],[ProductID]],Product!A:A,Product!B:B,"Not Found")</f>
        <v>Wimmers gute Semmelknödel</v>
      </c>
    </row>
    <row r="1568" spans="1:11">
      <c r="A1568" s="1">
        <v>10846</v>
      </c>
      <c r="B1568" s="1">
        <v>4</v>
      </c>
      <c r="C1568" s="1">
        <v>22</v>
      </c>
      <c r="D1568" s="1">
        <v>21</v>
      </c>
      <c r="E1568" s="3">
        <v>0</v>
      </c>
      <c r="F1568" s="1" t="str">
        <f>_xlfn.XLOOKUP(A1568,Orders!A:A,Orders!B:B,"not found")</f>
        <v>SUPRD</v>
      </c>
      <c r="G1568" s="13">
        <f>_xlfn.XLOOKUP(OrderDetails[[#This Row],[OrderID]],Orders!A:A,Orders!C:C,"Not Found")</f>
        <v>35817</v>
      </c>
      <c r="H1568" s="16">
        <f>(OrderDetails[[#This Row],[UnitPrice]]*OrderDetails[[#This Row],[Quantity]])*(1-OrderDetails[[#This Row],[Discount]])</f>
        <v>462</v>
      </c>
      <c r="I1568" s="15" t="str">
        <f>_xlfn.XLOOKUP(OrderDetails[[#This Row],[ProductID]],Product!A:A,Product!G:G,"Not Found")</f>
        <v>Condiments</v>
      </c>
      <c r="J1568" s="15" t="str">
        <f>LOOKUP(MONTH(G1568),{1,4,7,10},{"Winter","Spring","Summer","Autumn"})</f>
        <v>Winter</v>
      </c>
      <c r="K1568" s="15" t="str">
        <f>_xlfn.XLOOKUP(OrderDetails[[#This Row],[ProductID]],Product!A:A,Product!B:B,"Not Found")</f>
        <v>Chef Anton's Cajun Seasoning</v>
      </c>
    </row>
    <row r="1569" spans="1:11">
      <c r="A1569" s="2">
        <v>10846</v>
      </c>
      <c r="B1569" s="2">
        <v>70</v>
      </c>
      <c r="C1569" s="2">
        <v>15</v>
      </c>
      <c r="D1569" s="2">
        <v>30</v>
      </c>
      <c r="E1569" s="4">
        <v>0</v>
      </c>
      <c r="F1569" s="1" t="str">
        <f>_xlfn.XLOOKUP(A1569,Orders!A:A,Orders!B:B,"not found")</f>
        <v>SUPRD</v>
      </c>
      <c r="G1569" s="13">
        <f>_xlfn.XLOOKUP(OrderDetails[[#This Row],[OrderID]],Orders!A:A,Orders!C:C,"Not Found")</f>
        <v>35817</v>
      </c>
      <c r="H1569" s="16">
        <f>(OrderDetails[[#This Row],[UnitPrice]]*OrderDetails[[#This Row],[Quantity]])*(1-OrderDetails[[#This Row],[Discount]])</f>
        <v>450</v>
      </c>
      <c r="I1569" s="15" t="str">
        <f>_xlfn.XLOOKUP(OrderDetails[[#This Row],[ProductID]],Product!A:A,Product!G:G,"Not Found")</f>
        <v>Beverages</v>
      </c>
      <c r="J1569" s="15" t="str">
        <f>LOOKUP(MONTH(G1569),{1,4,7,10},{"Winter","Spring","Summer","Autumn"})</f>
        <v>Winter</v>
      </c>
      <c r="K1569" s="15" t="str">
        <f>_xlfn.XLOOKUP(OrderDetails[[#This Row],[ProductID]],Product!A:A,Product!B:B,"Not Found")</f>
        <v>Outback Lager</v>
      </c>
    </row>
    <row r="1570" spans="1:11">
      <c r="A1570" s="1">
        <v>10846</v>
      </c>
      <c r="B1570" s="1">
        <v>74</v>
      </c>
      <c r="C1570" s="1">
        <v>10</v>
      </c>
      <c r="D1570" s="1">
        <v>20</v>
      </c>
      <c r="E1570" s="3">
        <v>0</v>
      </c>
      <c r="F1570" s="1" t="str">
        <f>_xlfn.XLOOKUP(A1570,Orders!A:A,Orders!B:B,"not found")</f>
        <v>SUPRD</v>
      </c>
      <c r="G1570" s="13">
        <f>_xlfn.XLOOKUP(OrderDetails[[#This Row],[OrderID]],Orders!A:A,Orders!C:C,"Not Found")</f>
        <v>35817</v>
      </c>
      <c r="H1570" s="16">
        <f>(OrderDetails[[#This Row],[UnitPrice]]*OrderDetails[[#This Row],[Quantity]])*(1-OrderDetails[[#This Row],[Discount]])</f>
        <v>200</v>
      </c>
      <c r="I1570" s="15" t="str">
        <f>_xlfn.XLOOKUP(OrderDetails[[#This Row],[ProductID]],Product!A:A,Product!G:G,"Not Found")</f>
        <v>Produce</v>
      </c>
      <c r="J1570" s="15" t="str">
        <f>LOOKUP(MONTH(G1570),{1,4,7,10},{"Winter","Spring","Summer","Autumn"})</f>
        <v>Winter</v>
      </c>
      <c r="K1570" s="15" t="str">
        <f>_xlfn.XLOOKUP(OrderDetails[[#This Row],[ProductID]],Product!A:A,Product!B:B,"Not Found")</f>
        <v>Longlife Tofu</v>
      </c>
    </row>
    <row r="1571" spans="1:11">
      <c r="A1571" s="2">
        <v>10847</v>
      </c>
      <c r="B1571" s="2">
        <v>1</v>
      </c>
      <c r="C1571" s="2">
        <v>18</v>
      </c>
      <c r="D1571" s="2">
        <v>80</v>
      </c>
      <c r="E1571" s="4">
        <v>0.20000000298023224</v>
      </c>
      <c r="F1571" s="1" t="str">
        <f>_xlfn.XLOOKUP(A1571,Orders!A:A,Orders!B:B,"not found")</f>
        <v>SAVEA</v>
      </c>
      <c r="G1571" s="13">
        <f>_xlfn.XLOOKUP(OrderDetails[[#This Row],[OrderID]],Orders!A:A,Orders!C:C,"Not Found")</f>
        <v>35817</v>
      </c>
      <c r="H1571" s="16">
        <f>(OrderDetails[[#This Row],[UnitPrice]]*OrderDetails[[#This Row],[Quantity]])*(1-OrderDetails[[#This Row],[Discount]])</f>
        <v>1151.9999957084656</v>
      </c>
      <c r="I1571" s="15" t="str">
        <f>_xlfn.XLOOKUP(OrderDetails[[#This Row],[ProductID]],Product!A:A,Product!G:G,"Not Found")</f>
        <v>Beverages</v>
      </c>
      <c r="J1571" s="15" t="str">
        <f>LOOKUP(MONTH(G1571),{1,4,7,10},{"Winter","Spring","Summer","Autumn"})</f>
        <v>Winter</v>
      </c>
      <c r="K1571" s="15" t="str">
        <f>_xlfn.XLOOKUP(OrderDetails[[#This Row],[ProductID]],Product!A:A,Product!B:B,"Not Found")</f>
        <v>Chai</v>
      </c>
    </row>
    <row r="1572" spans="1:11">
      <c r="A1572" s="1">
        <v>10847</v>
      </c>
      <c r="B1572" s="1">
        <v>19</v>
      </c>
      <c r="C1572" s="1">
        <v>9.1999999999999993</v>
      </c>
      <c r="D1572" s="1">
        <v>12</v>
      </c>
      <c r="E1572" s="3">
        <v>0.20000000298023224</v>
      </c>
      <c r="F1572" s="1" t="str">
        <f>_xlfn.XLOOKUP(A1572,Orders!A:A,Orders!B:B,"not found")</f>
        <v>SAVEA</v>
      </c>
      <c r="G1572" s="13">
        <f>_xlfn.XLOOKUP(OrderDetails[[#This Row],[OrderID]],Orders!A:A,Orders!C:C,"Not Found")</f>
        <v>35817</v>
      </c>
      <c r="H1572" s="16">
        <f>(OrderDetails[[#This Row],[UnitPrice]]*OrderDetails[[#This Row],[Quantity]])*(1-OrderDetails[[#This Row],[Discount]])</f>
        <v>88.319999670982355</v>
      </c>
      <c r="I1572" s="15" t="str">
        <f>_xlfn.XLOOKUP(OrderDetails[[#This Row],[ProductID]],Product!A:A,Product!G:G,"Not Found")</f>
        <v>Confections</v>
      </c>
      <c r="J1572" s="15" t="str">
        <f>LOOKUP(MONTH(G1572),{1,4,7,10},{"Winter","Spring","Summer","Autumn"})</f>
        <v>Winter</v>
      </c>
      <c r="K1572" s="15" t="str">
        <f>_xlfn.XLOOKUP(OrderDetails[[#This Row],[ProductID]],Product!A:A,Product!B:B,"Not Found")</f>
        <v>Teatime Chocolate Biscuits</v>
      </c>
    </row>
    <row r="1573" spans="1:11">
      <c r="A1573" s="2">
        <v>10847</v>
      </c>
      <c r="B1573" s="2">
        <v>37</v>
      </c>
      <c r="C1573" s="2">
        <v>26</v>
      </c>
      <c r="D1573" s="2">
        <v>60</v>
      </c>
      <c r="E1573" s="4">
        <v>0.20000000298023224</v>
      </c>
      <c r="F1573" s="1" t="str">
        <f>_xlfn.XLOOKUP(A1573,Orders!A:A,Orders!B:B,"not found")</f>
        <v>SAVEA</v>
      </c>
      <c r="G1573" s="13">
        <f>_xlfn.XLOOKUP(OrderDetails[[#This Row],[OrderID]],Orders!A:A,Orders!C:C,"Not Found")</f>
        <v>35817</v>
      </c>
      <c r="H1573" s="16">
        <f>(OrderDetails[[#This Row],[UnitPrice]]*OrderDetails[[#This Row],[Quantity]])*(1-OrderDetails[[#This Row],[Discount]])</f>
        <v>1247.9999953508377</v>
      </c>
      <c r="I1573" s="15" t="str">
        <f>_xlfn.XLOOKUP(OrderDetails[[#This Row],[ProductID]],Product!A:A,Product!G:G,"Not Found")</f>
        <v>Seafood</v>
      </c>
      <c r="J1573" s="15" t="str">
        <f>LOOKUP(MONTH(G1573),{1,4,7,10},{"Winter","Spring","Summer","Autumn"})</f>
        <v>Winter</v>
      </c>
      <c r="K1573" s="15" t="str">
        <f>_xlfn.XLOOKUP(OrderDetails[[#This Row],[ProductID]],Product!A:A,Product!B:B,"Not Found")</f>
        <v>Gravad lax</v>
      </c>
    </row>
    <row r="1574" spans="1:11">
      <c r="A1574" s="1">
        <v>10847</v>
      </c>
      <c r="B1574" s="1">
        <v>45</v>
      </c>
      <c r="C1574" s="1">
        <v>9.5</v>
      </c>
      <c r="D1574" s="1">
        <v>36</v>
      </c>
      <c r="E1574" s="3">
        <v>0.20000000298023224</v>
      </c>
      <c r="F1574" s="1" t="str">
        <f>_xlfn.XLOOKUP(A1574,Orders!A:A,Orders!B:B,"not found")</f>
        <v>SAVEA</v>
      </c>
      <c r="G1574" s="13">
        <f>_xlfn.XLOOKUP(OrderDetails[[#This Row],[OrderID]],Orders!A:A,Orders!C:C,"Not Found")</f>
        <v>35817</v>
      </c>
      <c r="H1574" s="16">
        <f>(OrderDetails[[#This Row],[UnitPrice]]*OrderDetails[[#This Row],[Quantity]])*(1-OrderDetails[[#This Row],[Discount]])</f>
        <v>273.59999898076057</v>
      </c>
      <c r="I1574" s="15" t="str">
        <f>_xlfn.XLOOKUP(OrderDetails[[#This Row],[ProductID]],Product!A:A,Product!G:G,"Not Found")</f>
        <v>Seafood</v>
      </c>
      <c r="J1574" s="15" t="str">
        <f>LOOKUP(MONTH(G1574),{1,4,7,10},{"Winter","Spring","Summer","Autumn"})</f>
        <v>Winter</v>
      </c>
      <c r="K1574" s="15" t="str">
        <f>_xlfn.XLOOKUP(OrderDetails[[#This Row],[ProductID]],Product!A:A,Product!B:B,"Not Found")</f>
        <v>Rogede sild</v>
      </c>
    </row>
    <row r="1575" spans="1:11">
      <c r="A1575" s="2">
        <v>10847</v>
      </c>
      <c r="B1575" s="2">
        <v>60</v>
      </c>
      <c r="C1575" s="2">
        <v>34</v>
      </c>
      <c r="D1575" s="2">
        <v>45</v>
      </c>
      <c r="E1575" s="4">
        <v>0.20000000298023224</v>
      </c>
      <c r="F1575" s="1" t="str">
        <f>_xlfn.XLOOKUP(A1575,Orders!A:A,Orders!B:B,"not found")</f>
        <v>SAVEA</v>
      </c>
      <c r="G1575" s="13">
        <f>_xlfn.XLOOKUP(OrderDetails[[#This Row],[OrderID]],Orders!A:A,Orders!C:C,"Not Found")</f>
        <v>35817</v>
      </c>
      <c r="H1575" s="16">
        <f>(OrderDetails[[#This Row],[UnitPrice]]*OrderDetails[[#This Row],[Quantity]])*(1-OrderDetails[[#This Row],[Discount]])</f>
        <v>1223.9999954402447</v>
      </c>
      <c r="I1575" s="15" t="str">
        <f>_xlfn.XLOOKUP(OrderDetails[[#This Row],[ProductID]],Product!A:A,Product!G:G,"Not Found")</f>
        <v>Dairy Products</v>
      </c>
      <c r="J1575" s="15" t="str">
        <f>LOOKUP(MONTH(G1575),{1,4,7,10},{"Winter","Spring","Summer","Autumn"})</f>
        <v>Winter</v>
      </c>
      <c r="K1575" s="15" t="str">
        <f>_xlfn.XLOOKUP(OrderDetails[[#This Row],[ProductID]],Product!A:A,Product!B:B,"Not Found")</f>
        <v>Camembert Pierrot</v>
      </c>
    </row>
    <row r="1576" spans="1:11">
      <c r="A1576" s="1">
        <v>10847</v>
      </c>
      <c r="B1576" s="1">
        <v>71</v>
      </c>
      <c r="C1576" s="1">
        <v>21.5</v>
      </c>
      <c r="D1576" s="1">
        <v>55</v>
      </c>
      <c r="E1576" s="3">
        <v>0.20000000298023224</v>
      </c>
      <c r="F1576" s="1" t="str">
        <f>_xlfn.XLOOKUP(A1576,Orders!A:A,Orders!B:B,"not found")</f>
        <v>SAVEA</v>
      </c>
      <c r="G1576" s="13">
        <f>_xlfn.XLOOKUP(OrderDetails[[#This Row],[OrderID]],Orders!A:A,Orders!C:C,"Not Found")</f>
        <v>35817</v>
      </c>
      <c r="H1576" s="16">
        <f>(OrderDetails[[#This Row],[UnitPrice]]*OrderDetails[[#This Row],[Quantity]])*(1-OrderDetails[[#This Row],[Discount]])</f>
        <v>945.99999647587538</v>
      </c>
      <c r="I1576" s="15" t="str">
        <f>_xlfn.XLOOKUP(OrderDetails[[#This Row],[ProductID]],Product!A:A,Product!G:G,"Not Found")</f>
        <v>Dairy Products</v>
      </c>
      <c r="J1576" s="15" t="str">
        <f>LOOKUP(MONTH(G1576),{1,4,7,10},{"Winter","Spring","Summer","Autumn"})</f>
        <v>Winter</v>
      </c>
      <c r="K1576" s="15" t="str">
        <f>_xlfn.XLOOKUP(OrderDetails[[#This Row],[ProductID]],Product!A:A,Product!B:B,"Not Found")</f>
        <v>Flotemysost</v>
      </c>
    </row>
    <row r="1577" spans="1:11">
      <c r="A1577" s="2">
        <v>10848</v>
      </c>
      <c r="B1577" s="2">
        <v>5</v>
      </c>
      <c r="C1577" s="2">
        <v>21.35</v>
      </c>
      <c r="D1577" s="2">
        <v>30</v>
      </c>
      <c r="E1577" s="4">
        <v>0</v>
      </c>
      <c r="F1577" s="1" t="str">
        <f>_xlfn.XLOOKUP(A1577,Orders!A:A,Orders!B:B,"not found")</f>
        <v>CONSH</v>
      </c>
      <c r="G1577" s="13">
        <f>_xlfn.XLOOKUP(OrderDetails[[#This Row],[OrderID]],Orders!A:A,Orders!C:C,"Not Found")</f>
        <v>35818</v>
      </c>
      <c r="H1577" s="16">
        <f>(OrderDetails[[#This Row],[UnitPrice]]*OrderDetails[[#This Row],[Quantity]])*(1-OrderDetails[[#This Row],[Discount]])</f>
        <v>640.5</v>
      </c>
      <c r="I1577" s="15" t="str">
        <f>_xlfn.XLOOKUP(OrderDetails[[#This Row],[ProductID]],Product!A:A,Product!G:G,"Not Found")</f>
        <v>Condiments</v>
      </c>
      <c r="J1577" s="15" t="str">
        <f>LOOKUP(MONTH(G1577),{1,4,7,10},{"Winter","Spring","Summer","Autumn"})</f>
        <v>Winter</v>
      </c>
      <c r="K1577" s="15" t="str">
        <f>_xlfn.XLOOKUP(OrderDetails[[#This Row],[ProductID]],Product!A:A,Product!B:B,"Not Found")</f>
        <v>Chef Anton's Gumbo Mix</v>
      </c>
    </row>
    <row r="1578" spans="1:11">
      <c r="A1578" s="1">
        <v>10848</v>
      </c>
      <c r="B1578" s="1">
        <v>9</v>
      </c>
      <c r="C1578" s="1">
        <v>97</v>
      </c>
      <c r="D1578" s="1">
        <v>3</v>
      </c>
      <c r="E1578" s="3">
        <v>0</v>
      </c>
      <c r="F1578" s="1" t="str">
        <f>_xlfn.XLOOKUP(A1578,Orders!A:A,Orders!B:B,"not found")</f>
        <v>CONSH</v>
      </c>
      <c r="G1578" s="13">
        <f>_xlfn.XLOOKUP(OrderDetails[[#This Row],[OrderID]],Orders!A:A,Orders!C:C,"Not Found")</f>
        <v>35818</v>
      </c>
      <c r="H1578" s="16">
        <f>(OrderDetails[[#This Row],[UnitPrice]]*OrderDetails[[#This Row],[Quantity]])*(1-OrderDetails[[#This Row],[Discount]])</f>
        <v>291</v>
      </c>
      <c r="I1578" s="15" t="str">
        <f>_xlfn.XLOOKUP(OrderDetails[[#This Row],[ProductID]],Product!A:A,Product!G:G,"Not Found")</f>
        <v>Meat/Poultry</v>
      </c>
      <c r="J1578" s="15" t="str">
        <f>LOOKUP(MONTH(G1578),{1,4,7,10},{"Winter","Spring","Summer","Autumn"})</f>
        <v>Winter</v>
      </c>
      <c r="K1578" s="15" t="str">
        <f>_xlfn.XLOOKUP(OrderDetails[[#This Row],[ProductID]],Product!A:A,Product!B:B,"Not Found")</f>
        <v>Mishi Kobe Niku</v>
      </c>
    </row>
    <row r="1579" spans="1:11">
      <c r="A1579" s="2">
        <v>10849</v>
      </c>
      <c r="B1579" s="2">
        <v>3</v>
      </c>
      <c r="C1579" s="2">
        <v>10</v>
      </c>
      <c r="D1579" s="2">
        <v>49</v>
      </c>
      <c r="E1579" s="4">
        <v>0</v>
      </c>
      <c r="F1579" s="1" t="str">
        <f>_xlfn.XLOOKUP(A1579,Orders!A:A,Orders!B:B,"not found")</f>
        <v>KOENE</v>
      </c>
      <c r="G1579" s="13">
        <f>_xlfn.XLOOKUP(OrderDetails[[#This Row],[OrderID]],Orders!A:A,Orders!C:C,"Not Found")</f>
        <v>35818</v>
      </c>
      <c r="H1579" s="16">
        <f>(OrderDetails[[#This Row],[UnitPrice]]*OrderDetails[[#This Row],[Quantity]])*(1-OrderDetails[[#This Row],[Discount]])</f>
        <v>490</v>
      </c>
      <c r="I1579" s="15" t="str">
        <f>_xlfn.XLOOKUP(OrderDetails[[#This Row],[ProductID]],Product!A:A,Product!G:G,"Not Found")</f>
        <v>Condiments</v>
      </c>
      <c r="J1579" s="15" t="str">
        <f>LOOKUP(MONTH(G1579),{1,4,7,10},{"Winter","Spring","Summer","Autumn"})</f>
        <v>Winter</v>
      </c>
      <c r="K1579" s="15" t="str">
        <f>_xlfn.XLOOKUP(OrderDetails[[#This Row],[ProductID]],Product!A:A,Product!B:B,"Not Found")</f>
        <v>Aniseed Syrup</v>
      </c>
    </row>
    <row r="1580" spans="1:11">
      <c r="A1580" s="1">
        <v>10849</v>
      </c>
      <c r="B1580" s="1">
        <v>26</v>
      </c>
      <c r="C1580" s="1">
        <v>31.23</v>
      </c>
      <c r="D1580" s="1">
        <v>18</v>
      </c>
      <c r="E1580" s="3">
        <v>0.15000000596046448</v>
      </c>
      <c r="F1580" s="1" t="str">
        <f>_xlfn.XLOOKUP(A1580,Orders!A:A,Orders!B:B,"not found")</f>
        <v>KOENE</v>
      </c>
      <c r="G1580" s="13">
        <f>_xlfn.XLOOKUP(OrderDetails[[#This Row],[OrderID]],Orders!A:A,Orders!C:C,"Not Found")</f>
        <v>35818</v>
      </c>
      <c r="H1580" s="16">
        <f>(OrderDetails[[#This Row],[UnitPrice]]*OrderDetails[[#This Row],[Quantity]])*(1-OrderDetails[[#This Row],[Discount]])</f>
        <v>477.81899664938447</v>
      </c>
      <c r="I1580" s="15" t="str">
        <f>_xlfn.XLOOKUP(OrderDetails[[#This Row],[ProductID]],Product!A:A,Product!G:G,"Not Found")</f>
        <v>Confections</v>
      </c>
      <c r="J1580" s="15" t="str">
        <f>LOOKUP(MONTH(G1580),{1,4,7,10},{"Winter","Spring","Summer","Autumn"})</f>
        <v>Winter</v>
      </c>
      <c r="K1580" s="15" t="str">
        <f>_xlfn.XLOOKUP(OrderDetails[[#This Row],[ProductID]],Product!A:A,Product!B:B,"Not Found")</f>
        <v>Gumbär Gummibärchen</v>
      </c>
    </row>
    <row r="1581" spans="1:11">
      <c r="A1581" s="2">
        <v>10850</v>
      </c>
      <c r="B1581" s="2">
        <v>25</v>
      </c>
      <c r="C1581" s="2">
        <v>14</v>
      </c>
      <c r="D1581" s="2">
        <v>20</v>
      </c>
      <c r="E1581" s="4">
        <v>0.15000000596046448</v>
      </c>
      <c r="F1581" s="1" t="str">
        <f>_xlfn.XLOOKUP(A1581,Orders!A:A,Orders!B:B,"not found")</f>
        <v>VICTE</v>
      </c>
      <c r="G1581" s="13">
        <f>_xlfn.XLOOKUP(OrderDetails[[#This Row],[OrderID]],Orders!A:A,Orders!C:C,"Not Found")</f>
        <v>35818</v>
      </c>
      <c r="H1581" s="16">
        <f>(OrderDetails[[#This Row],[UnitPrice]]*OrderDetails[[#This Row],[Quantity]])*(1-OrderDetails[[#This Row],[Discount]])</f>
        <v>237.99999833106995</v>
      </c>
      <c r="I1581" s="15" t="str">
        <f>_xlfn.XLOOKUP(OrderDetails[[#This Row],[ProductID]],Product!A:A,Product!G:G,"Not Found")</f>
        <v>Confections</v>
      </c>
      <c r="J1581" s="15" t="str">
        <f>LOOKUP(MONTH(G1581),{1,4,7,10},{"Winter","Spring","Summer","Autumn"})</f>
        <v>Winter</v>
      </c>
      <c r="K1581" s="15" t="str">
        <f>_xlfn.XLOOKUP(OrderDetails[[#This Row],[ProductID]],Product!A:A,Product!B:B,"Not Found")</f>
        <v>NuNuCa Nuß-Nougat-Creme</v>
      </c>
    </row>
    <row r="1582" spans="1:11">
      <c r="A1582" s="1">
        <v>10850</v>
      </c>
      <c r="B1582" s="1">
        <v>33</v>
      </c>
      <c r="C1582" s="1">
        <v>2.5</v>
      </c>
      <c r="D1582" s="1">
        <v>4</v>
      </c>
      <c r="E1582" s="3">
        <v>0.15000000596046448</v>
      </c>
      <c r="F1582" s="1" t="str">
        <f>_xlfn.XLOOKUP(A1582,Orders!A:A,Orders!B:B,"not found")</f>
        <v>VICTE</v>
      </c>
      <c r="G1582" s="13">
        <f>_xlfn.XLOOKUP(OrderDetails[[#This Row],[OrderID]],Orders!A:A,Orders!C:C,"Not Found")</f>
        <v>35818</v>
      </c>
      <c r="H1582" s="16">
        <f>(OrderDetails[[#This Row],[UnitPrice]]*OrderDetails[[#This Row],[Quantity]])*(1-OrderDetails[[#This Row],[Discount]])</f>
        <v>8.4999999403953552</v>
      </c>
      <c r="I1582" s="15" t="str">
        <f>_xlfn.XLOOKUP(OrderDetails[[#This Row],[ProductID]],Product!A:A,Product!G:G,"Not Found")</f>
        <v>Dairy Products</v>
      </c>
      <c r="J1582" s="15" t="str">
        <f>LOOKUP(MONTH(G1582),{1,4,7,10},{"Winter","Spring","Summer","Autumn"})</f>
        <v>Winter</v>
      </c>
      <c r="K1582" s="15" t="str">
        <f>_xlfn.XLOOKUP(OrderDetails[[#This Row],[ProductID]],Product!A:A,Product!B:B,"Not Found")</f>
        <v>Geitost</v>
      </c>
    </row>
    <row r="1583" spans="1:11">
      <c r="A1583" s="2">
        <v>10850</v>
      </c>
      <c r="B1583" s="2">
        <v>70</v>
      </c>
      <c r="C1583" s="2">
        <v>15</v>
      </c>
      <c r="D1583" s="2">
        <v>30</v>
      </c>
      <c r="E1583" s="4">
        <v>0.15000000596046448</v>
      </c>
      <c r="F1583" s="1" t="str">
        <f>_xlfn.XLOOKUP(A1583,Orders!A:A,Orders!B:B,"not found")</f>
        <v>VICTE</v>
      </c>
      <c r="G1583" s="13">
        <f>_xlfn.XLOOKUP(OrderDetails[[#This Row],[OrderID]],Orders!A:A,Orders!C:C,"Not Found")</f>
        <v>35818</v>
      </c>
      <c r="H1583" s="16">
        <f>(OrderDetails[[#This Row],[UnitPrice]]*OrderDetails[[#This Row],[Quantity]])*(1-OrderDetails[[#This Row],[Discount]])</f>
        <v>382.49999731779099</v>
      </c>
      <c r="I1583" s="15" t="str">
        <f>_xlfn.XLOOKUP(OrderDetails[[#This Row],[ProductID]],Product!A:A,Product!G:G,"Not Found")</f>
        <v>Beverages</v>
      </c>
      <c r="J1583" s="15" t="str">
        <f>LOOKUP(MONTH(G1583),{1,4,7,10},{"Winter","Spring","Summer","Autumn"})</f>
        <v>Winter</v>
      </c>
      <c r="K1583" s="15" t="str">
        <f>_xlfn.XLOOKUP(OrderDetails[[#This Row],[ProductID]],Product!A:A,Product!B:B,"Not Found")</f>
        <v>Outback Lager</v>
      </c>
    </row>
    <row r="1584" spans="1:11">
      <c r="A1584" s="1">
        <v>10851</v>
      </c>
      <c r="B1584" s="1">
        <v>2</v>
      </c>
      <c r="C1584" s="1">
        <v>19</v>
      </c>
      <c r="D1584" s="1">
        <v>5</v>
      </c>
      <c r="E1584" s="3">
        <v>5.000000074505806E-2</v>
      </c>
      <c r="F1584" s="1" t="str">
        <f>_xlfn.XLOOKUP(A1584,Orders!A:A,Orders!B:B,"not found")</f>
        <v>RICAR</v>
      </c>
      <c r="G1584" s="13">
        <f>_xlfn.XLOOKUP(OrderDetails[[#This Row],[OrderID]],Orders!A:A,Orders!C:C,"Not Found")</f>
        <v>35821</v>
      </c>
      <c r="H1584" s="16">
        <f>(OrderDetails[[#This Row],[UnitPrice]]*OrderDetails[[#This Row],[Quantity]])*(1-OrderDetails[[#This Row],[Discount]])</f>
        <v>90.249999929219484</v>
      </c>
      <c r="I1584" s="15" t="str">
        <f>_xlfn.XLOOKUP(OrderDetails[[#This Row],[ProductID]],Product!A:A,Product!G:G,"Not Found")</f>
        <v>Beverages</v>
      </c>
      <c r="J1584" s="15" t="str">
        <f>LOOKUP(MONTH(G1584),{1,4,7,10},{"Winter","Spring","Summer","Autumn"})</f>
        <v>Winter</v>
      </c>
      <c r="K1584" s="15" t="str">
        <f>_xlfn.XLOOKUP(OrderDetails[[#This Row],[ProductID]],Product!A:A,Product!B:B,"Not Found")</f>
        <v>Chang</v>
      </c>
    </row>
    <row r="1585" spans="1:11">
      <c r="A1585" s="2">
        <v>10851</v>
      </c>
      <c r="B1585" s="2">
        <v>25</v>
      </c>
      <c r="C1585" s="2">
        <v>14</v>
      </c>
      <c r="D1585" s="2">
        <v>10</v>
      </c>
      <c r="E1585" s="4">
        <v>5.000000074505806E-2</v>
      </c>
      <c r="F1585" s="1" t="str">
        <f>_xlfn.XLOOKUP(A1585,Orders!A:A,Orders!B:B,"not found")</f>
        <v>RICAR</v>
      </c>
      <c r="G1585" s="13">
        <f>_xlfn.XLOOKUP(OrderDetails[[#This Row],[OrderID]],Orders!A:A,Orders!C:C,"Not Found")</f>
        <v>35821</v>
      </c>
      <c r="H1585" s="16">
        <f>(OrderDetails[[#This Row],[UnitPrice]]*OrderDetails[[#This Row],[Quantity]])*(1-OrderDetails[[#This Row],[Discount]])</f>
        <v>132.99999989569187</v>
      </c>
      <c r="I1585" s="15" t="str">
        <f>_xlfn.XLOOKUP(OrderDetails[[#This Row],[ProductID]],Product!A:A,Product!G:G,"Not Found")</f>
        <v>Confections</v>
      </c>
      <c r="J1585" s="15" t="str">
        <f>LOOKUP(MONTH(G1585),{1,4,7,10},{"Winter","Spring","Summer","Autumn"})</f>
        <v>Winter</v>
      </c>
      <c r="K1585" s="15" t="str">
        <f>_xlfn.XLOOKUP(OrderDetails[[#This Row],[ProductID]],Product!A:A,Product!B:B,"Not Found")</f>
        <v>NuNuCa Nuß-Nougat-Creme</v>
      </c>
    </row>
    <row r="1586" spans="1:11">
      <c r="A1586" s="1">
        <v>10851</v>
      </c>
      <c r="B1586" s="1">
        <v>57</v>
      </c>
      <c r="C1586" s="1">
        <v>19.5</v>
      </c>
      <c r="D1586" s="1">
        <v>10</v>
      </c>
      <c r="E1586" s="3">
        <v>5.000000074505806E-2</v>
      </c>
      <c r="F1586" s="1" t="str">
        <f>_xlfn.XLOOKUP(A1586,Orders!A:A,Orders!B:B,"not found")</f>
        <v>RICAR</v>
      </c>
      <c r="G1586" s="13">
        <f>_xlfn.XLOOKUP(OrderDetails[[#This Row],[OrderID]],Orders!A:A,Orders!C:C,"Not Found")</f>
        <v>35821</v>
      </c>
      <c r="H1586" s="16">
        <f>(OrderDetails[[#This Row],[UnitPrice]]*OrderDetails[[#This Row],[Quantity]])*(1-OrderDetails[[#This Row],[Discount]])</f>
        <v>185.24999985471368</v>
      </c>
      <c r="I1586" s="15" t="str">
        <f>_xlfn.XLOOKUP(OrderDetails[[#This Row],[ProductID]],Product!A:A,Product!G:G,"Not Found")</f>
        <v>Grains/Cereals</v>
      </c>
      <c r="J1586" s="15" t="str">
        <f>LOOKUP(MONTH(G1586),{1,4,7,10},{"Winter","Spring","Summer","Autumn"})</f>
        <v>Winter</v>
      </c>
      <c r="K1586" s="15" t="str">
        <f>_xlfn.XLOOKUP(OrderDetails[[#This Row],[ProductID]],Product!A:A,Product!B:B,"Not Found")</f>
        <v>Ravioli Angelo</v>
      </c>
    </row>
    <row r="1587" spans="1:11">
      <c r="A1587" s="2">
        <v>10851</v>
      </c>
      <c r="B1587" s="2">
        <v>59</v>
      </c>
      <c r="C1587" s="2">
        <v>55</v>
      </c>
      <c r="D1587" s="2">
        <v>42</v>
      </c>
      <c r="E1587" s="4">
        <v>5.000000074505806E-2</v>
      </c>
      <c r="F1587" s="1" t="str">
        <f>_xlfn.XLOOKUP(A1587,Orders!A:A,Orders!B:B,"not found")</f>
        <v>RICAR</v>
      </c>
      <c r="G1587" s="13">
        <f>_xlfn.XLOOKUP(OrderDetails[[#This Row],[OrderID]],Orders!A:A,Orders!C:C,"Not Found")</f>
        <v>35821</v>
      </c>
      <c r="H1587" s="16">
        <f>(OrderDetails[[#This Row],[UnitPrice]]*OrderDetails[[#This Row],[Quantity]])*(1-OrderDetails[[#This Row],[Discount]])</f>
        <v>2194.4999982789159</v>
      </c>
      <c r="I1587" s="15" t="str">
        <f>_xlfn.XLOOKUP(OrderDetails[[#This Row],[ProductID]],Product!A:A,Product!G:G,"Not Found")</f>
        <v>Dairy Products</v>
      </c>
      <c r="J1587" s="15" t="str">
        <f>LOOKUP(MONTH(G1587),{1,4,7,10},{"Winter","Spring","Summer","Autumn"})</f>
        <v>Winter</v>
      </c>
      <c r="K1587" s="15" t="str">
        <f>_xlfn.XLOOKUP(OrderDetails[[#This Row],[ProductID]],Product!A:A,Product!B:B,"Not Found")</f>
        <v>Raclette Courdavault</v>
      </c>
    </row>
    <row r="1588" spans="1:11">
      <c r="A1588" s="1">
        <v>10852</v>
      </c>
      <c r="B1588" s="1">
        <v>2</v>
      </c>
      <c r="C1588" s="1">
        <v>19</v>
      </c>
      <c r="D1588" s="1">
        <v>15</v>
      </c>
      <c r="E1588" s="3">
        <v>0</v>
      </c>
      <c r="F1588" s="1" t="str">
        <f>_xlfn.XLOOKUP(A1588,Orders!A:A,Orders!B:B,"not found")</f>
        <v>RATTC</v>
      </c>
      <c r="G1588" s="13">
        <f>_xlfn.XLOOKUP(OrderDetails[[#This Row],[OrderID]],Orders!A:A,Orders!C:C,"Not Found")</f>
        <v>35821</v>
      </c>
      <c r="H1588" s="16">
        <f>(OrderDetails[[#This Row],[UnitPrice]]*OrderDetails[[#This Row],[Quantity]])*(1-OrderDetails[[#This Row],[Discount]])</f>
        <v>285</v>
      </c>
      <c r="I1588" s="15" t="str">
        <f>_xlfn.XLOOKUP(OrderDetails[[#This Row],[ProductID]],Product!A:A,Product!G:G,"Not Found")</f>
        <v>Beverages</v>
      </c>
      <c r="J1588" s="15" t="str">
        <f>LOOKUP(MONTH(G1588),{1,4,7,10},{"Winter","Spring","Summer","Autumn"})</f>
        <v>Winter</v>
      </c>
      <c r="K1588" s="15" t="str">
        <f>_xlfn.XLOOKUP(OrderDetails[[#This Row],[ProductID]],Product!A:A,Product!B:B,"Not Found")</f>
        <v>Chang</v>
      </c>
    </row>
    <row r="1589" spans="1:11">
      <c r="A1589" s="2">
        <v>10852</v>
      </c>
      <c r="B1589" s="2">
        <v>17</v>
      </c>
      <c r="C1589" s="2">
        <v>39</v>
      </c>
      <c r="D1589" s="2">
        <v>6</v>
      </c>
      <c r="E1589" s="4">
        <v>0</v>
      </c>
      <c r="F1589" s="1" t="str">
        <f>_xlfn.XLOOKUP(A1589,Orders!A:A,Orders!B:B,"not found")</f>
        <v>RATTC</v>
      </c>
      <c r="G1589" s="13">
        <f>_xlfn.XLOOKUP(OrderDetails[[#This Row],[OrderID]],Orders!A:A,Orders!C:C,"Not Found")</f>
        <v>35821</v>
      </c>
      <c r="H1589" s="16">
        <f>(OrderDetails[[#This Row],[UnitPrice]]*OrderDetails[[#This Row],[Quantity]])*(1-OrderDetails[[#This Row],[Discount]])</f>
        <v>234</v>
      </c>
      <c r="I1589" s="15" t="str">
        <f>_xlfn.XLOOKUP(OrderDetails[[#This Row],[ProductID]],Product!A:A,Product!G:G,"Not Found")</f>
        <v>Meat/Poultry</v>
      </c>
      <c r="J1589" s="15" t="str">
        <f>LOOKUP(MONTH(G1589),{1,4,7,10},{"Winter","Spring","Summer","Autumn"})</f>
        <v>Winter</v>
      </c>
      <c r="K1589" s="15" t="str">
        <f>_xlfn.XLOOKUP(OrderDetails[[#This Row],[ProductID]],Product!A:A,Product!B:B,"Not Found")</f>
        <v>Alice Mutton</v>
      </c>
    </row>
    <row r="1590" spans="1:11">
      <c r="A1590" s="1">
        <v>10852</v>
      </c>
      <c r="B1590" s="1">
        <v>62</v>
      </c>
      <c r="C1590" s="1">
        <v>49.3</v>
      </c>
      <c r="D1590" s="1">
        <v>50</v>
      </c>
      <c r="E1590" s="3">
        <v>0</v>
      </c>
      <c r="F1590" s="1" t="str">
        <f>_xlfn.XLOOKUP(A1590,Orders!A:A,Orders!B:B,"not found")</f>
        <v>RATTC</v>
      </c>
      <c r="G1590" s="13">
        <f>_xlfn.XLOOKUP(OrderDetails[[#This Row],[OrderID]],Orders!A:A,Orders!C:C,"Not Found")</f>
        <v>35821</v>
      </c>
      <c r="H1590" s="16">
        <f>(OrderDetails[[#This Row],[UnitPrice]]*OrderDetails[[#This Row],[Quantity]])*(1-OrderDetails[[#This Row],[Discount]])</f>
        <v>2465</v>
      </c>
      <c r="I1590" s="15" t="str">
        <f>_xlfn.XLOOKUP(OrderDetails[[#This Row],[ProductID]],Product!A:A,Product!G:G,"Not Found")</f>
        <v>Confections</v>
      </c>
      <c r="J1590" s="15" t="str">
        <f>LOOKUP(MONTH(G1590),{1,4,7,10},{"Winter","Spring","Summer","Autumn"})</f>
        <v>Winter</v>
      </c>
      <c r="K1590" s="15" t="str">
        <f>_xlfn.XLOOKUP(OrderDetails[[#This Row],[ProductID]],Product!A:A,Product!B:B,"Not Found")</f>
        <v>Tarte au sucre</v>
      </c>
    </row>
    <row r="1591" spans="1:11">
      <c r="A1591" s="2">
        <v>10853</v>
      </c>
      <c r="B1591" s="2">
        <v>18</v>
      </c>
      <c r="C1591" s="2">
        <v>62.5</v>
      </c>
      <c r="D1591" s="2">
        <v>10</v>
      </c>
      <c r="E1591" s="4">
        <v>0</v>
      </c>
      <c r="F1591" s="1" t="str">
        <f>_xlfn.XLOOKUP(A1591,Orders!A:A,Orders!B:B,"not found")</f>
        <v>BLAUS</v>
      </c>
      <c r="G1591" s="13">
        <f>_xlfn.XLOOKUP(OrderDetails[[#This Row],[OrderID]],Orders!A:A,Orders!C:C,"Not Found")</f>
        <v>35822</v>
      </c>
      <c r="H1591" s="16">
        <f>(OrderDetails[[#This Row],[UnitPrice]]*OrderDetails[[#This Row],[Quantity]])*(1-OrderDetails[[#This Row],[Discount]])</f>
        <v>625</v>
      </c>
      <c r="I1591" s="15" t="str">
        <f>_xlfn.XLOOKUP(OrderDetails[[#This Row],[ProductID]],Product!A:A,Product!G:G,"Not Found")</f>
        <v>Seafood</v>
      </c>
      <c r="J1591" s="15" t="str">
        <f>LOOKUP(MONTH(G1591),{1,4,7,10},{"Winter","Spring","Summer","Autumn"})</f>
        <v>Winter</v>
      </c>
      <c r="K1591" s="15" t="str">
        <f>_xlfn.XLOOKUP(OrderDetails[[#This Row],[ProductID]],Product!A:A,Product!B:B,"Not Found")</f>
        <v>Carnarvon Tigers</v>
      </c>
    </row>
    <row r="1592" spans="1:11">
      <c r="A1592" s="1">
        <v>10854</v>
      </c>
      <c r="B1592" s="1">
        <v>10</v>
      </c>
      <c r="C1592" s="1">
        <v>31</v>
      </c>
      <c r="D1592" s="1">
        <v>100</v>
      </c>
      <c r="E1592" s="3">
        <v>0.15000000596046448</v>
      </c>
      <c r="F1592" s="1" t="str">
        <f>_xlfn.XLOOKUP(A1592,Orders!A:A,Orders!B:B,"not found")</f>
        <v>ERNSH</v>
      </c>
      <c r="G1592" s="13">
        <f>_xlfn.XLOOKUP(OrderDetails[[#This Row],[OrderID]],Orders!A:A,Orders!C:C,"Not Found")</f>
        <v>35822</v>
      </c>
      <c r="H1592" s="16">
        <f>(OrderDetails[[#This Row],[UnitPrice]]*OrderDetails[[#This Row],[Quantity]])*(1-OrderDetails[[#This Row],[Discount]])</f>
        <v>2634.9999815225601</v>
      </c>
      <c r="I1592" s="15" t="str">
        <f>_xlfn.XLOOKUP(OrderDetails[[#This Row],[ProductID]],Product!A:A,Product!G:G,"Not Found")</f>
        <v>Seafood</v>
      </c>
      <c r="J1592" s="15" t="str">
        <f>LOOKUP(MONTH(G1592),{1,4,7,10},{"Winter","Spring","Summer","Autumn"})</f>
        <v>Winter</v>
      </c>
      <c r="K1592" s="15" t="str">
        <f>_xlfn.XLOOKUP(OrderDetails[[#This Row],[ProductID]],Product!A:A,Product!B:B,"Not Found")</f>
        <v>Ikura</v>
      </c>
    </row>
    <row r="1593" spans="1:11">
      <c r="A1593" s="2">
        <v>10854</v>
      </c>
      <c r="B1593" s="2">
        <v>13</v>
      </c>
      <c r="C1593" s="2">
        <v>6</v>
      </c>
      <c r="D1593" s="2">
        <v>65</v>
      </c>
      <c r="E1593" s="4">
        <v>0.15000000596046448</v>
      </c>
      <c r="F1593" s="1" t="str">
        <f>_xlfn.XLOOKUP(A1593,Orders!A:A,Orders!B:B,"not found")</f>
        <v>ERNSH</v>
      </c>
      <c r="G1593" s="13">
        <f>_xlfn.XLOOKUP(OrderDetails[[#This Row],[OrderID]],Orders!A:A,Orders!C:C,"Not Found")</f>
        <v>35822</v>
      </c>
      <c r="H1593" s="16">
        <f>(OrderDetails[[#This Row],[UnitPrice]]*OrderDetails[[#This Row],[Quantity]])*(1-OrderDetails[[#This Row],[Discount]])</f>
        <v>331.49999767541885</v>
      </c>
      <c r="I1593" s="15" t="str">
        <f>_xlfn.XLOOKUP(OrderDetails[[#This Row],[ProductID]],Product!A:A,Product!G:G,"Not Found")</f>
        <v>Seafood</v>
      </c>
      <c r="J1593" s="15" t="str">
        <f>LOOKUP(MONTH(G1593),{1,4,7,10},{"Winter","Spring","Summer","Autumn"})</f>
        <v>Winter</v>
      </c>
      <c r="K1593" s="15" t="str">
        <f>_xlfn.XLOOKUP(OrderDetails[[#This Row],[ProductID]],Product!A:A,Product!B:B,"Not Found")</f>
        <v>Konbu</v>
      </c>
    </row>
    <row r="1594" spans="1:11">
      <c r="A1594" s="1">
        <v>10855</v>
      </c>
      <c r="B1594" s="1">
        <v>16</v>
      </c>
      <c r="C1594" s="1">
        <v>17.45</v>
      </c>
      <c r="D1594" s="1">
        <v>50</v>
      </c>
      <c r="E1594" s="3">
        <v>0</v>
      </c>
      <c r="F1594" s="1" t="str">
        <f>_xlfn.XLOOKUP(A1594,Orders!A:A,Orders!B:B,"not found")</f>
        <v>OLDWO</v>
      </c>
      <c r="G1594" s="13">
        <f>_xlfn.XLOOKUP(OrderDetails[[#This Row],[OrderID]],Orders!A:A,Orders!C:C,"Not Found")</f>
        <v>35822</v>
      </c>
      <c r="H1594" s="16">
        <f>(OrderDetails[[#This Row],[UnitPrice]]*OrderDetails[[#This Row],[Quantity]])*(1-OrderDetails[[#This Row],[Discount]])</f>
        <v>872.5</v>
      </c>
      <c r="I1594" s="15" t="str">
        <f>_xlfn.XLOOKUP(OrderDetails[[#This Row],[ProductID]],Product!A:A,Product!G:G,"Not Found")</f>
        <v>Confections</v>
      </c>
      <c r="J1594" s="15" t="str">
        <f>LOOKUP(MONTH(G1594),{1,4,7,10},{"Winter","Spring","Summer","Autumn"})</f>
        <v>Winter</v>
      </c>
      <c r="K1594" s="15" t="str">
        <f>_xlfn.XLOOKUP(OrderDetails[[#This Row],[ProductID]],Product!A:A,Product!B:B,"Not Found")</f>
        <v>Pavlova</v>
      </c>
    </row>
    <row r="1595" spans="1:11">
      <c r="A1595" s="2">
        <v>10855</v>
      </c>
      <c r="B1595" s="2">
        <v>31</v>
      </c>
      <c r="C1595" s="2">
        <v>12.5</v>
      </c>
      <c r="D1595" s="2">
        <v>14</v>
      </c>
      <c r="E1595" s="4">
        <v>0</v>
      </c>
      <c r="F1595" s="1" t="str">
        <f>_xlfn.XLOOKUP(A1595,Orders!A:A,Orders!B:B,"not found")</f>
        <v>OLDWO</v>
      </c>
      <c r="G1595" s="13">
        <f>_xlfn.XLOOKUP(OrderDetails[[#This Row],[OrderID]],Orders!A:A,Orders!C:C,"Not Found")</f>
        <v>35822</v>
      </c>
      <c r="H1595" s="16">
        <f>(OrderDetails[[#This Row],[UnitPrice]]*OrderDetails[[#This Row],[Quantity]])*(1-OrderDetails[[#This Row],[Discount]])</f>
        <v>175</v>
      </c>
      <c r="I1595" s="15" t="str">
        <f>_xlfn.XLOOKUP(OrderDetails[[#This Row],[ProductID]],Product!A:A,Product!G:G,"Not Found")</f>
        <v>Dairy Products</v>
      </c>
      <c r="J1595" s="15" t="str">
        <f>LOOKUP(MONTH(G1595),{1,4,7,10},{"Winter","Spring","Summer","Autumn"})</f>
        <v>Winter</v>
      </c>
      <c r="K1595" s="15" t="str">
        <f>_xlfn.XLOOKUP(OrderDetails[[#This Row],[ProductID]],Product!A:A,Product!B:B,"Not Found")</f>
        <v>Gorgonzola Telino</v>
      </c>
    </row>
    <row r="1596" spans="1:11">
      <c r="A1596" s="1">
        <v>10855</v>
      </c>
      <c r="B1596" s="1">
        <v>56</v>
      </c>
      <c r="C1596" s="1">
        <v>38</v>
      </c>
      <c r="D1596" s="1">
        <v>24</v>
      </c>
      <c r="E1596" s="3">
        <v>0</v>
      </c>
      <c r="F1596" s="1" t="str">
        <f>_xlfn.XLOOKUP(A1596,Orders!A:A,Orders!B:B,"not found")</f>
        <v>OLDWO</v>
      </c>
      <c r="G1596" s="13">
        <f>_xlfn.XLOOKUP(OrderDetails[[#This Row],[OrderID]],Orders!A:A,Orders!C:C,"Not Found")</f>
        <v>35822</v>
      </c>
      <c r="H1596" s="16">
        <f>(OrderDetails[[#This Row],[UnitPrice]]*OrderDetails[[#This Row],[Quantity]])*(1-OrderDetails[[#This Row],[Discount]])</f>
        <v>912</v>
      </c>
      <c r="I1596" s="15" t="str">
        <f>_xlfn.XLOOKUP(OrderDetails[[#This Row],[ProductID]],Product!A:A,Product!G:G,"Not Found")</f>
        <v>Grains/Cereals</v>
      </c>
      <c r="J1596" s="15" t="str">
        <f>LOOKUP(MONTH(G1596),{1,4,7,10},{"Winter","Spring","Summer","Autumn"})</f>
        <v>Winter</v>
      </c>
      <c r="K1596" s="15" t="str">
        <f>_xlfn.XLOOKUP(OrderDetails[[#This Row],[ProductID]],Product!A:A,Product!B:B,"Not Found")</f>
        <v>Gnocchi di nonna Alice</v>
      </c>
    </row>
    <row r="1597" spans="1:11">
      <c r="A1597" s="2">
        <v>10855</v>
      </c>
      <c r="B1597" s="2">
        <v>65</v>
      </c>
      <c r="C1597" s="2">
        <v>21.05</v>
      </c>
      <c r="D1597" s="2">
        <v>15</v>
      </c>
      <c r="E1597" s="4">
        <v>0.15000000596046448</v>
      </c>
      <c r="F1597" s="1" t="str">
        <f>_xlfn.XLOOKUP(A1597,Orders!A:A,Orders!B:B,"not found")</f>
        <v>OLDWO</v>
      </c>
      <c r="G1597" s="13">
        <f>_xlfn.XLOOKUP(OrderDetails[[#This Row],[OrderID]],Orders!A:A,Orders!C:C,"Not Found")</f>
        <v>35822</v>
      </c>
      <c r="H1597" s="16">
        <f>(OrderDetails[[#This Row],[UnitPrice]]*OrderDetails[[#This Row],[Quantity]])*(1-OrderDetails[[#This Row],[Discount]])</f>
        <v>268.38749811798334</v>
      </c>
      <c r="I1597" s="15" t="str">
        <f>_xlfn.XLOOKUP(OrderDetails[[#This Row],[ProductID]],Product!A:A,Product!G:G,"Not Found")</f>
        <v>Condiments</v>
      </c>
      <c r="J1597" s="15" t="str">
        <f>LOOKUP(MONTH(G1597),{1,4,7,10},{"Winter","Spring","Summer","Autumn"})</f>
        <v>Winter</v>
      </c>
      <c r="K1597" s="15" t="str">
        <f>_xlfn.XLOOKUP(OrderDetails[[#This Row],[ProductID]],Product!A:A,Product!B:B,"Not Found")</f>
        <v>Louisiana Fiery Hot Pepper Sauce</v>
      </c>
    </row>
    <row r="1598" spans="1:11">
      <c r="A1598" s="1">
        <v>10856</v>
      </c>
      <c r="B1598" s="1">
        <v>2</v>
      </c>
      <c r="C1598" s="1">
        <v>19</v>
      </c>
      <c r="D1598" s="1">
        <v>20</v>
      </c>
      <c r="E1598" s="3">
        <v>0</v>
      </c>
      <c r="F1598" s="1" t="str">
        <f>_xlfn.XLOOKUP(A1598,Orders!A:A,Orders!B:B,"not found")</f>
        <v>ANTON</v>
      </c>
      <c r="G1598" s="13">
        <f>_xlfn.XLOOKUP(OrderDetails[[#This Row],[OrderID]],Orders!A:A,Orders!C:C,"Not Found")</f>
        <v>35823</v>
      </c>
      <c r="H1598" s="16">
        <f>(OrderDetails[[#This Row],[UnitPrice]]*OrderDetails[[#This Row],[Quantity]])*(1-OrderDetails[[#This Row],[Discount]])</f>
        <v>380</v>
      </c>
      <c r="I1598" s="15" t="str">
        <f>_xlfn.XLOOKUP(OrderDetails[[#This Row],[ProductID]],Product!A:A,Product!G:G,"Not Found")</f>
        <v>Beverages</v>
      </c>
      <c r="J1598" s="15" t="str">
        <f>LOOKUP(MONTH(G1598),{1,4,7,10},{"Winter","Spring","Summer","Autumn"})</f>
        <v>Winter</v>
      </c>
      <c r="K1598" s="15" t="str">
        <f>_xlfn.XLOOKUP(OrderDetails[[#This Row],[ProductID]],Product!A:A,Product!B:B,"Not Found")</f>
        <v>Chang</v>
      </c>
    </row>
    <row r="1599" spans="1:11">
      <c r="A1599" s="2">
        <v>10856</v>
      </c>
      <c r="B1599" s="2">
        <v>42</v>
      </c>
      <c r="C1599" s="2">
        <v>14</v>
      </c>
      <c r="D1599" s="2">
        <v>20</v>
      </c>
      <c r="E1599" s="4">
        <v>0</v>
      </c>
      <c r="F1599" s="1" t="str">
        <f>_xlfn.XLOOKUP(A1599,Orders!A:A,Orders!B:B,"not found")</f>
        <v>ANTON</v>
      </c>
      <c r="G1599" s="13">
        <f>_xlfn.XLOOKUP(OrderDetails[[#This Row],[OrderID]],Orders!A:A,Orders!C:C,"Not Found")</f>
        <v>35823</v>
      </c>
      <c r="H1599" s="16">
        <f>(OrderDetails[[#This Row],[UnitPrice]]*OrderDetails[[#This Row],[Quantity]])*(1-OrderDetails[[#This Row],[Discount]])</f>
        <v>280</v>
      </c>
      <c r="I1599" s="15" t="str">
        <f>_xlfn.XLOOKUP(OrderDetails[[#This Row],[ProductID]],Product!A:A,Product!G:G,"Not Found")</f>
        <v>Grains/Cereals</v>
      </c>
      <c r="J1599" s="15" t="str">
        <f>LOOKUP(MONTH(G1599),{1,4,7,10},{"Winter","Spring","Summer","Autumn"})</f>
        <v>Winter</v>
      </c>
      <c r="K1599" s="15" t="str">
        <f>_xlfn.XLOOKUP(OrderDetails[[#This Row],[ProductID]],Product!A:A,Product!B:B,"Not Found")</f>
        <v>Singaporean Hokkien Fried Mee</v>
      </c>
    </row>
    <row r="1600" spans="1:11">
      <c r="A1600" s="1">
        <v>10857</v>
      </c>
      <c r="B1600" s="1">
        <v>3</v>
      </c>
      <c r="C1600" s="1">
        <v>10</v>
      </c>
      <c r="D1600" s="1">
        <v>30</v>
      </c>
      <c r="E1600" s="3">
        <v>0</v>
      </c>
      <c r="F1600" s="1" t="str">
        <f>_xlfn.XLOOKUP(A1600,Orders!A:A,Orders!B:B,"not found")</f>
        <v>BERGS</v>
      </c>
      <c r="G1600" s="13">
        <f>_xlfn.XLOOKUP(OrderDetails[[#This Row],[OrderID]],Orders!A:A,Orders!C:C,"Not Found")</f>
        <v>35823</v>
      </c>
      <c r="H1600" s="16">
        <f>(OrderDetails[[#This Row],[UnitPrice]]*OrderDetails[[#This Row],[Quantity]])*(1-OrderDetails[[#This Row],[Discount]])</f>
        <v>300</v>
      </c>
      <c r="I1600" s="15" t="str">
        <f>_xlfn.XLOOKUP(OrderDetails[[#This Row],[ProductID]],Product!A:A,Product!G:G,"Not Found")</f>
        <v>Condiments</v>
      </c>
      <c r="J1600" s="15" t="str">
        <f>LOOKUP(MONTH(G1600),{1,4,7,10},{"Winter","Spring","Summer","Autumn"})</f>
        <v>Winter</v>
      </c>
      <c r="K1600" s="15" t="str">
        <f>_xlfn.XLOOKUP(OrderDetails[[#This Row],[ProductID]],Product!A:A,Product!B:B,"Not Found")</f>
        <v>Aniseed Syrup</v>
      </c>
    </row>
    <row r="1601" spans="1:11">
      <c r="A1601" s="2">
        <v>10857</v>
      </c>
      <c r="B1601" s="2">
        <v>26</v>
      </c>
      <c r="C1601" s="2">
        <v>31.23</v>
      </c>
      <c r="D1601" s="2">
        <v>35</v>
      </c>
      <c r="E1601" s="4">
        <v>0.25</v>
      </c>
      <c r="F1601" s="1" t="str">
        <f>_xlfn.XLOOKUP(A1601,Orders!A:A,Orders!B:B,"not found")</f>
        <v>BERGS</v>
      </c>
      <c r="G1601" s="13">
        <f>_xlfn.XLOOKUP(OrderDetails[[#This Row],[OrderID]],Orders!A:A,Orders!C:C,"Not Found")</f>
        <v>35823</v>
      </c>
      <c r="H1601" s="16">
        <f>(OrderDetails[[#This Row],[UnitPrice]]*OrderDetails[[#This Row],[Quantity]])*(1-OrderDetails[[#This Row],[Discount]])</f>
        <v>819.78749999999991</v>
      </c>
      <c r="I1601" s="15" t="str">
        <f>_xlfn.XLOOKUP(OrderDetails[[#This Row],[ProductID]],Product!A:A,Product!G:G,"Not Found")</f>
        <v>Confections</v>
      </c>
      <c r="J1601" s="15" t="str">
        <f>LOOKUP(MONTH(G1601),{1,4,7,10},{"Winter","Spring","Summer","Autumn"})</f>
        <v>Winter</v>
      </c>
      <c r="K1601" s="15" t="str">
        <f>_xlfn.XLOOKUP(OrderDetails[[#This Row],[ProductID]],Product!A:A,Product!B:B,"Not Found")</f>
        <v>Gumbär Gummibärchen</v>
      </c>
    </row>
    <row r="1602" spans="1:11">
      <c r="A1602" s="1">
        <v>10857</v>
      </c>
      <c r="B1602" s="1">
        <v>29</v>
      </c>
      <c r="C1602" s="1">
        <v>123.79</v>
      </c>
      <c r="D1602" s="1">
        <v>10</v>
      </c>
      <c r="E1602" s="3">
        <v>0.25</v>
      </c>
      <c r="F1602" s="1" t="str">
        <f>_xlfn.XLOOKUP(A1602,Orders!A:A,Orders!B:B,"not found")</f>
        <v>BERGS</v>
      </c>
      <c r="G1602" s="13">
        <f>_xlfn.XLOOKUP(OrderDetails[[#This Row],[OrderID]],Orders!A:A,Orders!C:C,"Not Found")</f>
        <v>35823</v>
      </c>
      <c r="H1602" s="16">
        <f>(OrderDetails[[#This Row],[UnitPrice]]*OrderDetails[[#This Row],[Quantity]])*(1-OrderDetails[[#This Row],[Discount]])</f>
        <v>928.42500000000007</v>
      </c>
      <c r="I1602" s="15" t="str">
        <f>_xlfn.XLOOKUP(OrderDetails[[#This Row],[ProductID]],Product!A:A,Product!G:G,"Not Found")</f>
        <v>Meat/Poultry</v>
      </c>
      <c r="J1602" s="15" t="str">
        <f>LOOKUP(MONTH(G1602),{1,4,7,10},{"Winter","Spring","Summer","Autumn"})</f>
        <v>Winter</v>
      </c>
      <c r="K1602" s="15" t="str">
        <f>_xlfn.XLOOKUP(OrderDetails[[#This Row],[ProductID]],Product!A:A,Product!B:B,"Not Found")</f>
        <v>Thüringer Rostbratwurst</v>
      </c>
    </row>
    <row r="1603" spans="1:11">
      <c r="A1603" s="2">
        <v>10858</v>
      </c>
      <c r="B1603" s="2">
        <v>7</v>
      </c>
      <c r="C1603" s="2">
        <v>30</v>
      </c>
      <c r="D1603" s="2">
        <v>5</v>
      </c>
      <c r="E1603" s="4">
        <v>0</v>
      </c>
      <c r="F1603" s="1" t="str">
        <f>_xlfn.XLOOKUP(A1603,Orders!A:A,Orders!B:B,"not found")</f>
        <v>LACOR</v>
      </c>
      <c r="G1603" s="13">
        <f>_xlfn.XLOOKUP(OrderDetails[[#This Row],[OrderID]],Orders!A:A,Orders!C:C,"Not Found")</f>
        <v>35824</v>
      </c>
      <c r="H1603" s="16">
        <f>(OrderDetails[[#This Row],[UnitPrice]]*OrderDetails[[#This Row],[Quantity]])*(1-OrderDetails[[#This Row],[Discount]])</f>
        <v>150</v>
      </c>
      <c r="I1603" s="15" t="str">
        <f>_xlfn.XLOOKUP(OrderDetails[[#This Row],[ProductID]],Product!A:A,Product!G:G,"Not Found")</f>
        <v>Produce</v>
      </c>
      <c r="J1603" s="15" t="str">
        <f>LOOKUP(MONTH(G1603),{1,4,7,10},{"Winter","Spring","Summer","Autumn"})</f>
        <v>Winter</v>
      </c>
      <c r="K1603" s="15" t="str">
        <f>_xlfn.XLOOKUP(OrderDetails[[#This Row],[ProductID]],Product!A:A,Product!B:B,"Not Found")</f>
        <v>Uncle Bob's Organic Dried Pears</v>
      </c>
    </row>
    <row r="1604" spans="1:11">
      <c r="A1604" s="1">
        <v>10858</v>
      </c>
      <c r="B1604" s="1">
        <v>27</v>
      </c>
      <c r="C1604" s="1">
        <v>43.9</v>
      </c>
      <c r="D1604" s="1">
        <v>10</v>
      </c>
      <c r="E1604" s="3">
        <v>0</v>
      </c>
      <c r="F1604" s="1" t="str">
        <f>_xlfn.XLOOKUP(A1604,Orders!A:A,Orders!B:B,"not found")</f>
        <v>LACOR</v>
      </c>
      <c r="G1604" s="13">
        <f>_xlfn.XLOOKUP(OrderDetails[[#This Row],[OrderID]],Orders!A:A,Orders!C:C,"Not Found")</f>
        <v>35824</v>
      </c>
      <c r="H1604" s="16">
        <f>(OrderDetails[[#This Row],[UnitPrice]]*OrderDetails[[#This Row],[Quantity]])*(1-OrderDetails[[#This Row],[Discount]])</f>
        <v>439</v>
      </c>
      <c r="I1604" s="15" t="str">
        <f>_xlfn.XLOOKUP(OrderDetails[[#This Row],[ProductID]],Product!A:A,Product!G:G,"Not Found")</f>
        <v>Confections</v>
      </c>
      <c r="J1604" s="15" t="str">
        <f>LOOKUP(MONTH(G1604),{1,4,7,10},{"Winter","Spring","Summer","Autumn"})</f>
        <v>Winter</v>
      </c>
      <c r="K1604" s="15" t="str">
        <f>_xlfn.XLOOKUP(OrderDetails[[#This Row],[ProductID]],Product!A:A,Product!B:B,"Not Found")</f>
        <v>Schoggi Schokolade</v>
      </c>
    </row>
    <row r="1605" spans="1:11">
      <c r="A1605" s="2">
        <v>10858</v>
      </c>
      <c r="B1605" s="2">
        <v>70</v>
      </c>
      <c r="C1605" s="2">
        <v>15</v>
      </c>
      <c r="D1605" s="2">
        <v>4</v>
      </c>
      <c r="E1605" s="4">
        <v>0</v>
      </c>
      <c r="F1605" s="1" t="str">
        <f>_xlfn.XLOOKUP(A1605,Orders!A:A,Orders!B:B,"not found")</f>
        <v>LACOR</v>
      </c>
      <c r="G1605" s="13">
        <f>_xlfn.XLOOKUP(OrderDetails[[#This Row],[OrderID]],Orders!A:A,Orders!C:C,"Not Found")</f>
        <v>35824</v>
      </c>
      <c r="H1605" s="16">
        <f>(OrderDetails[[#This Row],[UnitPrice]]*OrderDetails[[#This Row],[Quantity]])*(1-OrderDetails[[#This Row],[Discount]])</f>
        <v>60</v>
      </c>
      <c r="I1605" s="15" t="str">
        <f>_xlfn.XLOOKUP(OrderDetails[[#This Row],[ProductID]],Product!A:A,Product!G:G,"Not Found")</f>
        <v>Beverages</v>
      </c>
      <c r="J1605" s="15" t="str">
        <f>LOOKUP(MONTH(G1605),{1,4,7,10},{"Winter","Spring","Summer","Autumn"})</f>
        <v>Winter</v>
      </c>
      <c r="K1605" s="15" t="str">
        <f>_xlfn.XLOOKUP(OrderDetails[[#This Row],[ProductID]],Product!A:A,Product!B:B,"Not Found")</f>
        <v>Outback Lager</v>
      </c>
    </row>
    <row r="1606" spans="1:11">
      <c r="A1606" s="1">
        <v>10859</v>
      </c>
      <c r="B1606" s="1">
        <v>24</v>
      </c>
      <c r="C1606" s="1">
        <v>4.5</v>
      </c>
      <c r="D1606" s="1">
        <v>40</v>
      </c>
      <c r="E1606" s="3">
        <v>0.25</v>
      </c>
      <c r="F1606" s="1" t="str">
        <f>_xlfn.XLOOKUP(A1606,Orders!A:A,Orders!B:B,"not found")</f>
        <v>FRANK</v>
      </c>
      <c r="G1606" s="13">
        <f>_xlfn.XLOOKUP(OrderDetails[[#This Row],[OrderID]],Orders!A:A,Orders!C:C,"Not Found")</f>
        <v>35824</v>
      </c>
      <c r="H1606" s="16">
        <f>(OrderDetails[[#This Row],[UnitPrice]]*OrderDetails[[#This Row],[Quantity]])*(1-OrderDetails[[#This Row],[Discount]])</f>
        <v>135</v>
      </c>
      <c r="I1606" s="15" t="str">
        <f>_xlfn.XLOOKUP(OrderDetails[[#This Row],[ProductID]],Product!A:A,Product!G:G,"Not Found")</f>
        <v>Beverages</v>
      </c>
      <c r="J1606" s="15" t="str">
        <f>LOOKUP(MONTH(G1606),{1,4,7,10},{"Winter","Spring","Summer","Autumn"})</f>
        <v>Winter</v>
      </c>
      <c r="K1606" s="15" t="str">
        <f>_xlfn.XLOOKUP(OrderDetails[[#This Row],[ProductID]],Product!A:A,Product!B:B,"Not Found")</f>
        <v>Guaraná Fantástica</v>
      </c>
    </row>
    <row r="1607" spans="1:11">
      <c r="A1607" s="2">
        <v>10859</v>
      </c>
      <c r="B1607" s="2">
        <v>54</v>
      </c>
      <c r="C1607" s="2">
        <v>7.45</v>
      </c>
      <c r="D1607" s="2">
        <v>35</v>
      </c>
      <c r="E1607" s="4">
        <v>0.25</v>
      </c>
      <c r="F1607" s="1" t="str">
        <f>_xlfn.XLOOKUP(A1607,Orders!A:A,Orders!B:B,"not found")</f>
        <v>FRANK</v>
      </c>
      <c r="G1607" s="13">
        <f>_xlfn.XLOOKUP(OrderDetails[[#This Row],[OrderID]],Orders!A:A,Orders!C:C,"Not Found")</f>
        <v>35824</v>
      </c>
      <c r="H1607" s="16">
        <f>(OrderDetails[[#This Row],[UnitPrice]]*OrderDetails[[#This Row],[Quantity]])*(1-OrderDetails[[#This Row],[Discount]])</f>
        <v>195.5625</v>
      </c>
      <c r="I1607" s="15" t="str">
        <f>_xlfn.XLOOKUP(OrderDetails[[#This Row],[ProductID]],Product!A:A,Product!G:G,"Not Found")</f>
        <v>Meat/Poultry</v>
      </c>
      <c r="J1607" s="15" t="str">
        <f>LOOKUP(MONTH(G1607),{1,4,7,10},{"Winter","Spring","Summer","Autumn"})</f>
        <v>Winter</v>
      </c>
      <c r="K1607" s="15" t="str">
        <f>_xlfn.XLOOKUP(OrderDetails[[#This Row],[ProductID]],Product!A:A,Product!B:B,"Not Found")</f>
        <v>Tourtière</v>
      </c>
    </row>
    <row r="1608" spans="1:11">
      <c r="A1608" s="1">
        <v>10859</v>
      </c>
      <c r="B1608" s="1">
        <v>64</v>
      </c>
      <c r="C1608" s="1">
        <v>33.25</v>
      </c>
      <c r="D1608" s="1">
        <v>30</v>
      </c>
      <c r="E1608" s="3">
        <v>0.25</v>
      </c>
      <c r="F1608" s="1" t="str">
        <f>_xlfn.XLOOKUP(A1608,Orders!A:A,Orders!B:B,"not found")</f>
        <v>FRANK</v>
      </c>
      <c r="G1608" s="13">
        <f>_xlfn.XLOOKUP(OrderDetails[[#This Row],[OrderID]],Orders!A:A,Orders!C:C,"Not Found")</f>
        <v>35824</v>
      </c>
      <c r="H1608" s="16">
        <f>(OrderDetails[[#This Row],[UnitPrice]]*OrderDetails[[#This Row],[Quantity]])*(1-OrderDetails[[#This Row],[Discount]])</f>
        <v>748.125</v>
      </c>
      <c r="I1608" s="15" t="str">
        <f>_xlfn.XLOOKUP(OrderDetails[[#This Row],[ProductID]],Product!A:A,Product!G:G,"Not Found")</f>
        <v>Grains/Cereals</v>
      </c>
      <c r="J1608" s="15" t="str">
        <f>LOOKUP(MONTH(G1608),{1,4,7,10},{"Winter","Spring","Summer","Autumn"})</f>
        <v>Winter</v>
      </c>
      <c r="K1608" s="15" t="str">
        <f>_xlfn.XLOOKUP(OrderDetails[[#This Row],[ProductID]],Product!A:A,Product!B:B,"Not Found")</f>
        <v>Wimmers gute Semmelknödel</v>
      </c>
    </row>
    <row r="1609" spans="1:11">
      <c r="A1609" s="2">
        <v>10860</v>
      </c>
      <c r="B1609" s="2">
        <v>51</v>
      </c>
      <c r="C1609" s="2">
        <v>53</v>
      </c>
      <c r="D1609" s="2">
        <v>3</v>
      </c>
      <c r="E1609" s="4">
        <v>0</v>
      </c>
      <c r="F1609" s="1" t="str">
        <f>_xlfn.XLOOKUP(A1609,Orders!A:A,Orders!B:B,"not found")</f>
        <v>FRANR</v>
      </c>
      <c r="G1609" s="13">
        <f>_xlfn.XLOOKUP(OrderDetails[[#This Row],[OrderID]],Orders!A:A,Orders!C:C,"Not Found")</f>
        <v>35824</v>
      </c>
      <c r="H1609" s="16">
        <f>(OrderDetails[[#This Row],[UnitPrice]]*OrderDetails[[#This Row],[Quantity]])*(1-OrderDetails[[#This Row],[Discount]])</f>
        <v>159</v>
      </c>
      <c r="I1609" s="15" t="str">
        <f>_xlfn.XLOOKUP(OrderDetails[[#This Row],[ProductID]],Product!A:A,Product!G:G,"Not Found")</f>
        <v>Produce</v>
      </c>
      <c r="J1609" s="15" t="str">
        <f>LOOKUP(MONTH(G1609),{1,4,7,10},{"Winter","Spring","Summer","Autumn"})</f>
        <v>Winter</v>
      </c>
      <c r="K1609" s="15" t="str">
        <f>_xlfn.XLOOKUP(OrderDetails[[#This Row],[ProductID]],Product!A:A,Product!B:B,"Not Found")</f>
        <v>Manjimup Dried Apples</v>
      </c>
    </row>
    <row r="1610" spans="1:11">
      <c r="A1610" s="1">
        <v>10860</v>
      </c>
      <c r="B1610" s="1">
        <v>76</v>
      </c>
      <c r="C1610" s="1">
        <v>18</v>
      </c>
      <c r="D1610" s="1">
        <v>20</v>
      </c>
      <c r="E1610" s="3">
        <v>0</v>
      </c>
      <c r="F1610" s="1" t="str">
        <f>_xlfn.XLOOKUP(A1610,Orders!A:A,Orders!B:B,"not found")</f>
        <v>FRANR</v>
      </c>
      <c r="G1610" s="13">
        <f>_xlfn.XLOOKUP(OrderDetails[[#This Row],[OrderID]],Orders!A:A,Orders!C:C,"Not Found")</f>
        <v>35824</v>
      </c>
      <c r="H1610" s="16">
        <f>(OrderDetails[[#This Row],[UnitPrice]]*OrderDetails[[#This Row],[Quantity]])*(1-OrderDetails[[#This Row],[Discount]])</f>
        <v>360</v>
      </c>
      <c r="I1610" s="15" t="str">
        <f>_xlfn.XLOOKUP(OrderDetails[[#This Row],[ProductID]],Product!A:A,Product!G:G,"Not Found")</f>
        <v>Beverages</v>
      </c>
      <c r="J1610" s="15" t="str">
        <f>LOOKUP(MONTH(G1610),{1,4,7,10},{"Winter","Spring","Summer","Autumn"})</f>
        <v>Winter</v>
      </c>
      <c r="K1610" s="15" t="str">
        <f>_xlfn.XLOOKUP(OrderDetails[[#This Row],[ProductID]],Product!A:A,Product!B:B,"Not Found")</f>
        <v>Lakkalikööri</v>
      </c>
    </row>
    <row r="1611" spans="1:11">
      <c r="A1611" s="2">
        <v>10861</v>
      </c>
      <c r="B1611" s="2">
        <v>17</v>
      </c>
      <c r="C1611" s="2">
        <v>39</v>
      </c>
      <c r="D1611" s="2">
        <v>42</v>
      </c>
      <c r="E1611" s="4">
        <v>0</v>
      </c>
      <c r="F1611" s="1" t="str">
        <f>_xlfn.XLOOKUP(A1611,Orders!A:A,Orders!B:B,"not found")</f>
        <v>WHITC</v>
      </c>
      <c r="G1611" s="13">
        <f>_xlfn.XLOOKUP(OrderDetails[[#This Row],[OrderID]],Orders!A:A,Orders!C:C,"Not Found")</f>
        <v>35825</v>
      </c>
      <c r="H1611" s="16">
        <f>(OrderDetails[[#This Row],[UnitPrice]]*OrderDetails[[#This Row],[Quantity]])*(1-OrderDetails[[#This Row],[Discount]])</f>
        <v>1638</v>
      </c>
      <c r="I1611" s="15" t="str">
        <f>_xlfn.XLOOKUP(OrderDetails[[#This Row],[ProductID]],Product!A:A,Product!G:G,"Not Found")</f>
        <v>Meat/Poultry</v>
      </c>
      <c r="J1611" s="15" t="str">
        <f>LOOKUP(MONTH(G1611),{1,4,7,10},{"Winter","Spring","Summer","Autumn"})</f>
        <v>Winter</v>
      </c>
      <c r="K1611" s="15" t="str">
        <f>_xlfn.XLOOKUP(OrderDetails[[#This Row],[ProductID]],Product!A:A,Product!B:B,"Not Found")</f>
        <v>Alice Mutton</v>
      </c>
    </row>
    <row r="1612" spans="1:11">
      <c r="A1612" s="1">
        <v>10861</v>
      </c>
      <c r="B1612" s="1">
        <v>18</v>
      </c>
      <c r="C1612" s="1">
        <v>62.5</v>
      </c>
      <c r="D1612" s="1">
        <v>20</v>
      </c>
      <c r="E1612" s="3">
        <v>0</v>
      </c>
      <c r="F1612" s="1" t="str">
        <f>_xlfn.XLOOKUP(A1612,Orders!A:A,Orders!B:B,"not found")</f>
        <v>WHITC</v>
      </c>
      <c r="G1612" s="13">
        <f>_xlfn.XLOOKUP(OrderDetails[[#This Row],[OrderID]],Orders!A:A,Orders!C:C,"Not Found")</f>
        <v>35825</v>
      </c>
      <c r="H1612" s="16">
        <f>(OrderDetails[[#This Row],[UnitPrice]]*OrderDetails[[#This Row],[Quantity]])*(1-OrderDetails[[#This Row],[Discount]])</f>
        <v>1250</v>
      </c>
      <c r="I1612" s="15" t="str">
        <f>_xlfn.XLOOKUP(OrderDetails[[#This Row],[ProductID]],Product!A:A,Product!G:G,"Not Found")</f>
        <v>Seafood</v>
      </c>
      <c r="J1612" s="15" t="str">
        <f>LOOKUP(MONTH(G1612),{1,4,7,10},{"Winter","Spring","Summer","Autumn"})</f>
        <v>Winter</v>
      </c>
      <c r="K1612" s="15" t="str">
        <f>_xlfn.XLOOKUP(OrderDetails[[#This Row],[ProductID]],Product!A:A,Product!B:B,"Not Found")</f>
        <v>Carnarvon Tigers</v>
      </c>
    </row>
    <row r="1613" spans="1:11">
      <c r="A1613" s="2">
        <v>10861</v>
      </c>
      <c r="B1613" s="2">
        <v>21</v>
      </c>
      <c r="C1613" s="2">
        <v>10</v>
      </c>
      <c r="D1613" s="2">
        <v>40</v>
      </c>
      <c r="E1613" s="4">
        <v>0</v>
      </c>
      <c r="F1613" s="1" t="str">
        <f>_xlfn.XLOOKUP(A1613,Orders!A:A,Orders!B:B,"not found")</f>
        <v>WHITC</v>
      </c>
      <c r="G1613" s="13">
        <f>_xlfn.XLOOKUP(OrderDetails[[#This Row],[OrderID]],Orders!A:A,Orders!C:C,"Not Found")</f>
        <v>35825</v>
      </c>
      <c r="H1613" s="16">
        <f>(OrderDetails[[#This Row],[UnitPrice]]*OrderDetails[[#This Row],[Quantity]])*(1-OrderDetails[[#This Row],[Discount]])</f>
        <v>400</v>
      </c>
      <c r="I1613" s="15" t="str">
        <f>_xlfn.XLOOKUP(OrderDetails[[#This Row],[ProductID]],Product!A:A,Product!G:G,"Not Found")</f>
        <v>Confections</v>
      </c>
      <c r="J1613" s="15" t="str">
        <f>LOOKUP(MONTH(G1613),{1,4,7,10},{"Winter","Spring","Summer","Autumn"})</f>
        <v>Winter</v>
      </c>
      <c r="K1613" s="15" t="str">
        <f>_xlfn.XLOOKUP(OrderDetails[[#This Row],[ProductID]],Product!A:A,Product!B:B,"Not Found")</f>
        <v>Sir Rodney's Scones</v>
      </c>
    </row>
    <row r="1614" spans="1:11">
      <c r="A1614" s="1">
        <v>10861</v>
      </c>
      <c r="B1614" s="1">
        <v>33</v>
      </c>
      <c r="C1614" s="1">
        <v>2.5</v>
      </c>
      <c r="D1614" s="1">
        <v>35</v>
      </c>
      <c r="E1614" s="3">
        <v>0</v>
      </c>
      <c r="F1614" s="1" t="str">
        <f>_xlfn.XLOOKUP(A1614,Orders!A:A,Orders!B:B,"not found")</f>
        <v>WHITC</v>
      </c>
      <c r="G1614" s="13">
        <f>_xlfn.XLOOKUP(OrderDetails[[#This Row],[OrderID]],Orders!A:A,Orders!C:C,"Not Found")</f>
        <v>35825</v>
      </c>
      <c r="H1614" s="16">
        <f>(OrderDetails[[#This Row],[UnitPrice]]*OrderDetails[[#This Row],[Quantity]])*(1-OrderDetails[[#This Row],[Discount]])</f>
        <v>87.5</v>
      </c>
      <c r="I1614" s="15" t="str">
        <f>_xlfn.XLOOKUP(OrderDetails[[#This Row],[ProductID]],Product!A:A,Product!G:G,"Not Found")</f>
        <v>Dairy Products</v>
      </c>
      <c r="J1614" s="15" t="str">
        <f>LOOKUP(MONTH(G1614),{1,4,7,10},{"Winter","Spring","Summer","Autumn"})</f>
        <v>Winter</v>
      </c>
      <c r="K1614" s="15" t="str">
        <f>_xlfn.XLOOKUP(OrderDetails[[#This Row],[ProductID]],Product!A:A,Product!B:B,"Not Found")</f>
        <v>Geitost</v>
      </c>
    </row>
    <row r="1615" spans="1:11">
      <c r="A1615" s="2">
        <v>10861</v>
      </c>
      <c r="B1615" s="2">
        <v>62</v>
      </c>
      <c r="C1615" s="2">
        <v>49.3</v>
      </c>
      <c r="D1615" s="2">
        <v>3</v>
      </c>
      <c r="E1615" s="4">
        <v>0</v>
      </c>
      <c r="F1615" s="1" t="str">
        <f>_xlfn.XLOOKUP(A1615,Orders!A:A,Orders!B:B,"not found")</f>
        <v>WHITC</v>
      </c>
      <c r="G1615" s="13">
        <f>_xlfn.XLOOKUP(OrderDetails[[#This Row],[OrderID]],Orders!A:A,Orders!C:C,"Not Found")</f>
        <v>35825</v>
      </c>
      <c r="H1615" s="16">
        <f>(OrderDetails[[#This Row],[UnitPrice]]*OrderDetails[[#This Row],[Quantity]])*(1-OrderDetails[[#This Row],[Discount]])</f>
        <v>147.89999999999998</v>
      </c>
      <c r="I1615" s="15" t="str">
        <f>_xlfn.XLOOKUP(OrderDetails[[#This Row],[ProductID]],Product!A:A,Product!G:G,"Not Found")</f>
        <v>Confections</v>
      </c>
      <c r="J1615" s="15" t="str">
        <f>LOOKUP(MONTH(G1615),{1,4,7,10},{"Winter","Spring","Summer","Autumn"})</f>
        <v>Winter</v>
      </c>
      <c r="K1615" s="15" t="str">
        <f>_xlfn.XLOOKUP(OrderDetails[[#This Row],[ProductID]],Product!A:A,Product!B:B,"Not Found")</f>
        <v>Tarte au sucre</v>
      </c>
    </row>
    <row r="1616" spans="1:11">
      <c r="A1616" s="1">
        <v>10862</v>
      </c>
      <c r="B1616" s="1">
        <v>11</v>
      </c>
      <c r="C1616" s="1">
        <v>21</v>
      </c>
      <c r="D1616" s="1">
        <v>25</v>
      </c>
      <c r="E1616" s="3">
        <v>0</v>
      </c>
      <c r="F1616" s="1" t="str">
        <f>_xlfn.XLOOKUP(A1616,Orders!A:A,Orders!B:B,"not found")</f>
        <v>LEHMS</v>
      </c>
      <c r="G1616" s="13">
        <f>_xlfn.XLOOKUP(OrderDetails[[#This Row],[OrderID]],Orders!A:A,Orders!C:C,"Not Found")</f>
        <v>35825</v>
      </c>
      <c r="H1616" s="16">
        <f>(OrderDetails[[#This Row],[UnitPrice]]*OrderDetails[[#This Row],[Quantity]])*(1-OrderDetails[[#This Row],[Discount]])</f>
        <v>525</v>
      </c>
      <c r="I1616" s="15" t="str">
        <f>_xlfn.XLOOKUP(OrderDetails[[#This Row],[ProductID]],Product!A:A,Product!G:G,"Not Found")</f>
        <v>Dairy Products</v>
      </c>
      <c r="J1616" s="15" t="str">
        <f>LOOKUP(MONTH(G1616),{1,4,7,10},{"Winter","Spring","Summer","Autumn"})</f>
        <v>Winter</v>
      </c>
      <c r="K1616" s="15" t="str">
        <f>_xlfn.XLOOKUP(OrderDetails[[#This Row],[ProductID]],Product!A:A,Product!B:B,"Not Found")</f>
        <v>Queso Cabrales</v>
      </c>
    </row>
    <row r="1617" spans="1:11">
      <c r="A1617" s="2">
        <v>10862</v>
      </c>
      <c r="B1617" s="2">
        <v>52</v>
      </c>
      <c r="C1617" s="2">
        <v>7</v>
      </c>
      <c r="D1617" s="2">
        <v>8</v>
      </c>
      <c r="E1617" s="4">
        <v>0</v>
      </c>
      <c r="F1617" s="1" t="str">
        <f>_xlfn.XLOOKUP(A1617,Orders!A:A,Orders!B:B,"not found")</f>
        <v>LEHMS</v>
      </c>
      <c r="G1617" s="13">
        <f>_xlfn.XLOOKUP(OrderDetails[[#This Row],[OrderID]],Orders!A:A,Orders!C:C,"Not Found")</f>
        <v>35825</v>
      </c>
      <c r="H1617" s="16">
        <f>(OrderDetails[[#This Row],[UnitPrice]]*OrderDetails[[#This Row],[Quantity]])*(1-OrderDetails[[#This Row],[Discount]])</f>
        <v>56</v>
      </c>
      <c r="I1617" s="15" t="str">
        <f>_xlfn.XLOOKUP(OrderDetails[[#This Row],[ProductID]],Product!A:A,Product!G:G,"Not Found")</f>
        <v>Grains/Cereals</v>
      </c>
      <c r="J1617" s="15" t="str">
        <f>LOOKUP(MONTH(G1617),{1,4,7,10},{"Winter","Spring","Summer","Autumn"})</f>
        <v>Winter</v>
      </c>
      <c r="K1617" s="15" t="str">
        <f>_xlfn.XLOOKUP(OrderDetails[[#This Row],[ProductID]],Product!A:A,Product!B:B,"Not Found")</f>
        <v>Filo Mix</v>
      </c>
    </row>
    <row r="1618" spans="1:11">
      <c r="A1618" s="1">
        <v>10863</v>
      </c>
      <c r="B1618" s="1">
        <v>1</v>
      </c>
      <c r="C1618" s="1">
        <v>18</v>
      </c>
      <c r="D1618" s="1">
        <v>20</v>
      </c>
      <c r="E1618" s="3">
        <v>0.15000000596046448</v>
      </c>
      <c r="F1618" s="1" t="str">
        <f>_xlfn.XLOOKUP(A1618,Orders!A:A,Orders!B:B,"not found")</f>
        <v>HILAA</v>
      </c>
      <c r="G1618" s="13">
        <f>_xlfn.XLOOKUP(OrderDetails[[#This Row],[OrderID]],Orders!A:A,Orders!C:C,"Not Found")</f>
        <v>35828</v>
      </c>
      <c r="H1618" s="16">
        <f>(OrderDetails[[#This Row],[UnitPrice]]*OrderDetails[[#This Row],[Quantity]])*(1-OrderDetails[[#This Row],[Discount]])</f>
        <v>305.99999785423279</v>
      </c>
      <c r="I1618" s="15" t="str">
        <f>_xlfn.XLOOKUP(OrderDetails[[#This Row],[ProductID]],Product!A:A,Product!G:G,"Not Found")</f>
        <v>Beverages</v>
      </c>
      <c r="J1618" s="15" t="str">
        <f>LOOKUP(MONTH(G1618),{1,4,7,10},{"Winter","Spring","Summer","Autumn"})</f>
        <v>Winter</v>
      </c>
      <c r="K1618" s="15" t="str">
        <f>_xlfn.XLOOKUP(OrderDetails[[#This Row],[ProductID]],Product!A:A,Product!B:B,"Not Found")</f>
        <v>Chai</v>
      </c>
    </row>
    <row r="1619" spans="1:11">
      <c r="A1619" s="2">
        <v>10863</v>
      </c>
      <c r="B1619" s="2">
        <v>58</v>
      </c>
      <c r="C1619" s="2">
        <v>13.25</v>
      </c>
      <c r="D1619" s="2">
        <v>12</v>
      </c>
      <c r="E1619" s="4">
        <v>0.15000000596046448</v>
      </c>
      <c r="F1619" s="1" t="str">
        <f>_xlfn.XLOOKUP(A1619,Orders!A:A,Orders!B:B,"not found")</f>
        <v>HILAA</v>
      </c>
      <c r="G1619" s="13">
        <f>_xlfn.XLOOKUP(OrderDetails[[#This Row],[OrderID]],Orders!A:A,Orders!C:C,"Not Found")</f>
        <v>35828</v>
      </c>
      <c r="H1619" s="16">
        <f>(OrderDetails[[#This Row],[UnitPrice]]*OrderDetails[[#This Row],[Quantity]])*(1-OrderDetails[[#This Row],[Discount]])</f>
        <v>135.14999905228615</v>
      </c>
      <c r="I1619" s="15" t="str">
        <f>_xlfn.XLOOKUP(OrderDetails[[#This Row],[ProductID]],Product!A:A,Product!G:G,"Not Found")</f>
        <v>Seafood</v>
      </c>
      <c r="J1619" s="15" t="str">
        <f>LOOKUP(MONTH(G1619),{1,4,7,10},{"Winter","Spring","Summer","Autumn"})</f>
        <v>Winter</v>
      </c>
      <c r="K1619" s="15" t="str">
        <f>_xlfn.XLOOKUP(OrderDetails[[#This Row],[ProductID]],Product!A:A,Product!B:B,"Not Found")</f>
        <v>Escargots de Bourgogne</v>
      </c>
    </row>
    <row r="1620" spans="1:11">
      <c r="A1620" s="1">
        <v>10864</v>
      </c>
      <c r="B1620" s="1">
        <v>35</v>
      </c>
      <c r="C1620" s="1">
        <v>18</v>
      </c>
      <c r="D1620" s="1">
        <v>4</v>
      </c>
      <c r="E1620" s="3">
        <v>0</v>
      </c>
      <c r="F1620" s="1" t="str">
        <f>_xlfn.XLOOKUP(A1620,Orders!A:A,Orders!B:B,"not found")</f>
        <v>AROUT</v>
      </c>
      <c r="G1620" s="13">
        <f>_xlfn.XLOOKUP(OrderDetails[[#This Row],[OrderID]],Orders!A:A,Orders!C:C,"Not Found")</f>
        <v>35828</v>
      </c>
      <c r="H1620" s="16">
        <f>(OrderDetails[[#This Row],[UnitPrice]]*OrderDetails[[#This Row],[Quantity]])*(1-OrderDetails[[#This Row],[Discount]])</f>
        <v>72</v>
      </c>
      <c r="I1620" s="15" t="str">
        <f>_xlfn.XLOOKUP(OrderDetails[[#This Row],[ProductID]],Product!A:A,Product!G:G,"Not Found")</f>
        <v>Beverages</v>
      </c>
      <c r="J1620" s="15" t="str">
        <f>LOOKUP(MONTH(G1620),{1,4,7,10},{"Winter","Spring","Summer","Autumn"})</f>
        <v>Winter</v>
      </c>
      <c r="K1620" s="15" t="str">
        <f>_xlfn.XLOOKUP(OrderDetails[[#This Row],[ProductID]],Product!A:A,Product!B:B,"Not Found")</f>
        <v>Steeleye Stout</v>
      </c>
    </row>
    <row r="1621" spans="1:11">
      <c r="A1621" s="2">
        <v>10864</v>
      </c>
      <c r="B1621" s="2">
        <v>67</v>
      </c>
      <c r="C1621" s="2">
        <v>14</v>
      </c>
      <c r="D1621" s="2">
        <v>15</v>
      </c>
      <c r="E1621" s="4">
        <v>0</v>
      </c>
      <c r="F1621" s="1" t="str">
        <f>_xlfn.XLOOKUP(A1621,Orders!A:A,Orders!B:B,"not found")</f>
        <v>AROUT</v>
      </c>
      <c r="G1621" s="13">
        <f>_xlfn.XLOOKUP(OrderDetails[[#This Row],[OrderID]],Orders!A:A,Orders!C:C,"Not Found")</f>
        <v>35828</v>
      </c>
      <c r="H1621" s="16">
        <f>(OrderDetails[[#This Row],[UnitPrice]]*OrderDetails[[#This Row],[Quantity]])*(1-OrderDetails[[#This Row],[Discount]])</f>
        <v>210</v>
      </c>
      <c r="I1621" s="15" t="str">
        <f>_xlfn.XLOOKUP(OrderDetails[[#This Row],[ProductID]],Product!A:A,Product!G:G,"Not Found")</f>
        <v>Beverages</v>
      </c>
      <c r="J1621" s="15" t="str">
        <f>LOOKUP(MONTH(G1621),{1,4,7,10},{"Winter","Spring","Summer","Autumn"})</f>
        <v>Winter</v>
      </c>
      <c r="K1621" s="15" t="str">
        <f>_xlfn.XLOOKUP(OrderDetails[[#This Row],[ProductID]],Product!A:A,Product!B:B,"Not Found")</f>
        <v>Laughing Lumberjack Lager</v>
      </c>
    </row>
    <row r="1622" spans="1:11">
      <c r="A1622" s="1">
        <v>10865</v>
      </c>
      <c r="B1622" s="1">
        <v>38</v>
      </c>
      <c r="C1622" s="1">
        <v>263.5</v>
      </c>
      <c r="D1622" s="1">
        <v>60</v>
      </c>
      <c r="E1622" s="3">
        <v>5.000000074505806E-2</v>
      </c>
      <c r="F1622" s="1" t="str">
        <f>_xlfn.XLOOKUP(A1622,Orders!A:A,Orders!B:B,"not found")</f>
        <v>QUICK</v>
      </c>
      <c r="G1622" s="13">
        <f>_xlfn.XLOOKUP(OrderDetails[[#This Row],[OrderID]],Orders!A:A,Orders!C:C,"Not Found")</f>
        <v>35828</v>
      </c>
      <c r="H1622" s="16">
        <f>(OrderDetails[[#This Row],[UnitPrice]]*OrderDetails[[#This Row],[Quantity]])*(1-OrderDetails[[#This Row],[Discount]])</f>
        <v>15019.499988220632</v>
      </c>
      <c r="I1622" s="15" t="str">
        <f>_xlfn.XLOOKUP(OrderDetails[[#This Row],[ProductID]],Product!A:A,Product!G:G,"Not Found")</f>
        <v>Beverages</v>
      </c>
      <c r="J1622" s="15" t="str">
        <f>LOOKUP(MONTH(G1622),{1,4,7,10},{"Winter","Spring","Summer","Autumn"})</f>
        <v>Winter</v>
      </c>
      <c r="K1622" s="15" t="str">
        <f>_xlfn.XLOOKUP(OrderDetails[[#This Row],[ProductID]],Product!A:A,Product!B:B,"Not Found")</f>
        <v>Côte de Blaye</v>
      </c>
    </row>
    <row r="1623" spans="1:11">
      <c r="A1623" s="2">
        <v>10865</v>
      </c>
      <c r="B1623" s="2">
        <v>39</v>
      </c>
      <c r="C1623" s="2">
        <v>18</v>
      </c>
      <c r="D1623" s="2">
        <v>80</v>
      </c>
      <c r="E1623" s="4">
        <v>5.000000074505806E-2</v>
      </c>
      <c r="F1623" s="1" t="str">
        <f>_xlfn.XLOOKUP(A1623,Orders!A:A,Orders!B:B,"not found")</f>
        <v>QUICK</v>
      </c>
      <c r="G1623" s="13">
        <f>_xlfn.XLOOKUP(OrderDetails[[#This Row],[OrderID]],Orders!A:A,Orders!C:C,"Not Found")</f>
        <v>35828</v>
      </c>
      <c r="H1623" s="16">
        <f>(OrderDetails[[#This Row],[UnitPrice]]*OrderDetails[[#This Row],[Quantity]])*(1-OrderDetails[[#This Row],[Discount]])</f>
        <v>1367.9999989271164</v>
      </c>
      <c r="I1623" s="15" t="str">
        <f>_xlfn.XLOOKUP(OrderDetails[[#This Row],[ProductID]],Product!A:A,Product!G:G,"Not Found")</f>
        <v>Beverages</v>
      </c>
      <c r="J1623" s="15" t="str">
        <f>LOOKUP(MONTH(G1623),{1,4,7,10},{"Winter","Spring","Summer","Autumn"})</f>
        <v>Winter</v>
      </c>
      <c r="K1623" s="15" t="str">
        <f>_xlfn.XLOOKUP(OrderDetails[[#This Row],[ProductID]],Product!A:A,Product!B:B,"Not Found")</f>
        <v>Chartreuse verte</v>
      </c>
    </row>
    <row r="1624" spans="1:11">
      <c r="A1624" s="1">
        <v>10866</v>
      </c>
      <c r="B1624" s="1">
        <v>2</v>
      </c>
      <c r="C1624" s="1">
        <v>19</v>
      </c>
      <c r="D1624" s="1">
        <v>21</v>
      </c>
      <c r="E1624" s="3">
        <v>0.25</v>
      </c>
      <c r="F1624" s="1" t="str">
        <f>_xlfn.XLOOKUP(A1624,Orders!A:A,Orders!B:B,"not found")</f>
        <v>BERGS</v>
      </c>
      <c r="G1624" s="13">
        <f>_xlfn.XLOOKUP(OrderDetails[[#This Row],[OrderID]],Orders!A:A,Orders!C:C,"Not Found")</f>
        <v>35829</v>
      </c>
      <c r="H1624" s="16">
        <f>(OrderDetails[[#This Row],[UnitPrice]]*OrderDetails[[#This Row],[Quantity]])*(1-OrderDetails[[#This Row],[Discount]])</f>
        <v>299.25</v>
      </c>
      <c r="I1624" s="15" t="str">
        <f>_xlfn.XLOOKUP(OrderDetails[[#This Row],[ProductID]],Product!A:A,Product!G:G,"Not Found")</f>
        <v>Beverages</v>
      </c>
      <c r="J1624" s="15" t="str">
        <f>LOOKUP(MONTH(G1624),{1,4,7,10},{"Winter","Spring","Summer","Autumn"})</f>
        <v>Winter</v>
      </c>
      <c r="K1624" s="15" t="str">
        <f>_xlfn.XLOOKUP(OrderDetails[[#This Row],[ProductID]],Product!A:A,Product!B:B,"Not Found")</f>
        <v>Chang</v>
      </c>
    </row>
    <row r="1625" spans="1:11">
      <c r="A1625" s="2">
        <v>10866</v>
      </c>
      <c r="B1625" s="2">
        <v>24</v>
      </c>
      <c r="C1625" s="2">
        <v>4.5</v>
      </c>
      <c r="D1625" s="2">
        <v>6</v>
      </c>
      <c r="E1625" s="4">
        <v>0.25</v>
      </c>
      <c r="F1625" s="1" t="str">
        <f>_xlfn.XLOOKUP(A1625,Orders!A:A,Orders!B:B,"not found")</f>
        <v>BERGS</v>
      </c>
      <c r="G1625" s="13">
        <f>_xlfn.XLOOKUP(OrderDetails[[#This Row],[OrderID]],Orders!A:A,Orders!C:C,"Not Found")</f>
        <v>35829</v>
      </c>
      <c r="H1625" s="16">
        <f>(OrderDetails[[#This Row],[UnitPrice]]*OrderDetails[[#This Row],[Quantity]])*(1-OrderDetails[[#This Row],[Discount]])</f>
        <v>20.25</v>
      </c>
      <c r="I1625" s="15" t="str">
        <f>_xlfn.XLOOKUP(OrderDetails[[#This Row],[ProductID]],Product!A:A,Product!G:G,"Not Found")</f>
        <v>Beverages</v>
      </c>
      <c r="J1625" s="15" t="str">
        <f>LOOKUP(MONTH(G1625),{1,4,7,10},{"Winter","Spring","Summer","Autumn"})</f>
        <v>Winter</v>
      </c>
      <c r="K1625" s="15" t="str">
        <f>_xlfn.XLOOKUP(OrderDetails[[#This Row],[ProductID]],Product!A:A,Product!B:B,"Not Found")</f>
        <v>Guaraná Fantástica</v>
      </c>
    </row>
    <row r="1626" spans="1:11">
      <c r="A1626" s="1">
        <v>10866</v>
      </c>
      <c r="B1626" s="1">
        <v>30</v>
      </c>
      <c r="C1626" s="1">
        <v>25.89</v>
      </c>
      <c r="D1626" s="1">
        <v>40</v>
      </c>
      <c r="E1626" s="3">
        <v>0.25</v>
      </c>
      <c r="F1626" s="1" t="str">
        <f>_xlfn.XLOOKUP(A1626,Orders!A:A,Orders!B:B,"not found")</f>
        <v>BERGS</v>
      </c>
      <c r="G1626" s="13">
        <f>_xlfn.XLOOKUP(OrderDetails[[#This Row],[OrderID]],Orders!A:A,Orders!C:C,"Not Found")</f>
        <v>35829</v>
      </c>
      <c r="H1626" s="16">
        <f>(OrderDetails[[#This Row],[UnitPrice]]*OrderDetails[[#This Row],[Quantity]])*(1-OrderDetails[[#This Row],[Discount]])</f>
        <v>776.69999999999993</v>
      </c>
      <c r="I1626" s="15" t="str">
        <f>_xlfn.XLOOKUP(OrderDetails[[#This Row],[ProductID]],Product!A:A,Product!G:G,"Not Found")</f>
        <v>Seafood</v>
      </c>
      <c r="J1626" s="15" t="str">
        <f>LOOKUP(MONTH(G1626),{1,4,7,10},{"Winter","Spring","Summer","Autumn"})</f>
        <v>Winter</v>
      </c>
      <c r="K1626" s="15" t="str">
        <f>_xlfn.XLOOKUP(OrderDetails[[#This Row],[ProductID]],Product!A:A,Product!B:B,"Not Found")</f>
        <v>Nord-Ost Matjeshering</v>
      </c>
    </row>
    <row r="1627" spans="1:11">
      <c r="A1627" s="2">
        <v>10867</v>
      </c>
      <c r="B1627" s="2">
        <v>53</v>
      </c>
      <c r="C1627" s="2">
        <v>32.799999999999997</v>
      </c>
      <c r="D1627" s="2">
        <v>3</v>
      </c>
      <c r="E1627" s="4">
        <v>0</v>
      </c>
      <c r="F1627" s="1" t="str">
        <f>_xlfn.XLOOKUP(A1627,Orders!A:A,Orders!B:B,"not found")</f>
        <v>LONEP</v>
      </c>
      <c r="G1627" s="13">
        <f>_xlfn.XLOOKUP(OrderDetails[[#This Row],[OrderID]],Orders!A:A,Orders!C:C,"Not Found")</f>
        <v>35829</v>
      </c>
      <c r="H1627" s="16">
        <f>(OrderDetails[[#This Row],[UnitPrice]]*OrderDetails[[#This Row],[Quantity]])*(1-OrderDetails[[#This Row],[Discount]])</f>
        <v>98.399999999999991</v>
      </c>
      <c r="I1627" s="15" t="str">
        <f>_xlfn.XLOOKUP(OrderDetails[[#This Row],[ProductID]],Product!A:A,Product!G:G,"Not Found")</f>
        <v>Meat/Poultry</v>
      </c>
      <c r="J1627" s="15" t="str">
        <f>LOOKUP(MONTH(G1627),{1,4,7,10},{"Winter","Spring","Summer","Autumn"})</f>
        <v>Winter</v>
      </c>
      <c r="K1627" s="15" t="str">
        <f>_xlfn.XLOOKUP(OrderDetails[[#This Row],[ProductID]],Product!A:A,Product!B:B,"Not Found")</f>
        <v>Perth Pasties</v>
      </c>
    </row>
    <row r="1628" spans="1:11">
      <c r="A1628" s="1">
        <v>10868</v>
      </c>
      <c r="B1628" s="1">
        <v>26</v>
      </c>
      <c r="C1628" s="1">
        <v>31.23</v>
      </c>
      <c r="D1628" s="1">
        <v>20</v>
      </c>
      <c r="E1628" s="3">
        <v>0</v>
      </c>
      <c r="F1628" s="1" t="str">
        <f>_xlfn.XLOOKUP(A1628,Orders!A:A,Orders!B:B,"not found")</f>
        <v>QUEEN</v>
      </c>
      <c r="G1628" s="13">
        <f>_xlfn.XLOOKUP(OrderDetails[[#This Row],[OrderID]],Orders!A:A,Orders!C:C,"Not Found")</f>
        <v>35830</v>
      </c>
      <c r="H1628" s="16">
        <f>(OrderDetails[[#This Row],[UnitPrice]]*OrderDetails[[#This Row],[Quantity]])*(1-OrderDetails[[#This Row],[Discount]])</f>
        <v>624.6</v>
      </c>
      <c r="I1628" s="15" t="str">
        <f>_xlfn.XLOOKUP(OrderDetails[[#This Row],[ProductID]],Product!A:A,Product!G:G,"Not Found")</f>
        <v>Confections</v>
      </c>
      <c r="J1628" s="15" t="str">
        <f>LOOKUP(MONTH(G1628),{1,4,7,10},{"Winter","Spring","Summer","Autumn"})</f>
        <v>Winter</v>
      </c>
      <c r="K1628" s="15" t="str">
        <f>_xlfn.XLOOKUP(OrderDetails[[#This Row],[ProductID]],Product!A:A,Product!B:B,"Not Found")</f>
        <v>Gumbär Gummibärchen</v>
      </c>
    </row>
    <row r="1629" spans="1:11">
      <c r="A1629" s="2">
        <v>10868</v>
      </c>
      <c r="B1629" s="2">
        <v>35</v>
      </c>
      <c r="C1629" s="2">
        <v>18</v>
      </c>
      <c r="D1629" s="2">
        <v>30</v>
      </c>
      <c r="E1629" s="4">
        <v>0</v>
      </c>
      <c r="F1629" s="1" t="str">
        <f>_xlfn.XLOOKUP(A1629,Orders!A:A,Orders!B:B,"not found")</f>
        <v>QUEEN</v>
      </c>
      <c r="G1629" s="13">
        <f>_xlfn.XLOOKUP(OrderDetails[[#This Row],[OrderID]],Orders!A:A,Orders!C:C,"Not Found")</f>
        <v>35830</v>
      </c>
      <c r="H1629" s="16">
        <f>(OrderDetails[[#This Row],[UnitPrice]]*OrderDetails[[#This Row],[Quantity]])*(1-OrderDetails[[#This Row],[Discount]])</f>
        <v>540</v>
      </c>
      <c r="I1629" s="15" t="str">
        <f>_xlfn.XLOOKUP(OrderDetails[[#This Row],[ProductID]],Product!A:A,Product!G:G,"Not Found")</f>
        <v>Beverages</v>
      </c>
      <c r="J1629" s="15" t="str">
        <f>LOOKUP(MONTH(G1629),{1,4,7,10},{"Winter","Spring","Summer","Autumn"})</f>
        <v>Winter</v>
      </c>
      <c r="K1629" s="15" t="str">
        <f>_xlfn.XLOOKUP(OrderDetails[[#This Row],[ProductID]],Product!A:A,Product!B:B,"Not Found")</f>
        <v>Steeleye Stout</v>
      </c>
    </row>
    <row r="1630" spans="1:11">
      <c r="A1630" s="1">
        <v>10868</v>
      </c>
      <c r="B1630" s="1">
        <v>49</v>
      </c>
      <c r="C1630" s="1">
        <v>20</v>
      </c>
      <c r="D1630" s="1">
        <v>42</v>
      </c>
      <c r="E1630" s="3">
        <v>0.10000000149011612</v>
      </c>
      <c r="F1630" s="1" t="str">
        <f>_xlfn.XLOOKUP(A1630,Orders!A:A,Orders!B:B,"not found")</f>
        <v>QUEEN</v>
      </c>
      <c r="G1630" s="13">
        <f>_xlfn.XLOOKUP(OrderDetails[[#This Row],[OrderID]],Orders!A:A,Orders!C:C,"Not Found")</f>
        <v>35830</v>
      </c>
      <c r="H1630" s="16">
        <f>(OrderDetails[[#This Row],[UnitPrice]]*OrderDetails[[#This Row],[Quantity]])*(1-OrderDetails[[#This Row],[Discount]])</f>
        <v>755.99999874830246</v>
      </c>
      <c r="I1630" s="15" t="str">
        <f>_xlfn.XLOOKUP(OrderDetails[[#This Row],[ProductID]],Product!A:A,Product!G:G,"Not Found")</f>
        <v>Confections</v>
      </c>
      <c r="J1630" s="15" t="str">
        <f>LOOKUP(MONTH(G1630),{1,4,7,10},{"Winter","Spring","Summer","Autumn"})</f>
        <v>Winter</v>
      </c>
      <c r="K1630" s="15" t="str">
        <f>_xlfn.XLOOKUP(OrderDetails[[#This Row],[ProductID]],Product!A:A,Product!B:B,"Not Found")</f>
        <v>Maxilaku</v>
      </c>
    </row>
    <row r="1631" spans="1:11">
      <c r="A1631" s="2">
        <v>10869</v>
      </c>
      <c r="B1631" s="2">
        <v>1</v>
      </c>
      <c r="C1631" s="2">
        <v>18</v>
      </c>
      <c r="D1631" s="2">
        <v>40</v>
      </c>
      <c r="E1631" s="4">
        <v>0</v>
      </c>
      <c r="F1631" s="1" t="str">
        <f>_xlfn.XLOOKUP(A1631,Orders!A:A,Orders!B:B,"not found")</f>
        <v>SEVES</v>
      </c>
      <c r="G1631" s="13">
        <f>_xlfn.XLOOKUP(OrderDetails[[#This Row],[OrderID]],Orders!A:A,Orders!C:C,"Not Found")</f>
        <v>35830</v>
      </c>
      <c r="H1631" s="16">
        <f>(OrderDetails[[#This Row],[UnitPrice]]*OrderDetails[[#This Row],[Quantity]])*(1-OrderDetails[[#This Row],[Discount]])</f>
        <v>720</v>
      </c>
      <c r="I1631" s="15" t="str">
        <f>_xlfn.XLOOKUP(OrderDetails[[#This Row],[ProductID]],Product!A:A,Product!G:G,"Not Found")</f>
        <v>Beverages</v>
      </c>
      <c r="J1631" s="15" t="str">
        <f>LOOKUP(MONTH(G1631),{1,4,7,10},{"Winter","Spring","Summer","Autumn"})</f>
        <v>Winter</v>
      </c>
      <c r="K1631" s="15" t="str">
        <f>_xlfn.XLOOKUP(OrderDetails[[#This Row],[ProductID]],Product!A:A,Product!B:B,"Not Found")</f>
        <v>Chai</v>
      </c>
    </row>
    <row r="1632" spans="1:11">
      <c r="A1632" s="1">
        <v>10869</v>
      </c>
      <c r="B1632" s="1">
        <v>11</v>
      </c>
      <c r="C1632" s="1">
        <v>21</v>
      </c>
      <c r="D1632" s="1">
        <v>10</v>
      </c>
      <c r="E1632" s="3">
        <v>0</v>
      </c>
      <c r="F1632" s="1" t="str">
        <f>_xlfn.XLOOKUP(A1632,Orders!A:A,Orders!B:B,"not found")</f>
        <v>SEVES</v>
      </c>
      <c r="G1632" s="13">
        <f>_xlfn.XLOOKUP(OrderDetails[[#This Row],[OrderID]],Orders!A:A,Orders!C:C,"Not Found")</f>
        <v>35830</v>
      </c>
      <c r="H1632" s="16">
        <f>(OrderDetails[[#This Row],[UnitPrice]]*OrderDetails[[#This Row],[Quantity]])*(1-OrderDetails[[#This Row],[Discount]])</f>
        <v>210</v>
      </c>
      <c r="I1632" s="15" t="str">
        <f>_xlfn.XLOOKUP(OrderDetails[[#This Row],[ProductID]],Product!A:A,Product!G:G,"Not Found")</f>
        <v>Dairy Products</v>
      </c>
      <c r="J1632" s="15" t="str">
        <f>LOOKUP(MONTH(G1632),{1,4,7,10},{"Winter","Spring","Summer","Autumn"})</f>
        <v>Winter</v>
      </c>
      <c r="K1632" s="15" t="str">
        <f>_xlfn.XLOOKUP(OrderDetails[[#This Row],[ProductID]],Product!A:A,Product!B:B,"Not Found")</f>
        <v>Queso Cabrales</v>
      </c>
    </row>
    <row r="1633" spans="1:11">
      <c r="A1633" s="2">
        <v>10869</v>
      </c>
      <c r="B1633" s="2">
        <v>23</v>
      </c>
      <c r="C1633" s="2">
        <v>9</v>
      </c>
      <c r="D1633" s="2">
        <v>50</v>
      </c>
      <c r="E1633" s="4">
        <v>0</v>
      </c>
      <c r="F1633" s="1" t="str">
        <f>_xlfn.XLOOKUP(A1633,Orders!A:A,Orders!B:B,"not found")</f>
        <v>SEVES</v>
      </c>
      <c r="G1633" s="13">
        <f>_xlfn.XLOOKUP(OrderDetails[[#This Row],[OrderID]],Orders!A:A,Orders!C:C,"Not Found")</f>
        <v>35830</v>
      </c>
      <c r="H1633" s="16">
        <f>(OrderDetails[[#This Row],[UnitPrice]]*OrderDetails[[#This Row],[Quantity]])*(1-OrderDetails[[#This Row],[Discount]])</f>
        <v>450</v>
      </c>
      <c r="I1633" s="15" t="str">
        <f>_xlfn.XLOOKUP(OrderDetails[[#This Row],[ProductID]],Product!A:A,Product!G:G,"Not Found")</f>
        <v>Grains/Cereals</v>
      </c>
      <c r="J1633" s="15" t="str">
        <f>LOOKUP(MONTH(G1633),{1,4,7,10},{"Winter","Spring","Summer","Autumn"})</f>
        <v>Winter</v>
      </c>
      <c r="K1633" s="15" t="str">
        <f>_xlfn.XLOOKUP(OrderDetails[[#This Row],[ProductID]],Product!A:A,Product!B:B,"Not Found")</f>
        <v>Tunnbröd</v>
      </c>
    </row>
    <row r="1634" spans="1:11">
      <c r="A1634" s="1">
        <v>10869</v>
      </c>
      <c r="B1634" s="1">
        <v>68</v>
      </c>
      <c r="C1634" s="1">
        <v>12.5</v>
      </c>
      <c r="D1634" s="1">
        <v>20</v>
      </c>
      <c r="E1634" s="3">
        <v>0</v>
      </c>
      <c r="F1634" s="1" t="str">
        <f>_xlfn.XLOOKUP(A1634,Orders!A:A,Orders!B:B,"not found")</f>
        <v>SEVES</v>
      </c>
      <c r="G1634" s="13">
        <f>_xlfn.XLOOKUP(OrderDetails[[#This Row],[OrderID]],Orders!A:A,Orders!C:C,"Not Found")</f>
        <v>35830</v>
      </c>
      <c r="H1634" s="16">
        <f>(OrderDetails[[#This Row],[UnitPrice]]*OrderDetails[[#This Row],[Quantity]])*(1-OrderDetails[[#This Row],[Discount]])</f>
        <v>250</v>
      </c>
      <c r="I1634" s="15" t="str">
        <f>_xlfn.XLOOKUP(OrderDetails[[#This Row],[ProductID]],Product!A:A,Product!G:G,"Not Found")</f>
        <v>Confections</v>
      </c>
      <c r="J1634" s="15" t="str">
        <f>LOOKUP(MONTH(G1634),{1,4,7,10},{"Winter","Spring","Summer","Autumn"})</f>
        <v>Winter</v>
      </c>
      <c r="K1634" s="15" t="str">
        <f>_xlfn.XLOOKUP(OrderDetails[[#This Row],[ProductID]],Product!A:A,Product!B:B,"Not Found")</f>
        <v>Scottish Longbreads</v>
      </c>
    </row>
    <row r="1635" spans="1:11">
      <c r="A1635" s="2">
        <v>10870</v>
      </c>
      <c r="B1635" s="2">
        <v>35</v>
      </c>
      <c r="C1635" s="2">
        <v>18</v>
      </c>
      <c r="D1635" s="2">
        <v>3</v>
      </c>
      <c r="E1635" s="4">
        <v>0</v>
      </c>
      <c r="F1635" s="1" t="str">
        <f>_xlfn.XLOOKUP(A1635,Orders!A:A,Orders!B:B,"not found")</f>
        <v>WOLZA</v>
      </c>
      <c r="G1635" s="13">
        <f>_xlfn.XLOOKUP(OrderDetails[[#This Row],[OrderID]],Orders!A:A,Orders!C:C,"Not Found")</f>
        <v>35830</v>
      </c>
      <c r="H1635" s="16">
        <f>(OrderDetails[[#This Row],[UnitPrice]]*OrderDetails[[#This Row],[Quantity]])*(1-OrderDetails[[#This Row],[Discount]])</f>
        <v>54</v>
      </c>
      <c r="I1635" s="15" t="str">
        <f>_xlfn.XLOOKUP(OrderDetails[[#This Row],[ProductID]],Product!A:A,Product!G:G,"Not Found")</f>
        <v>Beverages</v>
      </c>
      <c r="J1635" s="15" t="str">
        <f>LOOKUP(MONTH(G1635),{1,4,7,10},{"Winter","Spring","Summer","Autumn"})</f>
        <v>Winter</v>
      </c>
      <c r="K1635" s="15" t="str">
        <f>_xlfn.XLOOKUP(OrderDetails[[#This Row],[ProductID]],Product!A:A,Product!B:B,"Not Found")</f>
        <v>Steeleye Stout</v>
      </c>
    </row>
    <row r="1636" spans="1:11">
      <c r="A1636" s="1">
        <v>10870</v>
      </c>
      <c r="B1636" s="1">
        <v>51</v>
      </c>
      <c r="C1636" s="1">
        <v>53</v>
      </c>
      <c r="D1636" s="1">
        <v>2</v>
      </c>
      <c r="E1636" s="3">
        <v>0</v>
      </c>
      <c r="F1636" s="1" t="str">
        <f>_xlfn.XLOOKUP(A1636,Orders!A:A,Orders!B:B,"not found")</f>
        <v>WOLZA</v>
      </c>
      <c r="G1636" s="13">
        <f>_xlfn.XLOOKUP(OrderDetails[[#This Row],[OrderID]],Orders!A:A,Orders!C:C,"Not Found")</f>
        <v>35830</v>
      </c>
      <c r="H1636" s="16">
        <f>(OrderDetails[[#This Row],[UnitPrice]]*OrderDetails[[#This Row],[Quantity]])*(1-OrderDetails[[#This Row],[Discount]])</f>
        <v>106</v>
      </c>
      <c r="I1636" s="15" t="str">
        <f>_xlfn.XLOOKUP(OrderDetails[[#This Row],[ProductID]],Product!A:A,Product!G:G,"Not Found")</f>
        <v>Produce</v>
      </c>
      <c r="J1636" s="15" t="str">
        <f>LOOKUP(MONTH(G1636),{1,4,7,10},{"Winter","Spring","Summer","Autumn"})</f>
        <v>Winter</v>
      </c>
      <c r="K1636" s="15" t="str">
        <f>_xlfn.XLOOKUP(OrderDetails[[#This Row],[ProductID]],Product!A:A,Product!B:B,"Not Found")</f>
        <v>Manjimup Dried Apples</v>
      </c>
    </row>
    <row r="1637" spans="1:11">
      <c r="A1637" s="2">
        <v>10871</v>
      </c>
      <c r="B1637" s="2">
        <v>6</v>
      </c>
      <c r="C1637" s="2">
        <v>25</v>
      </c>
      <c r="D1637" s="2">
        <v>50</v>
      </c>
      <c r="E1637" s="4">
        <v>5.000000074505806E-2</v>
      </c>
      <c r="F1637" s="1" t="str">
        <f>_xlfn.XLOOKUP(A1637,Orders!A:A,Orders!B:B,"not found")</f>
        <v>BONAP</v>
      </c>
      <c r="G1637" s="13">
        <f>_xlfn.XLOOKUP(OrderDetails[[#This Row],[OrderID]],Orders!A:A,Orders!C:C,"Not Found")</f>
        <v>35831</v>
      </c>
      <c r="H1637" s="16">
        <f>(OrderDetails[[#This Row],[UnitPrice]]*OrderDetails[[#This Row],[Quantity]])*(1-OrderDetails[[#This Row],[Discount]])</f>
        <v>1187.4999990686774</v>
      </c>
      <c r="I1637" s="15" t="str">
        <f>_xlfn.XLOOKUP(OrderDetails[[#This Row],[ProductID]],Product!A:A,Product!G:G,"Not Found")</f>
        <v>Condiments</v>
      </c>
      <c r="J1637" s="15" t="str">
        <f>LOOKUP(MONTH(G1637),{1,4,7,10},{"Winter","Spring","Summer","Autumn"})</f>
        <v>Winter</v>
      </c>
      <c r="K1637" s="15" t="str">
        <f>_xlfn.XLOOKUP(OrderDetails[[#This Row],[ProductID]],Product!A:A,Product!B:B,"Not Found")</f>
        <v>Grandma's Boysenberry Spread</v>
      </c>
    </row>
    <row r="1638" spans="1:11">
      <c r="A1638" s="1">
        <v>10871</v>
      </c>
      <c r="B1638" s="1">
        <v>16</v>
      </c>
      <c r="C1638" s="1">
        <v>17.45</v>
      </c>
      <c r="D1638" s="1">
        <v>12</v>
      </c>
      <c r="E1638" s="3">
        <v>5.000000074505806E-2</v>
      </c>
      <c r="F1638" s="1" t="str">
        <f>_xlfn.XLOOKUP(A1638,Orders!A:A,Orders!B:B,"not found")</f>
        <v>BONAP</v>
      </c>
      <c r="G1638" s="13">
        <f>_xlfn.XLOOKUP(OrderDetails[[#This Row],[OrderID]],Orders!A:A,Orders!C:C,"Not Found")</f>
        <v>35831</v>
      </c>
      <c r="H1638" s="16">
        <f>(OrderDetails[[#This Row],[UnitPrice]]*OrderDetails[[#This Row],[Quantity]])*(1-OrderDetails[[#This Row],[Discount]])</f>
        <v>198.92999984398483</v>
      </c>
      <c r="I1638" s="15" t="str">
        <f>_xlfn.XLOOKUP(OrderDetails[[#This Row],[ProductID]],Product!A:A,Product!G:G,"Not Found")</f>
        <v>Confections</v>
      </c>
      <c r="J1638" s="15" t="str">
        <f>LOOKUP(MONTH(G1638),{1,4,7,10},{"Winter","Spring","Summer","Autumn"})</f>
        <v>Winter</v>
      </c>
      <c r="K1638" s="15" t="str">
        <f>_xlfn.XLOOKUP(OrderDetails[[#This Row],[ProductID]],Product!A:A,Product!B:B,"Not Found")</f>
        <v>Pavlova</v>
      </c>
    </row>
    <row r="1639" spans="1:11">
      <c r="A1639" s="2">
        <v>10871</v>
      </c>
      <c r="B1639" s="2">
        <v>17</v>
      </c>
      <c r="C1639" s="2">
        <v>39</v>
      </c>
      <c r="D1639" s="2">
        <v>16</v>
      </c>
      <c r="E1639" s="4">
        <v>5.000000074505806E-2</v>
      </c>
      <c r="F1639" s="1" t="str">
        <f>_xlfn.XLOOKUP(A1639,Orders!A:A,Orders!B:B,"not found")</f>
        <v>BONAP</v>
      </c>
      <c r="G1639" s="13">
        <f>_xlfn.XLOOKUP(OrderDetails[[#This Row],[OrderID]],Orders!A:A,Orders!C:C,"Not Found")</f>
        <v>35831</v>
      </c>
      <c r="H1639" s="16">
        <f>(OrderDetails[[#This Row],[UnitPrice]]*OrderDetails[[#This Row],[Quantity]])*(1-OrderDetails[[#This Row],[Discount]])</f>
        <v>592.79999953508377</v>
      </c>
      <c r="I1639" s="15" t="str">
        <f>_xlfn.XLOOKUP(OrderDetails[[#This Row],[ProductID]],Product!A:A,Product!G:G,"Not Found")</f>
        <v>Meat/Poultry</v>
      </c>
      <c r="J1639" s="15" t="str">
        <f>LOOKUP(MONTH(G1639),{1,4,7,10},{"Winter","Spring","Summer","Autumn"})</f>
        <v>Winter</v>
      </c>
      <c r="K1639" s="15" t="str">
        <f>_xlfn.XLOOKUP(OrderDetails[[#This Row],[ProductID]],Product!A:A,Product!B:B,"Not Found")</f>
        <v>Alice Mutton</v>
      </c>
    </row>
    <row r="1640" spans="1:11">
      <c r="A1640" s="1">
        <v>10872</v>
      </c>
      <c r="B1640" s="1">
        <v>55</v>
      </c>
      <c r="C1640" s="1">
        <v>24</v>
      </c>
      <c r="D1640" s="1">
        <v>10</v>
      </c>
      <c r="E1640" s="3">
        <v>5.000000074505806E-2</v>
      </c>
      <c r="F1640" s="1" t="str">
        <f>_xlfn.XLOOKUP(A1640,Orders!A:A,Orders!B:B,"not found")</f>
        <v>GODOS</v>
      </c>
      <c r="G1640" s="13">
        <f>_xlfn.XLOOKUP(OrderDetails[[#This Row],[OrderID]],Orders!A:A,Orders!C:C,"Not Found")</f>
        <v>35831</v>
      </c>
      <c r="H1640" s="16">
        <f>(OrderDetails[[#This Row],[UnitPrice]]*OrderDetails[[#This Row],[Quantity]])*(1-OrderDetails[[#This Row],[Discount]])</f>
        <v>227.99999982118607</v>
      </c>
      <c r="I1640" s="15" t="str">
        <f>_xlfn.XLOOKUP(OrderDetails[[#This Row],[ProductID]],Product!A:A,Product!G:G,"Not Found")</f>
        <v>Meat/Poultry</v>
      </c>
      <c r="J1640" s="15" t="str">
        <f>LOOKUP(MONTH(G1640),{1,4,7,10},{"Winter","Spring","Summer","Autumn"})</f>
        <v>Winter</v>
      </c>
      <c r="K1640" s="15" t="str">
        <f>_xlfn.XLOOKUP(OrderDetails[[#This Row],[ProductID]],Product!A:A,Product!B:B,"Not Found")</f>
        <v>Pâté chinois</v>
      </c>
    </row>
    <row r="1641" spans="1:11">
      <c r="A1641" s="2">
        <v>10872</v>
      </c>
      <c r="B1641" s="2">
        <v>62</v>
      </c>
      <c r="C1641" s="2">
        <v>49.3</v>
      </c>
      <c r="D1641" s="2">
        <v>20</v>
      </c>
      <c r="E1641" s="4">
        <v>5.000000074505806E-2</v>
      </c>
      <c r="F1641" s="1" t="str">
        <f>_xlfn.XLOOKUP(A1641,Orders!A:A,Orders!B:B,"not found")</f>
        <v>GODOS</v>
      </c>
      <c r="G1641" s="13">
        <f>_xlfn.XLOOKUP(OrderDetails[[#This Row],[OrderID]],Orders!A:A,Orders!C:C,"Not Found")</f>
        <v>35831</v>
      </c>
      <c r="H1641" s="16">
        <f>(OrderDetails[[#This Row],[UnitPrice]]*OrderDetails[[#This Row],[Quantity]])*(1-OrderDetails[[#This Row],[Discount]])</f>
        <v>936.69999926537275</v>
      </c>
      <c r="I1641" s="15" t="str">
        <f>_xlfn.XLOOKUP(OrderDetails[[#This Row],[ProductID]],Product!A:A,Product!G:G,"Not Found")</f>
        <v>Confections</v>
      </c>
      <c r="J1641" s="15" t="str">
        <f>LOOKUP(MONTH(G1641),{1,4,7,10},{"Winter","Spring","Summer","Autumn"})</f>
        <v>Winter</v>
      </c>
      <c r="K1641" s="15" t="str">
        <f>_xlfn.XLOOKUP(OrderDetails[[#This Row],[ProductID]],Product!A:A,Product!B:B,"Not Found")</f>
        <v>Tarte au sucre</v>
      </c>
    </row>
    <row r="1642" spans="1:11">
      <c r="A1642" s="1">
        <v>10872</v>
      </c>
      <c r="B1642" s="1">
        <v>64</v>
      </c>
      <c r="C1642" s="1">
        <v>33.25</v>
      </c>
      <c r="D1642" s="1">
        <v>15</v>
      </c>
      <c r="E1642" s="3">
        <v>5.000000074505806E-2</v>
      </c>
      <c r="F1642" s="1" t="str">
        <f>_xlfn.XLOOKUP(A1642,Orders!A:A,Orders!B:B,"not found")</f>
        <v>GODOS</v>
      </c>
      <c r="G1642" s="13">
        <f>_xlfn.XLOOKUP(OrderDetails[[#This Row],[OrderID]],Orders!A:A,Orders!C:C,"Not Found")</f>
        <v>35831</v>
      </c>
      <c r="H1642" s="16">
        <f>(OrderDetails[[#This Row],[UnitPrice]]*OrderDetails[[#This Row],[Quantity]])*(1-OrderDetails[[#This Row],[Discount]])</f>
        <v>473.81249962840229</v>
      </c>
      <c r="I1642" s="15" t="str">
        <f>_xlfn.XLOOKUP(OrderDetails[[#This Row],[ProductID]],Product!A:A,Product!G:G,"Not Found")</f>
        <v>Grains/Cereals</v>
      </c>
      <c r="J1642" s="15" t="str">
        <f>LOOKUP(MONTH(G1642),{1,4,7,10},{"Winter","Spring","Summer","Autumn"})</f>
        <v>Winter</v>
      </c>
      <c r="K1642" s="15" t="str">
        <f>_xlfn.XLOOKUP(OrderDetails[[#This Row],[ProductID]],Product!A:A,Product!B:B,"Not Found")</f>
        <v>Wimmers gute Semmelknödel</v>
      </c>
    </row>
    <row r="1643" spans="1:11">
      <c r="A1643" s="2">
        <v>10872</v>
      </c>
      <c r="B1643" s="2">
        <v>65</v>
      </c>
      <c r="C1643" s="2">
        <v>21.05</v>
      </c>
      <c r="D1643" s="2">
        <v>21</v>
      </c>
      <c r="E1643" s="4">
        <v>5.000000074505806E-2</v>
      </c>
      <c r="F1643" s="1" t="str">
        <f>_xlfn.XLOOKUP(A1643,Orders!A:A,Orders!B:B,"not found")</f>
        <v>GODOS</v>
      </c>
      <c r="G1643" s="13">
        <f>_xlfn.XLOOKUP(OrderDetails[[#This Row],[OrderID]],Orders!A:A,Orders!C:C,"Not Found")</f>
        <v>35831</v>
      </c>
      <c r="H1643" s="16">
        <f>(OrderDetails[[#This Row],[UnitPrice]]*OrderDetails[[#This Row],[Quantity]])*(1-OrderDetails[[#This Row],[Discount]])</f>
        <v>419.94749967064712</v>
      </c>
      <c r="I1643" s="15" t="str">
        <f>_xlfn.XLOOKUP(OrderDetails[[#This Row],[ProductID]],Product!A:A,Product!G:G,"Not Found")</f>
        <v>Condiments</v>
      </c>
      <c r="J1643" s="15" t="str">
        <f>LOOKUP(MONTH(G1643),{1,4,7,10},{"Winter","Spring","Summer","Autumn"})</f>
        <v>Winter</v>
      </c>
      <c r="K1643" s="15" t="str">
        <f>_xlfn.XLOOKUP(OrderDetails[[#This Row],[ProductID]],Product!A:A,Product!B:B,"Not Found")</f>
        <v>Louisiana Fiery Hot Pepper Sauce</v>
      </c>
    </row>
    <row r="1644" spans="1:11">
      <c r="A1644" s="1">
        <v>10873</v>
      </c>
      <c r="B1644" s="1">
        <v>21</v>
      </c>
      <c r="C1644" s="1">
        <v>10</v>
      </c>
      <c r="D1644" s="1">
        <v>20</v>
      </c>
      <c r="E1644" s="3">
        <v>0</v>
      </c>
      <c r="F1644" s="1" t="str">
        <f>_xlfn.XLOOKUP(A1644,Orders!A:A,Orders!B:B,"not found")</f>
        <v>WILMK</v>
      </c>
      <c r="G1644" s="13">
        <f>_xlfn.XLOOKUP(OrderDetails[[#This Row],[OrderID]],Orders!A:A,Orders!C:C,"Not Found")</f>
        <v>35832</v>
      </c>
      <c r="H1644" s="16">
        <f>(OrderDetails[[#This Row],[UnitPrice]]*OrderDetails[[#This Row],[Quantity]])*(1-OrderDetails[[#This Row],[Discount]])</f>
        <v>200</v>
      </c>
      <c r="I1644" s="15" t="str">
        <f>_xlfn.XLOOKUP(OrderDetails[[#This Row],[ProductID]],Product!A:A,Product!G:G,"Not Found")</f>
        <v>Confections</v>
      </c>
      <c r="J1644" s="15" t="str">
        <f>LOOKUP(MONTH(G1644),{1,4,7,10},{"Winter","Spring","Summer","Autumn"})</f>
        <v>Winter</v>
      </c>
      <c r="K1644" s="15" t="str">
        <f>_xlfn.XLOOKUP(OrderDetails[[#This Row],[ProductID]],Product!A:A,Product!B:B,"Not Found")</f>
        <v>Sir Rodney's Scones</v>
      </c>
    </row>
    <row r="1645" spans="1:11">
      <c r="A1645" s="2">
        <v>10873</v>
      </c>
      <c r="B1645" s="2">
        <v>28</v>
      </c>
      <c r="C1645" s="2">
        <v>45.6</v>
      </c>
      <c r="D1645" s="2">
        <v>3</v>
      </c>
      <c r="E1645" s="4">
        <v>0</v>
      </c>
      <c r="F1645" s="1" t="str">
        <f>_xlfn.XLOOKUP(A1645,Orders!A:A,Orders!B:B,"not found")</f>
        <v>WILMK</v>
      </c>
      <c r="G1645" s="13">
        <f>_xlfn.XLOOKUP(OrderDetails[[#This Row],[OrderID]],Orders!A:A,Orders!C:C,"Not Found")</f>
        <v>35832</v>
      </c>
      <c r="H1645" s="16">
        <f>(OrderDetails[[#This Row],[UnitPrice]]*OrderDetails[[#This Row],[Quantity]])*(1-OrderDetails[[#This Row],[Discount]])</f>
        <v>136.80000000000001</v>
      </c>
      <c r="I1645" s="15" t="str">
        <f>_xlfn.XLOOKUP(OrderDetails[[#This Row],[ProductID]],Product!A:A,Product!G:G,"Not Found")</f>
        <v>Produce</v>
      </c>
      <c r="J1645" s="15" t="str">
        <f>LOOKUP(MONTH(G1645),{1,4,7,10},{"Winter","Spring","Summer","Autumn"})</f>
        <v>Winter</v>
      </c>
      <c r="K1645" s="15" t="str">
        <f>_xlfn.XLOOKUP(OrderDetails[[#This Row],[ProductID]],Product!A:A,Product!B:B,"Not Found")</f>
        <v>Rössle Sauerkraut</v>
      </c>
    </row>
    <row r="1646" spans="1:11">
      <c r="A1646" s="1">
        <v>10874</v>
      </c>
      <c r="B1646" s="1">
        <v>10</v>
      </c>
      <c r="C1646" s="1">
        <v>31</v>
      </c>
      <c r="D1646" s="1">
        <v>10</v>
      </c>
      <c r="E1646" s="3">
        <v>0</v>
      </c>
      <c r="F1646" s="1" t="str">
        <f>_xlfn.XLOOKUP(A1646,Orders!A:A,Orders!B:B,"not found")</f>
        <v>GODOS</v>
      </c>
      <c r="G1646" s="13">
        <f>_xlfn.XLOOKUP(OrderDetails[[#This Row],[OrderID]],Orders!A:A,Orders!C:C,"Not Found")</f>
        <v>35832</v>
      </c>
      <c r="H1646" s="16">
        <f>(OrderDetails[[#This Row],[UnitPrice]]*OrderDetails[[#This Row],[Quantity]])*(1-OrderDetails[[#This Row],[Discount]])</f>
        <v>310</v>
      </c>
      <c r="I1646" s="15" t="str">
        <f>_xlfn.XLOOKUP(OrderDetails[[#This Row],[ProductID]],Product!A:A,Product!G:G,"Not Found")</f>
        <v>Seafood</v>
      </c>
      <c r="J1646" s="15" t="str">
        <f>LOOKUP(MONTH(G1646),{1,4,7,10},{"Winter","Spring","Summer","Autumn"})</f>
        <v>Winter</v>
      </c>
      <c r="K1646" s="15" t="str">
        <f>_xlfn.XLOOKUP(OrderDetails[[#This Row],[ProductID]],Product!A:A,Product!B:B,"Not Found")</f>
        <v>Ikura</v>
      </c>
    </row>
    <row r="1647" spans="1:11">
      <c r="A1647" s="2">
        <v>10875</v>
      </c>
      <c r="B1647" s="2">
        <v>19</v>
      </c>
      <c r="C1647" s="2">
        <v>9.1999999999999993</v>
      </c>
      <c r="D1647" s="2">
        <v>25</v>
      </c>
      <c r="E1647" s="4">
        <v>0</v>
      </c>
      <c r="F1647" s="1" t="str">
        <f>_xlfn.XLOOKUP(A1647,Orders!A:A,Orders!B:B,"not found")</f>
        <v>BERGS</v>
      </c>
      <c r="G1647" s="13">
        <f>_xlfn.XLOOKUP(OrderDetails[[#This Row],[OrderID]],Orders!A:A,Orders!C:C,"Not Found")</f>
        <v>35832</v>
      </c>
      <c r="H1647" s="16">
        <f>(OrderDetails[[#This Row],[UnitPrice]]*OrderDetails[[#This Row],[Quantity]])*(1-OrderDetails[[#This Row],[Discount]])</f>
        <v>229.99999999999997</v>
      </c>
      <c r="I1647" s="15" t="str">
        <f>_xlfn.XLOOKUP(OrderDetails[[#This Row],[ProductID]],Product!A:A,Product!G:G,"Not Found")</f>
        <v>Confections</v>
      </c>
      <c r="J1647" s="15" t="str">
        <f>LOOKUP(MONTH(G1647),{1,4,7,10},{"Winter","Spring","Summer","Autumn"})</f>
        <v>Winter</v>
      </c>
      <c r="K1647" s="15" t="str">
        <f>_xlfn.XLOOKUP(OrderDetails[[#This Row],[ProductID]],Product!A:A,Product!B:B,"Not Found")</f>
        <v>Teatime Chocolate Biscuits</v>
      </c>
    </row>
    <row r="1648" spans="1:11">
      <c r="A1648" s="1">
        <v>10875</v>
      </c>
      <c r="B1648" s="1">
        <v>47</v>
      </c>
      <c r="C1648" s="1">
        <v>9.5</v>
      </c>
      <c r="D1648" s="1">
        <v>21</v>
      </c>
      <c r="E1648" s="3">
        <v>0.10000000149011612</v>
      </c>
      <c r="F1648" s="1" t="str">
        <f>_xlfn.XLOOKUP(A1648,Orders!A:A,Orders!B:B,"not found")</f>
        <v>BERGS</v>
      </c>
      <c r="G1648" s="13">
        <f>_xlfn.XLOOKUP(OrderDetails[[#This Row],[OrderID]],Orders!A:A,Orders!C:C,"Not Found")</f>
        <v>35832</v>
      </c>
      <c r="H1648" s="16">
        <f>(OrderDetails[[#This Row],[UnitPrice]]*OrderDetails[[#This Row],[Quantity]])*(1-OrderDetails[[#This Row],[Discount]])</f>
        <v>179.54999970272183</v>
      </c>
      <c r="I1648" s="15" t="str">
        <f>_xlfn.XLOOKUP(OrderDetails[[#This Row],[ProductID]],Product!A:A,Product!G:G,"Not Found")</f>
        <v>Confections</v>
      </c>
      <c r="J1648" s="15" t="str">
        <f>LOOKUP(MONTH(G1648),{1,4,7,10},{"Winter","Spring","Summer","Autumn"})</f>
        <v>Winter</v>
      </c>
      <c r="K1648" s="15" t="str">
        <f>_xlfn.XLOOKUP(OrderDetails[[#This Row],[ProductID]],Product!A:A,Product!B:B,"Not Found")</f>
        <v>Zaanse koeken</v>
      </c>
    </row>
    <row r="1649" spans="1:11">
      <c r="A1649" s="2">
        <v>10875</v>
      </c>
      <c r="B1649" s="2">
        <v>49</v>
      </c>
      <c r="C1649" s="2">
        <v>20</v>
      </c>
      <c r="D1649" s="2">
        <v>15</v>
      </c>
      <c r="E1649" s="4">
        <v>0</v>
      </c>
      <c r="F1649" s="1" t="str">
        <f>_xlfn.XLOOKUP(A1649,Orders!A:A,Orders!B:B,"not found")</f>
        <v>BERGS</v>
      </c>
      <c r="G1649" s="13">
        <f>_xlfn.XLOOKUP(OrderDetails[[#This Row],[OrderID]],Orders!A:A,Orders!C:C,"Not Found")</f>
        <v>35832</v>
      </c>
      <c r="H1649" s="16">
        <f>(OrderDetails[[#This Row],[UnitPrice]]*OrderDetails[[#This Row],[Quantity]])*(1-OrderDetails[[#This Row],[Discount]])</f>
        <v>300</v>
      </c>
      <c r="I1649" s="15" t="str">
        <f>_xlfn.XLOOKUP(OrderDetails[[#This Row],[ProductID]],Product!A:A,Product!G:G,"Not Found")</f>
        <v>Confections</v>
      </c>
      <c r="J1649" s="15" t="str">
        <f>LOOKUP(MONTH(G1649),{1,4,7,10},{"Winter","Spring","Summer","Autumn"})</f>
        <v>Winter</v>
      </c>
      <c r="K1649" s="15" t="str">
        <f>_xlfn.XLOOKUP(OrderDetails[[#This Row],[ProductID]],Product!A:A,Product!B:B,"Not Found")</f>
        <v>Maxilaku</v>
      </c>
    </row>
    <row r="1650" spans="1:11">
      <c r="A1650" s="1">
        <v>10876</v>
      </c>
      <c r="B1650" s="1">
        <v>46</v>
      </c>
      <c r="C1650" s="1">
        <v>12</v>
      </c>
      <c r="D1650" s="1">
        <v>21</v>
      </c>
      <c r="E1650" s="3">
        <v>0</v>
      </c>
      <c r="F1650" s="1" t="str">
        <f>_xlfn.XLOOKUP(A1650,Orders!A:A,Orders!B:B,"not found")</f>
        <v>BONAP</v>
      </c>
      <c r="G1650" s="13">
        <f>_xlfn.XLOOKUP(OrderDetails[[#This Row],[OrderID]],Orders!A:A,Orders!C:C,"Not Found")</f>
        <v>35835</v>
      </c>
      <c r="H1650" s="16">
        <f>(OrderDetails[[#This Row],[UnitPrice]]*OrderDetails[[#This Row],[Quantity]])*(1-OrderDetails[[#This Row],[Discount]])</f>
        <v>252</v>
      </c>
      <c r="I1650" s="15" t="str">
        <f>_xlfn.XLOOKUP(OrderDetails[[#This Row],[ProductID]],Product!A:A,Product!G:G,"Not Found")</f>
        <v>Seafood</v>
      </c>
      <c r="J1650" s="15" t="str">
        <f>LOOKUP(MONTH(G1650),{1,4,7,10},{"Winter","Spring","Summer","Autumn"})</f>
        <v>Winter</v>
      </c>
      <c r="K1650" s="15" t="str">
        <f>_xlfn.XLOOKUP(OrderDetails[[#This Row],[ProductID]],Product!A:A,Product!B:B,"Not Found")</f>
        <v>Spegesild</v>
      </c>
    </row>
    <row r="1651" spans="1:11">
      <c r="A1651" s="2">
        <v>10876</v>
      </c>
      <c r="B1651" s="2">
        <v>64</v>
      </c>
      <c r="C1651" s="2">
        <v>33.25</v>
      </c>
      <c r="D1651" s="2">
        <v>20</v>
      </c>
      <c r="E1651" s="4">
        <v>0</v>
      </c>
      <c r="F1651" s="1" t="str">
        <f>_xlfn.XLOOKUP(A1651,Orders!A:A,Orders!B:B,"not found")</f>
        <v>BONAP</v>
      </c>
      <c r="G1651" s="13">
        <f>_xlfn.XLOOKUP(OrderDetails[[#This Row],[OrderID]],Orders!A:A,Orders!C:C,"Not Found")</f>
        <v>35835</v>
      </c>
      <c r="H1651" s="16">
        <f>(OrderDetails[[#This Row],[UnitPrice]]*OrderDetails[[#This Row],[Quantity]])*(1-OrderDetails[[#This Row],[Discount]])</f>
        <v>665</v>
      </c>
      <c r="I1651" s="15" t="str">
        <f>_xlfn.XLOOKUP(OrderDetails[[#This Row],[ProductID]],Product!A:A,Product!G:G,"Not Found")</f>
        <v>Grains/Cereals</v>
      </c>
      <c r="J1651" s="15" t="str">
        <f>LOOKUP(MONTH(G1651),{1,4,7,10},{"Winter","Spring","Summer","Autumn"})</f>
        <v>Winter</v>
      </c>
      <c r="K1651" s="15" t="str">
        <f>_xlfn.XLOOKUP(OrderDetails[[#This Row],[ProductID]],Product!A:A,Product!B:B,"Not Found")</f>
        <v>Wimmers gute Semmelknödel</v>
      </c>
    </row>
    <row r="1652" spans="1:11">
      <c r="A1652" s="1">
        <v>10877</v>
      </c>
      <c r="B1652" s="1">
        <v>16</v>
      </c>
      <c r="C1652" s="1">
        <v>17.45</v>
      </c>
      <c r="D1652" s="1">
        <v>30</v>
      </c>
      <c r="E1652" s="3">
        <v>0.25</v>
      </c>
      <c r="F1652" s="1" t="str">
        <f>_xlfn.XLOOKUP(A1652,Orders!A:A,Orders!B:B,"not found")</f>
        <v>RICAR</v>
      </c>
      <c r="G1652" s="13">
        <f>_xlfn.XLOOKUP(OrderDetails[[#This Row],[OrderID]],Orders!A:A,Orders!C:C,"Not Found")</f>
        <v>35835</v>
      </c>
      <c r="H1652" s="16">
        <f>(OrderDetails[[#This Row],[UnitPrice]]*OrderDetails[[#This Row],[Quantity]])*(1-OrderDetails[[#This Row],[Discount]])</f>
        <v>392.625</v>
      </c>
      <c r="I1652" s="15" t="str">
        <f>_xlfn.XLOOKUP(OrderDetails[[#This Row],[ProductID]],Product!A:A,Product!G:G,"Not Found")</f>
        <v>Confections</v>
      </c>
      <c r="J1652" s="15" t="str">
        <f>LOOKUP(MONTH(G1652),{1,4,7,10},{"Winter","Spring","Summer","Autumn"})</f>
        <v>Winter</v>
      </c>
      <c r="K1652" s="15" t="str">
        <f>_xlfn.XLOOKUP(OrderDetails[[#This Row],[ProductID]],Product!A:A,Product!B:B,"Not Found")</f>
        <v>Pavlova</v>
      </c>
    </row>
    <row r="1653" spans="1:11">
      <c r="A1653" s="2">
        <v>10877</v>
      </c>
      <c r="B1653" s="2">
        <v>18</v>
      </c>
      <c r="C1653" s="2">
        <v>62.5</v>
      </c>
      <c r="D1653" s="2">
        <v>25</v>
      </c>
      <c r="E1653" s="4">
        <v>0</v>
      </c>
      <c r="F1653" s="1" t="str">
        <f>_xlfn.XLOOKUP(A1653,Orders!A:A,Orders!B:B,"not found")</f>
        <v>RICAR</v>
      </c>
      <c r="G1653" s="13">
        <f>_xlfn.XLOOKUP(OrderDetails[[#This Row],[OrderID]],Orders!A:A,Orders!C:C,"Not Found")</f>
        <v>35835</v>
      </c>
      <c r="H1653" s="16">
        <f>(OrderDetails[[#This Row],[UnitPrice]]*OrderDetails[[#This Row],[Quantity]])*(1-OrderDetails[[#This Row],[Discount]])</f>
        <v>1562.5</v>
      </c>
      <c r="I1653" s="15" t="str">
        <f>_xlfn.XLOOKUP(OrderDetails[[#This Row],[ProductID]],Product!A:A,Product!G:G,"Not Found")</f>
        <v>Seafood</v>
      </c>
      <c r="J1653" s="15" t="str">
        <f>LOOKUP(MONTH(G1653),{1,4,7,10},{"Winter","Spring","Summer","Autumn"})</f>
        <v>Winter</v>
      </c>
      <c r="K1653" s="15" t="str">
        <f>_xlfn.XLOOKUP(OrderDetails[[#This Row],[ProductID]],Product!A:A,Product!B:B,"Not Found")</f>
        <v>Carnarvon Tigers</v>
      </c>
    </row>
    <row r="1654" spans="1:11">
      <c r="A1654" s="1">
        <v>10878</v>
      </c>
      <c r="B1654" s="1">
        <v>20</v>
      </c>
      <c r="C1654" s="1">
        <v>81</v>
      </c>
      <c r="D1654" s="1">
        <v>20</v>
      </c>
      <c r="E1654" s="3">
        <v>5.000000074505806E-2</v>
      </c>
      <c r="F1654" s="1" t="str">
        <f>_xlfn.XLOOKUP(A1654,Orders!A:A,Orders!B:B,"not found")</f>
        <v>QUICK</v>
      </c>
      <c r="G1654" s="13">
        <f>_xlfn.XLOOKUP(OrderDetails[[#This Row],[OrderID]],Orders!A:A,Orders!C:C,"Not Found")</f>
        <v>35836</v>
      </c>
      <c r="H1654" s="16">
        <f>(OrderDetails[[#This Row],[UnitPrice]]*OrderDetails[[#This Row],[Quantity]])*(1-OrderDetails[[#This Row],[Discount]])</f>
        <v>1538.9999987930059</v>
      </c>
      <c r="I1654" s="15" t="str">
        <f>_xlfn.XLOOKUP(OrderDetails[[#This Row],[ProductID]],Product!A:A,Product!G:G,"Not Found")</f>
        <v>Confections</v>
      </c>
      <c r="J1654" s="15" t="str">
        <f>LOOKUP(MONTH(G1654),{1,4,7,10},{"Winter","Spring","Summer","Autumn"})</f>
        <v>Winter</v>
      </c>
      <c r="K1654" s="15" t="str">
        <f>_xlfn.XLOOKUP(OrderDetails[[#This Row],[ProductID]],Product!A:A,Product!B:B,"Not Found")</f>
        <v>Sir Rodney's Marmalade</v>
      </c>
    </row>
    <row r="1655" spans="1:11">
      <c r="A1655" s="2">
        <v>10879</v>
      </c>
      <c r="B1655" s="2">
        <v>40</v>
      </c>
      <c r="C1655" s="2">
        <v>18.399999999999999</v>
      </c>
      <c r="D1655" s="2">
        <v>12</v>
      </c>
      <c r="E1655" s="4">
        <v>0</v>
      </c>
      <c r="F1655" s="1" t="str">
        <f>_xlfn.XLOOKUP(A1655,Orders!A:A,Orders!B:B,"not found")</f>
        <v>WILMK</v>
      </c>
      <c r="G1655" s="13">
        <f>_xlfn.XLOOKUP(OrderDetails[[#This Row],[OrderID]],Orders!A:A,Orders!C:C,"Not Found")</f>
        <v>35836</v>
      </c>
      <c r="H1655" s="16">
        <f>(OrderDetails[[#This Row],[UnitPrice]]*OrderDetails[[#This Row],[Quantity]])*(1-OrderDetails[[#This Row],[Discount]])</f>
        <v>220.79999999999998</v>
      </c>
      <c r="I1655" s="15" t="str">
        <f>_xlfn.XLOOKUP(OrderDetails[[#This Row],[ProductID]],Product!A:A,Product!G:G,"Not Found")</f>
        <v>Seafood</v>
      </c>
      <c r="J1655" s="15" t="str">
        <f>LOOKUP(MONTH(G1655),{1,4,7,10},{"Winter","Spring","Summer","Autumn"})</f>
        <v>Winter</v>
      </c>
      <c r="K1655" s="15" t="str">
        <f>_xlfn.XLOOKUP(OrderDetails[[#This Row],[ProductID]],Product!A:A,Product!B:B,"Not Found")</f>
        <v>Boston Crab Meat</v>
      </c>
    </row>
    <row r="1656" spans="1:11">
      <c r="A1656" s="1">
        <v>10879</v>
      </c>
      <c r="B1656" s="1">
        <v>65</v>
      </c>
      <c r="C1656" s="1">
        <v>21.05</v>
      </c>
      <c r="D1656" s="1">
        <v>10</v>
      </c>
      <c r="E1656" s="3">
        <v>0</v>
      </c>
      <c r="F1656" s="1" t="str">
        <f>_xlfn.XLOOKUP(A1656,Orders!A:A,Orders!B:B,"not found")</f>
        <v>WILMK</v>
      </c>
      <c r="G1656" s="13">
        <f>_xlfn.XLOOKUP(OrderDetails[[#This Row],[OrderID]],Orders!A:A,Orders!C:C,"Not Found")</f>
        <v>35836</v>
      </c>
      <c r="H1656" s="16">
        <f>(OrderDetails[[#This Row],[UnitPrice]]*OrderDetails[[#This Row],[Quantity]])*(1-OrderDetails[[#This Row],[Discount]])</f>
        <v>210.5</v>
      </c>
      <c r="I1656" s="15" t="str">
        <f>_xlfn.XLOOKUP(OrderDetails[[#This Row],[ProductID]],Product!A:A,Product!G:G,"Not Found")</f>
        <v>Condiments</v>
      </c>
      <c r="J1656" s="15" t="str">
        <f>LOOKUP(MONTH(G1656),{1,4,7,10},{"Winter","Spring","Summer","Autumn"})</f>
        <v>Winter</v>
      </c>
      <c r="K1656" s="15" t="str">
        <f>_xlfn.XLOOKUP(OrderDetails[[#This Row],[ProductID]],Product!A:A,Product!B:B,"Not Found")</f>
        <v>Louisiana Fiery Hot Pepper Sauce</v>
      </c>
    </row>
    <row r="1657" spans="1:11">
      <c r="A1657" s="2">
        <v>10879</v>
      </c>
      <c r="B1657" s="2">
        <v>76</v>
      </c>
      <c r="C1657" s="2">
        <v>18</v>
      </c>
      <c r="D1657" s="2">
        <v>10</v>
      </c>
      <c r="E1657" s="4">
        <v>0</v>
      </c>
      <c r="F1657" s="1" t="str">
        <f>_xlfn.XLOOKUP(A1657,Orders!A:A,Orders!B:B,"not found")</f>
        <v>WILMK</v>
      </c>
      <c r="G1657" s="13">
        <f>_xlfn.XLOOKUP(OrderDetails[[#This Row],[OrderID]],Orders!A:A,Orders!C:C,"Not Found")</f>
        <v>35836</v>
      </c>
      <c r="H1657" s="16">
        <f>(OrderDetails[[#This Row],[UnitPrice]]*OrderDetails[[#This Row],[Quantity]])*(1-OrderDetails[[#This Row],[Discount]])</f>
        <v>180</v>
      </c>
      <c r="I1657" s="15" t="str">
        <f>_xlfn.XLOOKUP(OrderDetails[[#This Row],[ProductID]],Product!A:A,Product!G:G,"Not Found")</f>
        <v>Beverages</v>
      </c>
      <c r="J1657" s="15" t="str">
        <f>LOOKUP(MONTH(G1657),{1,4,7,10},{"Winter","Spring","Summer","Autumn"})</f>
        <v>Winter</v>
      </c>
      <c r="K1657" s="15" t="str">
        <f>_xlfn.XLOOKUP(OrderDetails[[#This Row],[ProductID]],Product!A:A,Product!B:B,"Not Found")</f>
        <v>Lakkalikööri</v>
      </c>
    </row>
    <row r="1658" spans="1:11">
      <c r="A1658" s="1">
        <v>10880</v>
      </c>
      <c r="B1658" s="1">
        <v>23</v>
      </c>
      <c r="C1658" s="1">
        <v>9</v>
      </c>
      <c r="D1658" s="1">
        <v>30</v>
      </c>
      <c r="E1658" s="3">
        <v>0.20000000298023224</v>
      </c>
      <c r="F1658" s="1" t="str">
        <f>_xlfn.XLOOKUP(A1658,Orders!A:A,Orders!B:B,"not found")</f>
        <v>FOLKO</v>
      </c>
      <c r="G1658" s="13">
        <f>_xlfn.XLOOKUP(OrderDetails[[#This Row],[OrderID]],Orders!A:A,Orders!C:C,"Not Found")</f>
        <v>35836</v>
      </c>
      <c r="H1658" s="16">
        <f>(OrderDetails[[#This Row],[UnitPrice]]*OrderDetails[[#This Row],[Quantity]])*(1-OrderDetails[[#This Row],[Discount]])</f>
        <v>215.9999991953373</v>
      </c>
      <c r="I1658" s="15" t="str">
        <f>_xlfn.XLOOKUP(OrderDetails[[#This Row],[ProductID]],Product!A:A,Product!G:G,"Not Found")</f>
        <v>Grains/Cereals</v>
      </c>
      <c r="J1658" s="15" t="str">
        <f>LOOKUP(MONTH(G1658),{1,4,7,10},{"Winter","Spring","Summer","Autumn"})</f>
        <v>Winter</v>
      </c>
      <c r="K1658" s="15" t="str">
        <f>_xlfn.XLOOKUP(OrderDetails[[#This Row],[ProductID]],Product!A:A,Product!B:B,"Not Found")</f>
        <v>Tunnbröd</v>
      </c>
    </row>
    <row r="1659" spans="1:11">
      <c r="A1659" s="2">
        <v>10880</v>
      </c>
      <c r="B1659" s="2">
        <v>61</v>
      </c>
      <c r="C1659" s="2">
        <v>28.5</v>
      </c>
      <c r="D1659" s="2">
        <v>30</v>
      </c>
      <c r="E1659" s="4">
        <v>0.20000000298023224</v>
      </c>
      <c r="F1659" s="1" t="str">
        <f>_xlfn.XLOOKUP(A1659,Orders!A:A,Orders!B:B,"not found")</f>
        <v>FOLKO</v>
      </c>
      <c r="G1659" s="13">
        <f>_xlfn.XLOOKUP(OrderDetails[[#This Row],[OrderID]],Orders!A:A,Orders!C:C,"Not Found")</f>
        <v>35836</v>
      </c>
      <c r="H1659" s="16">
        <f>(OrderDetails[[#This Row],[UnitPrice]]*OrderDetails[[#This Row],[Quantity]])*(1-OrderDetails[[#This Row],[Discount]])</f>
        <v>683.99999745190144</v>
      </c>
      <c r="I1659" s="15" t="str">
        <f>_xlfn.XLOOKUP(OrderDetails[[#This Row],[ProductID]],Product!A:A,Product!G:G,"Not Found")</f>
        <v>Condiments</v>
      </c>
      <c r="J1659" s="15" t="str">
        <f>LOOKUP(MONTH(G1659),{1,4,7,10},{"Winter","Spring","Summer","Autumn"})</f>
        <v>Winter</v>
      </c>
      <c r="K1659" s="15" t="str">
        <f>_xlfn.XLOOKUP(OrderDetails[[#This Row],[ProductID]],Product!A:A,Product!B:B,"Not Found")</f>
        <v>Sirop d'érable</v>
      </c>
    </row>
    <row r="1660" spans="1:11">
      <c r="A1660" s="1">
        <v>10880</v>
      </c>
      <c r="B1660" s="1">
        <v>70</v>
      </c>
      <c r="C1660" s="1">
        <v>15</v>
      </c>
      <c r="D1660" s="1">
        <v>50</v>
      </c>
      <c r="E1660" s="3">
        <v>0.20000000298023224</v>
      </c>
      <c r="F1660" s="1" t="str">
        <f>_xlfn.XLOOKUP(A1660,Orders!A:A,Orders!B:B,"not found")</f>
        <v>FOLKO</v>
      </c>
      <c r="G1660" s="13">
        <f>_xlfn.XLOOKUP(OrderDetails[[#This Row],[OrderID]],Orders!A:A,Orders!C:C,"Not Found")</f>
        <v>35836</v>
      </c>
      <c r="H1660" s="16">
        <f>(OrderDetails[[#This Row],[UnitPrice]]*OrderDetails[[#This Row],[Quantity]])*(1-OrderDetails[[#This Row],[Discount]])</f>
        <v>599.99999776482582</v>
      </c>
      <c r="I1660" s="15" t="str">
        <f>_xlfn.XLOOKUP(OrderDetails[[#This Row],[ProductID]],Product!A:A,Product!G:G,"Not Found")</f>
        <v>Beverages</v>
      </c>
      <c r="J1660" s="15" t="str">
        <f>LOOKUP(MONTH(G1660),{1,4,7,10},{"Winter","Spring","Summer","Autumn"})</f>
        <v>Winter</v>
      </c>
      <c r="K1660" s="15" t="str">
        <f>_xlfn.XLOOKUP(OrderDetails[[#This Row],[ProductID]],Product!A:A,Product!B:B,"Not Found")</f>
        <v>Outback Lager</v>
      </c>
    </row>
    <row r="1661" spans="1:11">
      <c r="A1661" s="2">
        <v>10881</v>
      </c>
      <c r="B1661" s="2">
        <v>73</v>
      </c>
      <c r="C1661" s="2">
        <v>15</v>
      </c>
      <c r="D1661" s="2">
        <v>10</v>
      </c>
      <c r="E1661" s="4">
        <v>0</v>
      </c>
      <c r="F1661" s="1" t="str">
        <f>_xlfn.XLOOKUP(A1661,Orders!A:A,Orders!B:B,"not found")</f>
        <v>CACTU</v>
      </c>
      <c r="G1661" s="13">
        <f>_xlfn.XLOOKUP(OrderDetails[[#This Row],[OrderID]],Orders!A:A,Orders!C:C,"Not Found")</f>
        <v>35837</v>
      </c>
      <c r="H1661" s="16">
        <f>(OrderDetails[[#This Row],[UnitPrice]]*OrderDetails[[#This Row],[Quantity]])*(1-OrderDetails[[#This Row],[Discount]])</f>
        <v>150</v>
      </c>
      <c r="I1661" s="15" t="str">
        <f>_xlfn.XLOOKUP(OrderDetails[[#This Row],[ProductID]],Product!A:A,Product!G:G,"Not Found")</f>
        <v>Seafood</v>
      </c>
      <c r="J1661" s="15" t="str">
        <f>LOOKUP(MONTH(G1661),{1,4,7,10},{"Winter","Spring","Summer","Autumn"})</f>
        <v>Winter</v>
      </c>
      <c r="K1661" s="15" t="str">
        <f>_xlfn.XLOOKUP(OrderDetails[[#This Row],[ProductID]],Product!A:A,Product!B:B,"Not Found")</f>
        <v>Röd Kaviar</v>
      </c>
    </row>
    <row r="1662" spans="1:11">
      <c r="A1662" s="1">
        <v>10882</v>
      </c>
      <c r="B1662" s="1">
        <v>42</v>
      </c>
      <c r="C1662" s="1">
        <v>14</v>
      </c>
      <c r="D1662" s="1">
        <v>25</v>
      </c>
      <c r="E1662" s="3">
        <v>0</v>
      </c>
      <c r="F1662" s="1" t="str">
        <f>_xlfn.XLOOKUP(A1662,Orders!A:A,Orders!B:B,"not found")</f>
        <v>SAVEA</v>
      </c>
      <c r="G1662" s="13">
        <f>_xlfn.XLOOKUP(OrderDetails[[#This Row],[OrderID]],Orders!A:A,Orders!C:C,"Not Found")</f>
        <v>35837</v>
      </c>
      <c r="H1662" s="16">
        <f>(OrderDetails[[#This Row],[UnitPrice]]*OrderDetails[[#This Row],[Quantity]])*(1-OrderDetails[[#This Row],[Discount]])</f>
        <v>350</v>
      </c>
      <c r="I1662" s="15" t="str">
        <f>_xlfn.XLOOKUP(OrderDetails[[#This Row],[ProductID]],Product!A:A,Product!G:G,"Not Found")</f>
        <v>Grains/Cereals</v>
      </c>
      <c r="J1662" s="15" t="str">
        <f>LOOKUP(MONTH(G1662),{1,4,7,10},{"Winter","Spring","Summer","Autumn"})</f>
        <v>Winter</v>
      </c>
      <c r="K1662" s="15" t="str">
        <f>_xlfn.XLOOKUP(OrderDetails[[#This Row],[ProductID]],Product!A:A,Product!B:B,"Not Found")</f>
        <v>Singaporean Hokkien Fried Mee</v>
      </c>
    </row>
    <row r="1663" spans="1:11">
      <c r="A1663" s="2">
        <v>10882</v>
      </c>
      <c r="B1663" s="2">
        <v>49</v>
      </c>
      <c r="C1663" s="2">
        <v>20</v>
      </c>
      <c r="D1663" s="2">
        <v>20</v>
      </c>
      <c r="E1663" s="4">
        <v>0.15000000596046448</v>
      </c>
      <c r="F1663" s="1" t="str">
        <f>_xlfn.XLOOKUP(A1663,Orders!A:A,Orders!B:B,"not found")</f>
        <v>SAVEA</v>
      </c>
      <c r="G1663" s="13">
        <f>_xlfn.XLOOKUP(OrderDetails[[#This Row],[OrderID]],Orders!A:A,Orders!C:C,"Not Found")</f>
        <v>35837</v>
      </c>
      <c r="H1663" s="16">
        <f>(OrderDetails[[#This Row],[UnitPrice]]*OrderDetails[[#This Row],[Quantity]])*(1-OrderDetails[[#This Row],[Discount]])</f>
        <v>339.99999761581421</v>
      </c>
      <c r="I1663" s="15" t="str">
        <f>_xlfn.XLOOKUP(OrderDetails[[#This Row],[ProductID]],Product!A:A,Product!G:G,"Not Found")</f>
        <v>Confections</v>
      </c>
      <c r="J1663" s="15" t="str">
        <f>LOOKUP(MONTH(G1663),{1,4,7,10},{"Winter","Spring","Summer","Autumn"})</f>
        <v>Winter</v>
      </c>
      <c r="K1663" s="15" t="str">
        <f>_xlfn.XLOOKUP(OrderDetails[[#This Row],[ProductID]],Product!A:A,Product!B:B,"Not Found")</f>
        <v>Maxilaku</v>
      </c>
    </row>
    <row r="1664" spans="1:11">
      <c r="A1664" s="1">
        <v>10882</v>
      </c>
      <c r="B1664" s="1">
        <v>54</v>
      </c>
      <c r="C1664" s="1">
        <v>7.45</v>
      </c>
      <c r="D1664" s="1">
        <v>32</v>
      </c>
      <c r="E1664" s="3">
        <v>0.15000000596046448</v>
      </c>
      <c r="F1664" s="1" t="str">
        <f>_xlfn.XLOOKUP(A1664,Orders!A:A,Orders!B:B,"not found")</f>
        <v>SAVEA</v>
      </c>
      <c r="G1664" s="13">
        <f>_xlfn.XLOOKUP(OrderDetails[[#This Row],[OrderID]],Orders!A:A,Orders!C:C,"Not Found")</f>
        <v>35837</v>
      </c>
      <c r="H1664" s="16">
        <f>(OrderDetails[[#This Row],[UnitPrice]]*OrderDetails[[#This Row],[Quantity]])*(1-OrderDetails[[#This Row],[Discount]])</f>
        <v>202.63999857902527</v>
      </c>
      <c r="I1664" s="15" t="str">
        <f>_xlfn.XLOOKUP(OrderDetails[[#This Row],[ProductID]],Product!A:A,Product!G:G,"Not Found")</f>
        <v>Meat/Poultry</v>
      </c>
      <c r="J1664" s="15" t="str">
        <f>LOOKUP(MONTH(G1664),{1,4,7,10},{"Winter","Spring","Summer","Autumn"})</f>
        <v>Winter</v>
      </c>
      <c r="K1664" s="15" t="str">
        <f>_xlfn.XLOOKUP(OrderDetails[[#This Row],[ProductID]],Product!A:A,Product!B:B,"Not Found")</f>
        <v>Tourtière</v>
      </c>
    </row>
    <row r="1665" spans="1:11">
      <c r="A1665" s="2">
        <v>10883</v>
      </c>
      <c r="B1665" s="2">
        <v>24</v>
      </c>
      <c r="C1665" s="2">
        <v>4.5</v>
      </c>
      <c r="D1665" s="2">
        <v>8</v>
      </c>
      <c r="E1665" s="4">
        <v>0</v>
      </c>
      <c r="F1665" s="1" t="str">
        <f>_xlfn.XLOOKUP(A1665,Orders!A:A,Orders!B:B,"not found")</f>
        <v>LONEP</v>
      </c>
      <c r="G1665" s="13">
        <f>_xlfn.XLOOKUP(OrderDetails[[#This Row],[OrderID]],Orders!A:A,Orders!C:C,"Not Found")</f>
        <v>35838</v>
      </c>
      <c r="H1665" s="16">
        <f>(OrderDetails[[#This Row],[UnitPrice]]*OrderDetails[[#This Row],[Quantity]])*(1-OrderDetails[[#This Row],[Discount]])</f>
        <v>36</v>
      </c>
      <c r="I1665" s="15" t="str">
        <f>_xlfn.XLOOKUP(OrderDetails[[#This Row],[ProductID]],Product!A:A,Product!G:G,"Not Found")</f>
        <v>Beverages</v>
      </c>
      <c r="J1665" s="15" t="str">
        <f>LOOKUP(MONTH(G1665),{1,4,7,10},{"Winter","Spring","Summer","Autumn"})</f>
        <v>Winter</v>
      </c>
      <c r="K1665" s="15" t="str">
        <f>_xlfn.XLOOKUP(OrderDetails[[#This Row],[ProductID]],Product!A:A,Product!B:B,"Not Found")</f>
        <v>Guaraná Fantástica</v>
      </c>
    </row>
    <row r="1666" spans="1:11">
      <c r="A1666" s="1">
        <v>10884</v>
      </c>
      <c r="B1666" s="1">
        <v>21</v>
      </c>
      <c r="C1666" s="1">
        <v>10</v>
      </c>
      <c r="D1666" s="1">
        <v>40</v>
      </c>
      <c r="E1666" s="3">
        <v>5.000000074505806E-2</v>
      </c>
      <c r="F1666" s="1" t="str">
        <f>_xlfn.XLOOKUP(A1666,Orders!A:A,Orders!B:B,"not found")</f>
        <v>LETSS</v>
      </c>
      <c r="G1666" s="13">
        <f>_xlfn.XLOOKUP(OrderDetails[[#This Row],[OrderID]],Orders!A:A,Orders!C:C,"Not Found")</f>
        <v>35838</v>
      </c>
      <c r="H1666" s="16">
        <f>(OrderDetails[[#This Row],[UnitPrice]]*OrderDetails[[#This Row],[Quantity]])*(1-OrderDetails[[#This Row],[Discount]])</f>
        <v>379.99999970197678</v>
      </c>
      <c r="I1666" s="15" t="str">
        <f>_xlfn.XLOOKUP(OrderDetails[[#This Row],[ProductID]],Product!A:A,Product!G:G,"Not Found")</f>
        <v>Confections</v>
      </c>
      <c r="J1666" s="15" t="str">
        <f>LOOKUP(MONTH(G1666),{1,4,7,10},{"Winter","Spring","Summer","Autumn"})</f>
        <v>Winter</v>
      </c>
      <c r="K1666" s="15" t="str">
        <f>_xlfn.XLOOKUP(OrderDetails[[#This Row],[ProductID]],Product!A:A,Product!B:B,"Not Found")</f>
        <v>Sir Rodney's Scones</v>
      </c>
    </row>
    <row r="1667" spans="1:11">
      <c r="A1667" s="2">
        <v>10884</v>
      </c>
      <c r="B1667" s="2">
        <v>56</v>
      </c>
      <c r="C1667" s="2">
        <v>38</v>
      </c>
      <c r="D1667" s="2">
        <v>21</v>
      </c>
      <c r="E1667" s="4">
        <v>5.000000074505806E-2</v>
      </c>
      <c r="F1667" s="1" t="str">
        <f>_xlfn.XLOOKUP(A1667,Orders!A:A,Orders!B:B,"not found")</f>
        <v>LETSS</v>
      </c>
      <c r="G1667" s="13">
        <f>_xlfn.XLOOKUP(OrderDetails[[#This Row],[OrderID]],Orders!A:A,Orders!C:C,"Not Found")</f>
        <v>35838</v>
      </c>
      <c r="H1667" s="16">
        <f>(OrderDetails[[#This Row],[UnitPrice]]*OrderDetails[[#This Row],[Quantity]])*(1-OrderDetails[[#This Row],[Discount]])</f>
        <v>758.09999940544367</v>
      </c>
      <c r="I1667" s="15" t="str">
        <f>_xlfn.XLOOKUP(OrderDetails[[#This Row],[ProductID]],Product!A:A,Product!G:G,"Not Found")</f>
        <v>Grains/Cereals</v>
      </c>
      <c r="J1667" s="15" t="str">
        <f>LOOKUP(MONTH(G1667),{1,4,7,10},{"Winter","Spring","Summer","Autumn"})</f>
        <v>Winter</v>
      </c>
      <c r="K1667" s="15" t="str">
        <f>_xlfn.XLOOKUP(OrderDetails[[#This Row],[ProductID]],Product!A:A,Product!B:B,"Not Found")</f>
        <v>Gnocchi di nonna Alice</v>
      </c>
    </row>
    <row r="1668" spans="1:11">
      <c r="A1668" s="1">
        <v>10884</v>
      </c>
      <c r="B1668" s="1">
        <v>65</v>
      </c>
      <c r="C1668" s="1">
        <v>21.05</v>
      </c>
      <c r="D1668" s="1">
        <v>12</v>
      </c>
      <c r="E1668" s="3">
        <v>5.000000074505806E-2</v>
      </c>
      <c r="F1668" s="1" t="str">
        <f>_xlfn.XLOOKUP(A1668,Orders!A:A,Orders!B:B,"not found")</f>
        <v>LETSS</v>
      </c>
      <c r="G1668" s="13">
        <f>_xlfn.XLOOKUP(OrderDetails[[#This Row],[OrderID]],Orders!A:A,Orders!C:C,"Not Found")</f>
        <v>35838</v>
      </c>
      <c r="H1668" s="16">
        <f>(OrderDetails[[#This Row],[UnitPrice]]*OrderDetails[[#This Row],[Quantity]])*(1-OrderDetails[[#This Row],[Discount]])</f>
        <v>239.96999981179835</v>
      </c>
      <c r="I1668" s="15" t="str">
        <f>_xlfn.XLOOKUP(OrderDetails[[#This Row],[ProductID]],Product!A:A,Product!G:G,"Not Found")</f>
        <v>Condiments</v>
      </c>
      <c r="J1668" s="15" t="str">
        <f>LOOKUP(MONTH(G1668),{1,4,7,10},{"Winter","Spring","Summer","Autumn"})</f>
        <v>Winter</v>
      </c>
      <c r="K1668" s="15" t="str">
        <f>_xlfn.XLOOKUP(OrderDetails[[#This Row],[ProductID]],Product!A:A,Product!B:B,"Not Found")</f>
        <v>Louisiana Fiery Hot Pepper Sauce</v>
      </c>
    </row>
    <row r="1669" spans="1:11">
      <c r="A1669" s="2">
        <v>10885</v>
      </c>
      <c r="B1669" s="2">
        <v>2</v>
      </c>
      <c r="C1669" s="2">
        <v>19</v>
      </c>
      <c r="D1669" s="2">
        <v>20</v>
      </c>
      <c r="E1669" s="4">
        <v>0</v>
      </c>
      <c r="F1669" s="1" t="str">
        <f>_xlfn.XLOOKUP(A1669,Orders!A:A,Orders!B:B,"not found")</f>
        <v>SUPRD</v>
      </c>
      <c r="G1669" s="13">
        <f>_xlfn.XLOOKUP(OrderDetails[[#This Row],[OrderID]],Orders!A:A,Orders!C:C,"Not Found")</f>
        <v>35838</v>
      </c>
      <c r="H1669" s="16">
        <f>(OrderDetails[[#This Row],[UnitPrice]]*OrderDetails[[#This Row],[Quantity]])*(1-OrderDetails[[#This Row],[Discount]])</f>
        <v>380</v>
      </c>
      <c r="I1669" s="15" t="str">
        <f>_xlfn.XLOOKUP(OrderDetails[[#This Row],[ProductID]],Product!A:A,Product!G:G,"Not Found")</f>
        <v>Beverages</v>
      </c>
      <c r="J1669" s="15" t="str">
        <f>LOOKUP(MONTH(G1669),{1,4,7,10},{"Winter","Spring","Summer","Autumn"})</f>
        <v>Winter</v>
      </c>
      <c r="K1669" s="15" t="str">
        <f>_xlfn.XLOOKUP(OrderDetails[[#This Row],[ProductID]],Product!A:A,Product!B:B,"Not Found")</f>
        <v>Chang</v>
      </c>
    </row>
    <row r="1670" spans="1:11">
      <c r="A1670" s="1">
        <v>10885</v>
      </c>
      <c r="B1670" s="1">
        <v>24</v>
      </c>
      <c r="C1670" s="1">
        <v>4.5</v>
      </c>
      <c r="D1670" s="1">
        <v>12</v>
      </c>
      <c r="E1670" s="3">
        <v>0</v>
      </c>
      <c r="F1670" s="1" t="str">
        <f>_xlfn.XLOOKUP(A1670,Orders!A:A,Orders!B:B,"not found")</f>
        <v>SUPRD</v>
      </c>
      <c r="G1670" s="13">
        <f>_xlfn.XLOOKUP(OrderDetails[[#This Row],[OrderID]],Orders!A:A,Orders!C:C,"Not Found")</f>
        <v>35838</v>
      </c>
      <c r="H1670" s="16">
        <f>(OrderDetails[[#This Row],[UnitPrice]]*OrderDetails[[#This Row],[Quantity]])*(1-OrderDetails[[#This Row],[Discount]])</f>
        <v>54</v>
      </c>
      <c r="I1670" s="15" t="str">
        <f>_xlfn.XLOOKUP(OrderDetails[[#This Row],[ProductID]],Product!A:A,Product!G:G,"Not Found")</f>
        <v>Beverages</v>
      </c>
      <c r="J1670" s="15" t="str">
        <f>LOOKUP(MONTH(G1670),{1,4,7,10},{"Winter","Spring","Summer","Autumn"})</f>
        <v>Winter</v>
      </c>
      <c r="K1670" s="15" t="str">
        <f>_xlfn.XLOOKUP(OrderDetails[[#This Row],[ProductID]],Product!A:A,Product!B:B,"Not Found")</f>
        <v>Guaraná Fantástica</v>
      </c>
    </row>
    <row r="1671" spans="1:11">
      <c r="A1671" s="2">
        <v>10885</v>
      </c>
      <c r="B1671" s="2">
        <v>70</v>
      </c>
      <c r="C1671" s="2">
        <v>15</v>
      </c>
      <c r="D1671" s="2">
        <v>30</v>
      </c>
      <c r="E1671" s="4">
        <v>0</v>
      </c>
      <c r="F1671" s="1" t="str">
        <f>_xlfn.XLOOKUP(A1671,Orders!A:A,Orders!B:B,"not found")</f>
        <v>SUPRD</v>
      </c>
      <c r="G1671" s="13">
        <f>_xlfn.XLOOKUP(OrderDetails[[#This Row],[OrderID]],Orders!A:A,Orders!C:C,"Not Found")</f>
        <v>35838</v>
      </c>
      <c r="H1671" s="16">
        <f>(OrderDetails[[#This Row],[UnitPrice]]*OrderDetails[[#This Row],[Quantity]])*(1-OrderDetails[[#This Row],[Discount]])</f>
        <v>450</v>
      </c>
      <c r="I1671" s="15" t="str">
        <f>_xlfn.XLOOKUP(OrderDetails[[#This Row],[ProductID]],Product!A:A,Product!G:G,"Not Found")</f>
        <v>Beverages</v>
      </c>
      <c r="J1671" s="15" t="str">
        <f>LOOKUP(MONTH(G1671),{1,4,7,10},{"Winter","Spring","Summer","Autumn"})</f>
        <v>Winter</v>
      </c>
      <c r="K1671" s="15" t="str">
        <f>_xlfn.XLOOKUP(OrderDetails[[#This Row],[ProductID]],Product!A:A,Product!B:B,"Not Found")</f>
        <v>Outback Lager</v>
      </c>
    </row>
    <row r="1672" spans="1:11">
      <c r="A1672" s="1">
        <v>10885</v>
      </c>
      <c r="B1672" s="1">
        <v>77</v>
      </c>
      <c r="C1672" s="1">
        <v>13</v>
      </c>
      <c r="D1672" s="1">
        <v>25</v>
      </c>
      <c r="E1672" s="3">
        <v>0</v>
      </c>
      <c r="F1672" s="1" t="str">
        <f>_xlfn.XLOOKUP(A1672,Orders!A:A,Orders!B:B,"not found")</f>
        <v>SUPRD</v>
      </c>
      <c r="G1672" s="13">
        <f>_xlfn.XLOOKUP(OrderDetails[[#This Row],[OrderID]],Orders!A:A,Orders!C:C,"Not Found")</f>
        <v>35838</v>
      </c>
      <c r="H1672" s="16">
        <f>(OrderDetails[[#This Row],[UnitPrice]]*OrderDetails[[#This Row],[Quantity]])*(1-OrderDetails[[#This Row],[Discount]])</f>
        <v>325</v>
      </c>
      <c r="I1672" s="15" t="str">
        <f>_xlfn.XLOOKUP(OrderDetails[[#This Row],[ProductID]],Product!A:A,Product!G:G,"Not Found")</f>
        <v>Condiments</v>
      </c>
      <c r="J1672" s="15" t="str">
        <f>LOOKUP(MONTH(G1672),{1,4,7,10},{"Winter","Spring","Summer","Autumn"})</f>
        <v>Winter</v>
      </c>
      <c r="K1672" s="15" t="str">
        <f>_xlfn.XLOOKUP(OrderDetails[[#This Row],[ProductID]],Product!A:A,Product!B:B,"Not Found")</f>
        <v>Original Frankfurter grüne Soße</v>
      </c>
    </row>
    <row r="1673" spans="1:11">
      <c r="A1673" s="2">
        <v>10886</v>
      </c>
      <c r="B1673" s="2">
        <v>10</v>
      </c>
      <c r="C1673" s="2">
        <v>31</v>
      </c>
      <c r="D1673" s="2">
        <v>70</v>
      </c>
      <c r="E1673" s="4">
        <v>0</v>
      </c>
      <c r="F1673" s="1" t="str">
        <f>_xlfn.XLOOKUP(A1673,Orders!A:A,Orders!B:B,"not found")</f>
        <v>HANAR</v>
      </c>
      <c r="G1673" s="13">
        <f>_xlfn.XLOOKUP(OrderDetails[[#This Row],[OrderID]],Orders!A:A,Orders!C:C,"Not Found")</f>
        <v>35839</v>
      </c>
      <c r="H1673" s="16">
        <f>(OrderDetails[[#This Row],[UnitPrice]]*OrderDetails[[#This Row],[Quantity]])*(1-OrderDetails[[#This Row],[Discount]])</f>
        <v>2170</v>
      </c>
      <c r="I1673" s="15" t="str">
        <f>_xlfn.XLOOKUP(OrderDetails[[#This Row],[ProductID]],Product!A:A,Product!G:G,"Not Found")</f>
        <v>Seafood</v>
      </c>
      <c r="J1673" s="15" t="str">
        <f>LOOKUP(MONTH(G1673),{1,4,7,10},{"Winter","Spring","Summer","Autumn"})</f>
        <v>Winter</v>
      </c>
      <c r="K1673" s="15" t="str">
        <f>_xlfn.XLOOKUP(OrderDetails[[#This Row],[ProductID]],Product!A:A,Product!B:B,"Not Found")</f>
        <v>Ikura</v>
      </c>
    </row>
    <row r="1674" spans="1:11">
      <c r="A1674" s="1">
        <v>10886</v>
      </c>
      <c r="B1674" s="1">
        <v>31</v>
      </c>
      <c r="C1674" s="1">
        <v>12.5</v>
      </c>
      <c r="D1674" s="1">
        <v>35</v>
      </c>
      <c r="E1674" s="3">
        <v>0</v>
      </c>
      <c r="F1674" s="1" t="str">
        <f>_xlfn.XLOOKUP(A1674,Orders!A:A,Orders!B:B,"not found")</f>
        <v>HANAR</v>
      </c>
      <c r="G1674" s="13">
        <f>_xlfn.XLOOKUP(OrderDetails[[#This Row],[OrderID]],Orders!A:A,Orders!C:C,"Not Found")</f>
        <v>35839</v>
      </c>
      <c r="H1674" s="16">
        <f>(OrderDetails[[#This Row],[UnitPrice]]*OrderDetails[[#This Row],[Quantity]])*(1-OrderDetails[[#This Row],[Discount]])</f>
        <v>437.5</v>
      </c>
      <c r="I1674" s="15" t="str">
        <f>_xlfn.XLOOKUP(OrderDetails[[#This Row],[ProductID]],Product!A:A,Product!G:G,"Not Found")</f>
        <v>Dairy Products</v>
      </c>
      <c r="J1674" s="15" t="str">
        <f>LOOKUP(MONTH(G1674),{1,4,7,10},{"Winter","Spring","Summer","Autumn"})</f>
        <v>Winter</v>
      </c>
      <c r="K1674" s="15" t="str">
        <f>_xlfn.XLOOKUP(OrderDetails[[#This Row],[ProductID]],Product!A:A,Product!B:B,"Not Found")</f>
        <v>Gorgonzola Telino</v>
      </c>
    </row>
    <row r="1675" spans="1:11">
      <c r="A1675" s="2">
        <v>10886</v>
      </c>
      <c r="B1675" s="2">
        <v>77</v>
      </c>
      <c r="C1675" s="2">
        <v>13</v>
      </c>
      <c r="D1675" s="2">
        <v>40</v>
      </c>
      <c r="E1675" s="4">
        <v>0</v>
      </c>
      <c r="F1675" s="1" t="str">
        <f>_xlfn.XLOOKUP(A1675,Orders!A:A,Orders!B:B,"not found")</f>
        <v>HANAR</v>
      </c>
      <c r="G1675" s="13">
        <f>_xlfn.XLOOKUP(OrderDetails[[#This Row],[OrderID]],Orders!A:A,Orders!C:C,"Not Found")</f>
        <v>35839</v>
      </c>
      <c r="H1675" s="16">
        <f>(OrderDetails[[#This Row],[UnitPrice]]*OrderDetails[[#This Row],[Quantity]])*(1-OrderDetails[[#This Row],[Discount]])</f>
        <v>520</v>
      </c>
      <c r="I1675" s="15" t="str">
        <f>_xlfn.XLOOKUP(OrderDetails[[#This Row],[ProductID]],Product!A:A,Product!G:G,"Not Found")</f>
        <v>Condiments</v>
      </c>
      <c r="J1675" s="15" t="str">
        <f>LOOKUP(MONTH(G1675),{1,4,7,10},{"Winter","Spring","Summer","Autumn"})</f>
        <v>Winter</v>
      </c>
      <c r="K1675" s="15" t="str">
        <f>_xlfn.XLOOKUP(OrderDetails[[#This Row],[ProductID]],Product!A:A,Product!B:B,"Not Found")</f>
        <v>Original Frankfurter grüne Soße</v>
      </c>
    </row>
    <row r="1676" spans="1:11">
      <c r="A1676" s="1">
        <v>10887</v>
      </c>
      <c r="B1676" s="1">
        <v>25</v>
      </c>
      <c r="C1676" s="1">
        <v>14</v>
      </c>
      <c r="D1676" s="1">
        <v>5</v>
      </c>
      <c r="E1676" s="3">
        <v>0</v>
      </c>
      <c r="F1676" s="1" t="str">
        <f>_xlfn.XLOOKUP(A1676,Orders!A:A,Orders!B:B,"not found")</f>
        <v>GALED</v>
      </c>
      <c r="G1676" s="13">
        <f>_xlfn.XLOOKUP(OrderDetails[[#This Row],[OrderID]],Orders!A:A,Orders!C:C,"Not Found")</f>
        <v>35839</v>
      </c>
      <c r="H1676" s="16">
        <f>(OrderDetails[[#This Row],[UnitPrice]]*OrderDetails[[#This Row],[Quantity]])*(1-OrderDetails[[#This Row],[Discount]])</f>
        <v>70</v>
      </c>
      <c r="I1676" s="15" t="str">
        <f>_xlfn.XLOOKUP(OrderDetails[[#This Row],[ProductID]],Product!A:A,Product!G:G,"Not Found")</f>
        <v>Confections</v>
      </c>
      <c r="J1676" s="15" t="str">
        <f>LOOKUP(MONTH(G1676),{1,4,7,10},{"Winter","Spring","Summer","Autumn"})</f>
        <v>Winter</v>
      </c>
      <c r="K1676" s="15" t="str">
        <f>_xlfn.XLOOKUP(OrderDetails[[#This Row],[ProductID]],Product!A:A,Product!B:B,"Not Found")</f>
        <v>NuNuCa Nuß-Nougat-Creme</v>
      </c>
    </row>
    <row r="1677" spans="1:11">
      <c r="A1677" s="2">
        <v>10888</v>
      </c>
      <c r="B1677" s="2">
        <v>2</v>
      </c>
      <c r="C1677" s="2">
        <v>19</v>
      </c>
      <c r="D1677" s="2">
        <v>20</v>
      </c>
      <c r="E1677" s="4">
        <v>0</v>
      </c>
      <c r="F1677" s="1" t="str">
        <f>_xlfn.XLOOKUP(A1677,Orders!A:A,Orders!B:B,"not found")</f>
        <v>GODOS</v>
      </c>
      <c r="G1677" s="13">
        <f>_xlfn.XLOOKUP(OrderDetails[[#This Row],[OrderID]],Orders!A:A,Orders!C:C,"Not Found")</f>
        <v>35842</v>
      </c>
      <c r="H1677" s="16">
        <f>(OrderDetails[[#This Row],[UnitPrice]]*OrderDetails[[#This Row],[Quantity]])*(1-OrderDetails[[#This Row],[Discount]])</f>
        <v>380</v>
      </c>
      <c r="I1677" s="15" t="str">
        <f>_xlfn.XLOOKUP(OrderDetails[[#This Row],[ProductID]],Product!A:A,Product!G:G,"Not Found")</f>
        <v>Beverages</v>
      </c>
      <c r="J1677" s="15" t="str">
        <f>LOOKUP(MONTH(G1677),{1,4,7,10},{"Winter","Spring","Summer","Autumn"})</f>
        <v>Winter</v>
      </c>
      <c r="K1677" s="15" t="str">
        <f>_xlfn.XLOOKUP(OrderDetails[[#This Row],[ProductID]],Product!A:A,Product!B:B,"Not Found")</f>
        <v>Chang</v>
      </c>
    </row>
    <row r="1678" spans="1:11">
      <c r="A1678" s="1">
        <v>10888</v>
      </c>
      <c r="B1678" s="1">
        <v>68</v>
      </c>
      <c r="C1678" s="1">
        <v>12.5</v>
      </c>
      <c r="D1678" s="1">
        <v>18</v>
      </c>
      <c r="E1678" s="3">
        <v>0</v>
      </c>
      <c r="F1678" s="1" t="str">
        <f>_xlfn.XLOOKUP(A1678,Orders!A:A,Orders!B:B,"not found")</f>
        <v>GODOS</v>
      </c>
      <c r="G1678" s="13">
        <f>_xlfn.XLOOKUP(OrderDetails[[#This Row],[OrderID]],Orders!A:A,Orders!C:C,"Not Found")</f>
        <v>35842</v>
      </c>
      <c r="H1678" s="16">
        <f>(OrderDetails[[#This Row],[UnitPrice]]*OrderDetails[[#This Row],[Quantity]])*(1-OrderDetails[[#This Row],[Discount]])</f>
        <v>225</v>
      </c>
      <c r="I1678" s="15" t="str">
        <f>_xlfn.XLOOKUP(OrderDetails[[#This Row],[ProductID]],Product!A:A,Product!G:G,"Not Found")</f>
        <v>Confections</v>
      </c>
      <c r="J1678" s="15" t="str">
        <f>LOOKUP(MONTH(G1678),{1,4,7,10},{"Winter","Spring","Summer","Autumn"})</f>
        <v>Winter</v>
      </c>
      <c r="K1678" s="15" t="str">
        <f>_xlfn.XLOOKUP(OrderDetails[[#This Row],[ProductID]],Product!A:A,Product!B:B,"Not Found")</f>
        <v>Scottish Longbreads</v>
      </c>
    </row>
    <row r="1679" spans="1:11">
      <c r="A1679" s="2">
        <v>10889</v>
      </c>
      <c r="B1679" s="2">
        <v>11</v>
      </c>
      <c r="C1679" s="2">
        <v>21</v>
      </c>
      <c r="D1679" s="2">
        <v>40</v>
      </c>
      <c r="E1679" s="4">
        <v>0</v>
      </c>
      <c r="F1679" s="1" t="str">
        <f>_xlfn.XLOOKUP(A1679,Orders!A:A,Orders!B:B,"not found")</f>
        <v>RATTC</v>
      </c>
      <c r="G1679" s="13">
        <f>_xlfn.XLOOKUP(OrderDetails[[#This Row],[OrderID]],Orders!A:A,Orders!C:C,"Not Found")</f>
        <v>35842</v>
      </c>
      <c r="H1679" s="16">
        <f>(OrderDetails[[#This Row],[UnitPrice]]*OrderDetails[[#This Row],[Quantity]])*(1-OrderDetails[[#This Row],[Discount]])</f>
        <v>840</v>
      </c>
      <c r="I1679" s="15" t="str">
        <f>_xlfn.XLOOKUP(OrderDetails[[#This Row],[ProductID]],Product!A:A,Product!G:G,"Not Found")</f>
        <v>Dairy Products</v>
      </c>
      <c r="J1679" s="15" t="str">
        <f>LOOKUP(MONTH(G1679),{1,4,7,10},{"Winter","Spring","Summer","Autumn"})</f>
        <v>Winter</v>
      </c>
      <c r="K1679" s="15" t="str">
        <f>_xlfn.XLOOKUP(OrderDetails[[#This Row],[ProductID]],Product!A:A,Product!B:B,"Not Found")</f>
        <v>Queso Cabrales</v>
      </c>
    </row>
    <row r="1680" spans="1:11">
      <c r="A1680" s="1">
        <v>10889</v>
      </c>
      <c r="B1680" s="1">
        <v>38</v>
      </c>
      <c r="C1680" s="1">
        <v>263.5</v>
      </c>
      <c r="D1680" s="1">
        <v>40</v>
      </c>
      <c r="E1680" s="3">
        <v>0</v>
      </c>
      <c r="F1680" s="1" t="str">
        <f>_xlfn.XLOOKUP(A1680,Orders!A:A,Orders!B:B,"not found")</f>
        <v>RATTC</v>
      </c>
      <c r="G1680" s="13">
        <f>_xlfn.XLOOKUP(OrderDetails[[#This Row],[OrderID]],Orders!A:A,Orders!C:C,"Not Found")</f>
        <v>35842</v>
      </c>
      <c r="H1680" s="16">
        <f>(OrderDetails[[#This Row],[UnitPrice]]*OrderDetails[[#This Row],[Quantity]])*(1-OrderDetails[[#This Row],[Discount]])</f>
        <v>10540</v>
      </c>
      <c r="I1680" s="15" t="str">
        <f>_xlfn.XLOOKUP(OrderDetails[[#This Row],[ProductID]],Product!A:A,Product!G:G,"Not Found")</f>
        <v>Beverages</v>
      </c>
      <c r="J1680" s="15" t="str">
        <f>LOOKUP(MONTH(G1680),{1,4,7,10},{"Winter","Spring","Summer","Autumn"})</f>
        <v>Winter</v>
      </c>
      <c r="K1680" s="15" t="str">
        <f>_xlfn.XLOOKUP(OrderDetails[[#This Row],[ProductID]],Product!A:A,Product!B:B,"Not Found")</f>
        <v>Côte de Blaye</v>
      </c>
    </row>
    <row r="1681" spans="1:11">
      <c r="A1681" s="2">
        <v>10890</v>
      </c>
      <c r="B1681" s="2">
        <v>17</v>
      </c>
      <c r="C1681" s="2">
        <v>39</v>
      </c>
      <c r="D1681" s="2">
        <v>15</v>
      </c>
      <c r="E1681" s="4">
        <v>0</v>
      </c>
      <c r="F1681" s="1" t="str">
        <f>_xlfn.XLOOKUP(A1681,Orders!A:A,Orders!B:B,"not found")</f>
        <v>DUMON</v>
      </c>
      <c r="G1681" s="13">
        <f>_xlfn.XLOOKUP(OrderDetails[[#This Row],[OrderID]],Orders!A:A,Orders!C:C,"Not Found")</f>
        <v>35842</v>
      </c>
      <c r="H1681" s="16">
        <f>(OrderDetails[[#This Row],[UnitPrice]]*OrderDetails[[#This Row],[Quantity]])*(1-OrderDetails[[#This Row],[Discount]])</f>
        <v>585</v>
      </c>
      <c r="I1681" s="15" t="str">
        <f>_xlfn.XLOOKUP(OrderDetails[[#This Row],[ProductID]],Product!A:A,Product!G:G,"Not Found")</f>
        <v>Meat/Poultry</v>
      </c>
      <c r="J1681" s="15" t="str">
        <f>LOOKUP(MONTH(G1681),{1,4,7,10},{"Winter","Spring","Summer","Autumn"})</f>
        <v>Winter</v>
      </c>
      <c r="K1681" s="15" t="str">
        <f>_xlfn.XLOOKUP(OrderDetails[[#This Row],[ProductID]],Product!A:A,Product!B:B,"Not Found")</f>
        <v>Alice Mutton</v>
      </c>
    </row>
    <row r="1682" spans="1:11">
      <c r="A1682" s="1">
        <v>10890</v>
      </c>
      <c r="B1682" s="1">
        <v>34</v>
      </c>
      <c r="C1682" s="1">
        <v>14</v>
      </c>
      <c r="D1682" s="1">
        <v>10</v>
      </c>
      <c r="E1682" s="3">
        <v>0</v>
      </c>
      <c r="F1682" s="1" t="str">
        <f>_xlfn.XLOOKUP(A1682,Orders!A:A,Orders!B:B,"not found")</f>
        <v>DUMON</v>
      </c>
      <c r="G1682" s="13">
        <f>_xlfn.XLOOKUP(OrderDetails[[#This Row],[OrderID]],Orders!A:A,Orders!C:C,"Not Found")</f>
        <v>35842</v>
      </c>
      <c r="H1682" s="16">
        <f>(OrderDetails[[#This Row],[UnitPrice]]*OrderDetails[[#This Row],[Quantity]])*(1-OrderDetails[[#This Row],[Discount]])</f>
        <v>140</v>
      </c>
      <c r="I1682" s="15" t="str">
        <f>_xlfn.XLOOKUP(OrderDetails[[#This Row],[ProductID]],Product!A:A,Product!G:G,"Not Found")</f>
        <v>Beverages</v>
      </c>
      <c r="J1682" s="15" t="str">
        <f>LOOKUP(MONTH(G1682),{1,4,7,10},{"Winter","Spring","Summer","Autumn"})</f>
        <v>Winter</v>
      </c>
      <c r="K1682" s="15" t="str">
        <f>_xlfn.XLOOKUP(OrderDetails[[#This Row],[ProductID]],Product!A:A,Product!B:B,"Not Found")</f>
        <v>Sasquatch Ale</v>
      </c>
    </row>
    <row r="1683" spans="1:11">
      <c r="A1683" s="2">
        <v>10890</v>
      </c>
      <c r="B1683" s="2">
        <v>41</v>
      </c>
      <c r="C1683" s="2">
        <v>9.65</v>
      </c>
      <c r="D1683" s="2">
        <v>14</v>
      </c>
      <c r="E1683" s="4">
        <v>0</v>
      </c>
      <c r="F1683" s="1" t="str">
        <f>_xlfn.XLOOKUP(A1683,Orders!A:A,Orders!B:B,"not found")</f>
        <v>DUMON</v>
      </c>
      <c r="G1683" s="13">
        <f>_xlfn.XLOOKUP(OrderDetails[[#This Row],[OrderID]],Orders!A:A,Orders!C:C,"Not Found")</f>
        <v>35842</v>
      </c>
      <c r="H1683" s="16">
        <f>(OrderDetails[[#This Row],[UnitPrice]]*OrderDetails[[#This Row],[Quantity]])*(1-OrderDetails[[#This Row],[Discount]])</f>
        <v>135.1</v>
      </c>
      <c r="I1683" s="15" t="str">
        <f>_xlfn.XLOOKUP(OrderDetails[[#This Row],[ProductID]],Product!A:A,Product!G:G,"Not Found")</f>
        <v>Seafood</v>
      </c>
      <c r="J1683" s="15" t="str">
        <f>LOOKUP(MONTH(G1683),{1,4,7,10},{"Winter","Spring","Summer","Autumn"})</f>
        <v>Winter</v>
      </c>
      <c r="K1683" s="15" t="str">
        <f>_xlfn.XLOOKUP(OrderDetails[[#This Row],[ProductID]],Product!A:A,Product!B:B,"Not Found")</f>
        <v>Jack's New England Clam Chowder</v>
      </c>
    </row>
    <row r="1684" spans="1:11">
      <c r="A1684" s="1">
        <v>10891</v>
      </c>
      <c r="B1684" s="1">
        <v>30</v>
      </c>
      <c r="C1684" s="1">
        <v>25.89</v>
      </c>
      <c r="D1684" s="1">
        <v>15</v>
      </c>
      <c r="E1684" s="3">
        <v>5.000000074505806E-2</v>
      </c>
      <c r="F1684" s="1" t="str">
        <f>_xlfn.XLOOKUP(A1684,Orders!A:A,Orders!B:B,"not found")</f>
        <v>LEHMS</v>
      </c>
      <c r="G1684" s="13">
        <f>_xlfn.XLOOKUP(OrderDetails[[#This Row],[OrderID]],Orders!A:A,Orders!C:C,"Not Found")</f>
        <v>35843</v>
      </c>
      <c r="H1684" s="16">
        <f>(OrderDetails[[#This Row],[UnitPrice]]*OrderDetails[[#This Row],[Quantity]])*(1-OrderDetails[[#This Row],[Discount]])</f>
        <v>368.93249971065671</v>
      </c>
      <c r="I1684" s="15" t="str">
        <f>_xlfn.XLOOKUP(OrderDetails[[#This Row],[ProductID]],Product!A:A,Product!G:G,"Not Found")</f>
        <v>Seafood</v>
      </c>
      <c r="J1684" s="15" t="str">
        <f>LOOKUP(MONTH(G1684),{1,4,7,10},{"Winter","Spring","Summer","Autumn"})</f>
        <v>Winter</v>
      </c>
      <c r="K1684" s="15" t="str">
        <f>_xlfn.XLOOKUP(OrderDetails[[#This Row],[ProductID]],Product!A:A,Product!B:B,"Not Found")</f>
        <v>Nord-Ost Matjeshering</v>
      </c>
    </row>
    <row r="1685" spans="1:11">
      <c r="A1685" s="2">
        <v>10892</v>
      </c>
      <c r="B1685" s="2">
        <v>59</v>
      </c>
      <c r="C1685" s="2">
        <v>55</v>
      </c>
      <c r="D1685" s="2">
        <v>40</v>
      </c>
      <c r="E1685" s="4">
        <v>5.000000074505806E-2</v>
      </c>
      <c r="F1685" s="1" t="str">
        <f>_xlfn.XLOOKUP(A1685,Orders!A:A,Orders!B:B,"not found")</f>
        <v>MAISD</v>
      </c>
      <c r="G1685" s="13">
        <f>_xlfn.XLOOKUP(OrderDetails[[#This Row],[OrderID]],Orders!A:A,Orders!C:C,"Not Found")</f>
        <v>35843</v>
      </c>
      <c r="H1685" s="16">
        <f>(OrderDetails[[#This Row],[UnitPrice]]*OrderDetails[[#This Row],[Quantity]])*(1-OrderDetails[[#This Row],[Discount]])</f>
        <v>2089.9999983608723</v>
      </c>
      <c r="I1685" s="15" t="str">
        <f>_xlfn.XLOOKUP(OrderDetails[[#This Row],[ProductID]],Product!A:A,Product!G:G,"Not Found")</f>
        <v>Dairy Products</v>
      </c>
      <c r="J1685" s="15" t="str">
        <f>LOOKUP(MONTH(G1685),{1,4,7,10},{"Winter","Spring","Summer","Autumn"})</f>
        <v>Winter</v>
      </c>
      <c r="K1685" s="15" t="str">
        <f>_xlfn.XLOOKUP(OrderDetails[[#This Row],[ProductID]],Product!A:A,Product!B:B,"Not Found")</f>
        <v>Raclette Courdavault</v>
      </c>
    </row>
    <row r="1686" spans="1:11">
      <c r="A1686" s="1">
        <v>10893</v>
      </c>
      <c r="B1686" s="1">
        <v>8</v>
      </c>
      <c r="C1686" s="1">
        <v>40</v>
      </c>
      <c r="D1686" s="1">
        <v>30</v>
      </c>
      <c r="E1686" s="3">
        <v>0</v>
      </c>
      <c r="F1686" s="1" t="str">
        <f>_xlfn.XLOOKUP(A1686,Orders!A:A,Orders!B:B,"not found")</f>
        <v>KOENE</v>
      </c>
      <c r="G1686" s="13">
        <f>_xlfn.XLOOKUP(OrderDetails[[#This Row],[OrderID]],Orders!A:A,Orders!C:C,"Not Found")</f>
        <v>35844</v>
      </c>
      <c r="H1686" s="16">
        <f>(OrderDetails[[#This Row],[UnitPrice]]*OrderDetails[[#This Row],[Quantity]])*(1-OrderDetails[[#This Row],[Discount]])</f>
        <v>1200</v>
      </c>
      <c r="I1686" s="15" t="str">
        <f>_xlfn.XLOOKUP(OrderDetails[[#This Row],[ProductID]],Product!A:A,Product!G:G,"Not Found")</f>
        <v>Condiments</v>
      </c>
      <c r="J1686" s="15" t="str">
        <f>LOOKUP(MONTH(G1686),{1,4,7,10},{"Winter","Spring","Summer","Autumn"})</f>
        <v>Winter</v>
      </c>
      <c r="K1686" s="15" t="str">
        <f>_xlfn.XLOOKUP(OrderDetails[[#This Row],[ProductID]],Product!A:A,Product!B:B,"Not Found")</f>
        <v>Northwoods Cranberry Sauce</v>
      </c>
    </row>
    <row r="1687" spans="1:11">
      <c r="A1687" s="2">
        <v>10893</v>
      </c>
      <c r="B1687" s="2">
        <v>24</v>
      </c>
      <c r="C1687" s="2">
        <v>4.5</v>
      </c>
      <c r="D1687" s="2">
        <v>10</v>
      </c>
      <c r="E1687" s="4">
        <v>0</v>
      </c>
      <c r="F1687" s="1" t="str">
        <f>_xlfn.XLOOKUP(A1687,Orders!A:A,Orders!B:B,"not found")</f>
        <v>KOENE</v>
      </c>
      <c r="G1687" s="13">
        <f>_xlfn.XLOOKUP(OrderDetails[[#This Row],[OrderID]],Orders!A:A,Orders!C:C,"Not Found")</f>
        <v>35844</v>
      </c>
      <c r="H1687" s="16">
        <f>(OrderDetails[[#This Row],[UnitPrice]]*OrderDetails[[#This Row],[Quantity]])*(1-OrderDetails[[#This Row],[Discount]])</f>
        <v>45</v>
      </c>
      <c r="I1687" s="15" t="str">
        <f>_xlfn.XLOOKUP(OrderDetails[[#This Row],[ProductID]],Product!A:A,Product!G:G,"Not Found")</f>
        <v>Beverages</v>
      </c>
      <c r="J1687" s="15" t="str">
        <f>LOOKUP(MONTH(G1687),{1,4,7,10},{"Winter","Spring","Summer","Autumn"})</f>
        <v>Winter</v>
      </c>
      <c r="K1687" s="15" t="str">
        <f>_xlfn.XLOOKUP(OrderDetails[[#This Row],[ProductID]],Product!A:A,Product!B:B,"Not Found")</f>
        <v>Guaraná Fantástica</v>
      </c>
    </row>
    <row r="1688" spans="1:11">
      <c r="A1688" s="1">
        <v>10893</v>
      </c>
      <c r="B1688" s="1">
        <v>29</v>
      </c>
      <c r="C1688" s="1">
        <v>123.79</v>
      </c>
      <c r="D1688" s="1">
        <v>24</v>
      </c>
      <c r="E1688" s="3">
        <v>0</v>
      </c>
      <c r="F1688" s="1" t="str">
        <f>_xlfn.XLOOKUP(A1688,Orders!A:A,Orders!B:B,"not found")</f>
        <v>KOENE</v>
      </c>
      <c r="G1688" s="13">
        <f>_xlfn.XLOOKUP(OrderDetails[[#This Row],[OrderID]],Orders!A:A,Orders!C:C,"Not Found")</f>
        <v>35844</v>
      </c>
      <c r="H1688" s="16">
        <f>(OrderDetails[[#This Row],[UnitPrice]]*OrderDetails[[#This Row],[Quantity]])*(1-OrderDetails[[#This Row],[Discount]])</f>
        <v>2970.96</v>
      </c>
      <c r="I1688" s="15" t="str">
        <f>_xlfn.XLOOKUP(OrderDetails[[#This Row],[ProductID]],Product!A:A,Product!G:G,"Not Found")</f>
        <v>Meat/Poultry</v>
      </c>
      <c r="J1688" s="15" t="str">
        <f>LOOKUP(MONTH(G1688),{1,4,7,10},{"Winter","Spring","Summer","Autumn"})</f>
        <v>Winter</v>
      </c>
      <c r="K1688" s="15" t="str">
        <f>_xlfn.XLOOKUP(OrderDetails[[#This Row],[ProductID]],Product!A:A,Product!B:B,"Not Found")</f>
        <v>Thüringer Rostbratwurst</v>
      </c>
    </row>
    <row r="1689" spans="1:11">
      <c r="A1689" s="2">
        <v>10893</v>
      </c>
      <c r="B1689" s="2">
        <v>30</v>
      </c>
      <c r="C1689" s="2">
        <v>25.89</v>
      </c>
      <c r="D1689" s="2">
        <v>35</v>
      </c>
      <c r="E1689" s="4">
        <v>0</v>
      </c>
      <c r="F1689" s="1" t="str">
        <f>_xlfn.XLOOKUP(A1689,Orders!A:A,Orders!B:B,"not found")</f>
        <v>KOENE</v>
      </c>
      <c r="G1689" s="13">
        <f>_xlfn.XLOOKUP(OrderDetails[[#This Row],[OrderID]],Orders!A:A,Orders!C:C,"Not Found")</f>
        <v>35844</v>
      </c>
      <c r="H1689" s="16">
        <f>(OrderDetails[[#This Row],[UnitPrice]]*OrderDetails[[#This Row],[Quantity]])*(1-OrderDetails[[#This Row],[Discount]])</f>
        <v>906.15</v>
      </c>
      <c r="I1689" s="15" t="str">
        <f>_xlfn.XLOOKUP(OrderDetails[[#This Row],[ProductID]],Product!A:A,Product!G:G,"Not Found")</f>
        <v>Seafood</v>
      </c>
      <c r="J1689" s="15" t="str">
        <f>LOOKUP(MONTH(G1689),{1,4,7,10},{"Winter","Spring","Summer","Autumn"})</f>
        <v>Winter</v>
      </c>
      <c r="K1689" s="15" t="str">
        <f>_xlfn.XLOOKUP(OrderDetails[[#This Row],[ProductID]],Product!A:A,Product!B:B,"Not Found")</f>
        <v>Nord-Ost Matjeshering</v>
      </c>
    </row>
    <row r="1690" spans="1:11">
      <c r="A1690" s="1">
        <v>10893</v>
      </c>
      <c r="B1690" s="1">
        <v>36</v>
      </c>
      <c r="C1690" s="1">
        <v>19</v>
      </c>
      <c r="D1690" s="1">
        <v>20</v>
      </c>
      <c r="E1690" s="3">
        <v>0</v>
      </c>
      <c r="F1690" s="1" t="str">
        <f>_xlfn.XLOOKUP(A1690,Orders!A:A,Orders!B:B,"not found")</f>
        <v>KOENE</v>
      </c>
      <c r="G1690" s="13">
        <f>_xlfn.XLOOKUP(OrderDetails[[#This Row],[OrderID]],Orders!A:A,Orders!C:C,"Not Found")</f>
        <v>35844</v>
      </c>
      <c r="H1690" s="16">
        <f>(OrderDetails[[#This Row],[UnitPrice]]*OrderDetails[[#This Row],[Quantity]])*(1-OrderDetails[[#This Row],[Discount]])</f>
        <v>380</v>
      </c>
      <c r="I1690" s="15" t="str">
        <f>_xlfn.XLOOKUP(OrderDetails[[#This Row],[ProductID]],Product!A:A,Product!G:G,"Not Found")</f>
        <v>Seafood</v>
      </c>
      <c r="J1690" s="15" t="str">
        <f>LOOKUP(MONTH(G1690),{1,4,7,10},{"Winter","Spring","Summer","Autumn"})</f>
        <v>Winter</v>
      </c>
      <c r="K1690" s="15" t="str">
        <f>_xlfn.XLOOKUP(OrderDetails[[#This Row],[ProductID]],Product!A:A,Product!B:B,"Not Found")</f>
        <v>Inlagd Sill</v>
      </c>
    </row>
    <row r="1691" spans="1:11">
      <c r="A1691" s="2">
        <v>10894</v>
      </c>
      <c r="B1691" s="2">
        <v>13</v>
      </c>
      <c r="C1691" s="2">
        <v>6</v>
      </c>
      <c r="D1691" s="2">
        <v>28</v>
      </c>
      <c r="E1691" s="4">
        <v>5.000000074505806E-2</v>
      </c>
      <c r="F1691" s="1" t="str">
        <f>_xlfn.XLOOKUP(A1691,Orders!A:A,Orders!B:B,"not found")</f>
        <v>SAVEA</v>
      </c>
      <c r="G1691" s="13">
        <f>_xlfn.XLOOKUP(OrderDetails[[#This Row],[OrderID]],Orders!A:A,Orders!C:C,"Not Found")</f>
        <v>35844</v>
      </c>
      <c r="H1691" s="16">
        <f>(OrderDetails[[#This Row],[UnitPrice]]*OrderDetails[[#This Row],[Quantity]])*(1-OrderDetails[[#This Row],[Discount]])</f>
        <v>159.59999987483025</v>
      </c>
      <c r="I1691" s="15" t="str">
        <f>_xlfn.XLOOKUP(OrderDetails[[#This Row],[ProductID]],Product!A:A,Product!G:G,"Not Found")</f>
        <v>Seafood</v>
      </c>
      <c r="J1691" s="15" t="str">
        <f>LOOKUP(MONTH(G1691),{1,4,7,10},{"Winter","Spring","Summer","Autumn"})</f>
        <v>Winter</v>
      </c>
      <c r="K1691" s="15" t="str">
        <f>_xlfn.XLOOKUP(OrderDetails[[#This Row],[ProductID]],Product!A:A,Product!B:B,"Not Found")</f>
        <v>Konbu</v>
      </c>
    </row>
    <row r="1692" spans="1:11">
      <c r="A1692" s="1">
        <v>10894</v>
      </c>
      <c r="B1692" s="1">
        <v>69</v>
      </c>
      <c r="C1692" s="1">
        <v>36</v>
      </c>
      <c r="D1692" s="1">
        <v>50</v>
      </c>
      <c r="E1692" s="3">
        <v>5.000000074505806E-2</v>
      </c>
      <c r="F1692" s="1" t="str">
        <f>_xlfn.XLOOKUP(A1692,Orders!A:A,Orders!B:B,"not found")</f>
        <v>SAVEA</v>
      </c>
      <c r="G1692" s="13">
        <f>_xlfn.XLOOKUP(OrderDetails[[#This Row],[OrderID]],Orders!A:A,Orders!C:C,"Not Found")</f>
        <v>35844</v>
      </c>
      <c r="H1692" s="16">
        <f>(OrderDetails[[#This Row],[UnitPrice]]*OrderDetails[[#This Row],[Quantity]])*(1-OrderDetails[[#This Row],[Discount]])</f>
        <v>1709.9999986588955</v>
      </c>
      <c r="I1692" s="15" t="str">
        <f>_xlfn.XLOOKUP(OrderDetails[[#This Row],[ProductID]],Product!A:A,Product!G:G,"Not Found")</f>
        <v>Dairy Products</v>
      </c>
      <c r="J1692" s="15" t="str">
        <f>LOOKUP(MONTH(G1692),{1,4,7,10},{"Winter","Spring","Summer","Autumn"})</f>
        <v>Winter</v>
      </c>
      <c r="K1692" s="15" t="str">
        <f>_xlfn.XLOOKUP(OrderDetails[[#This Row],[ProductID]],Product!A:A,Product!B:B,"Not Found")</f>
        <v>Gudbrandsdalsost</v>
      </c>
    </row>
    <row r="1693" spans="1:11">
      <c r="A1693" s="2">
        <v>10894</v>
      </c>
      <c r="B1693" s="2">
        <v>75</v>
      </c>
      <c r="C1693" s="2">
        <v>7.75</v>
      </c>
      <c r="D1693" s="2">
        <v>120</v>
      </c>
      <c r="E1693" s="4">
        <v>5.000000074505806E-2</v>
      </c>
      <c r="F1693" s="1" t="str">
        <f>_xlfn.XLOOKUP(A1693,Orders!A:A,Orders!B:B,"not found")</f>
        <v>SAVEA</v>
      </c>
      <c r="G1693" s="13">
        <f>_xlfn.XLOOKUP(OrderDetails[[#This Row],[OrderID]],Orders!A:A,Orders!C:C,"Not Found")</f>
        <v>35844</v>
      </c>
      <c r="H1693" s="16">
        <f>(OrderDetails[[#This Row],[UnitPrice]]*OrderDetails[[#This Row],[Quantity]])*(1-OrderDetails[[#This Row],[Discount]])</f>
        <v>883.499999307096</v>
      </c>
      <c r="I1693" s="15" t="str">
        <f>_xlfn.XLOOKUP(OrderDetails[[#This Row],[ProductID]],Product!A:A,Product!G:G,"Not Found")</f>
        <v>Beverages</v>
      </c>
      <c r="J1693" s="15" t="str">
        <f>LOOKUP(MONTH(G1693),{1,4,7,10},{"Winter","Spring","Summer","Autumn"})</f>
        <v>Winter</v>
      </c>
      <c r="K1693" s="15" t="str">
        <f>_xlfn.XLOOKUP(OrderDetails[[#This Row],[ProductID]],Product!A:A,Product!B:B,"Not Found")</f>
        <v>Rhönbräu Klosterbier</v>
      </c>
    </row>
    <row r="1694" spans="1:11">
      <c r="A1694" s="1">
        <v>10895</v>
      </c>
      <c r="B1694" s="1">
        <v>24</v>
      </c>
      <c r="C1694" s="1">
        <v>4.5</v>
      </c>
      <c r="D1694" s="1">
        <v>110</v>
      </c>
      <c r="E1694" s="3">
        <v>0</v>
      </c>
      <c r="F1694" s="1" t="str">
        <f>_xlfn.XLOOKUP(A1694,Orders!A:A,Orders!B:B,"not found")</f>
        <v>ERNSH</v>
      </c>
      <c r="G1694" s="13">
        <f>_xlfn.XLOOKUP(OrderDetails[[#This Row],[OrderID]],Orders!A:A,Orders!C:C,"Not Found")</f>
        <v>35844</v>
      </c>
      <c r="H1694" s="16">
        <f>(OrderDetails[[#This Row],[UnitPrice]]*OrderDetails[[#This Row],[Quantity]])*(1-OrderDetails[[#This Row],[Discount]])</f>
        <v>495</v>
      </c>
      <c r="I1694" s="15" t="str">
        <f>_xlfn.XLOOKUP(OrderDetails[[#This Row],[ProductID]],Product!A:A,Product!G:G,"Not Found")</f>
        <v>Beverages</v>
      </c>
      <c r="J1694" s="15" t="str">
        <f>LOOKUP(MONTH(G1694),{1,4,7,10},{"Winter","Spring","Summer","Autumn"})</f>
        <v>Winter</v>
      </c>
      <c r="K1694" s="15" t="str">
        <f>_xlfn.XLOOKUP(OrderDetails[[#This Row],[ProductID]],Product!A:A,Product!B:B,"Not Found")</f>
        <v>Guaraná Fantástica</v>
      </c>
    </row>
    <row r="1695" spans="1:11">
      <c r="A1695" s="2">
        <v>10895</v>
      </c>
      <c r="B1695" s="2">
        <v>39</v>
      </c>
      <c r="C1695" s="2">
        <v>18</v>
      </c>
      <c r="D1695" s="2">
        <v>45</v>
      </c>
      <c r="E1695" s="4">
        <v>0</v>
      </c>
      <c r="F1695" s="1" t="str">
        <f>_xlfn.XLOOKUP(A1695,Orders!A:A,Orders!B:B,"not found")</f>
        <v>ERNSH</v>
      </c>
      <c r="G1695" s="13">
        <f>_xlfn.XLOOKUP(OrderDetails[[#This Row],[OrderID]],Orders!A:A,Orders!C:C,"Not Found")</f>
        <v>35844</v>
      </c>
      <c r="H1695" s="16">
        <f>(OrderDetails[[#This Row],[UnitPrice]]*OrderDetails[[#This Row],[Quantity]])*(1-OrderDetails[[#This Row],[Discount]])</f>
        <v>810</v>
      </c>
      <c r="I1695" s="15" t="str">
        <f>_xlfn.XLOOKUP(OrderDetails[[#This Row],[ProductID]],Product!A:A,Product!G:G,"Not Found")</f>
        <v>Beverages</v>
      </c>
      <c r="J1695" s="15" t="str">
        <f>LOOKUP(MONTH(G1695),{1,4,7,10},{"Winter","Spring","Summer","Autumn"})</f>
        <v>Winter</v>
      </c>
      <c r="K1695" s="15" t="str">
        <f>_xlfn.XLOOKUP(OrderDetails[[#This Row],[ProductID]],Product!A:A,Product!B:B,"Not Found")</f>
        <v>Chartreuse verte</v>
      </c>
    </row>
    <row r="1696" spans="1:11">
      <c r="A1696" s="1">
        <v>10895</v>
      </c>
      <c r="B1696" s="1">
        <v>40</v>
      </c>
      <c r="C1696" s="1">
        <v>18.399999999999999</v>
      </c>
      <c r="D1696" s="1">
        <v>91</v>
      </c>
      <c r="E1696" s="3">
        <v>0</v>
      </c>
      <c r="F1696" s="1" t="str">
        <f>_xlfn.XLOOKUP(A1696,Orders!A:A,Orders!B:B,"not found")</f>
        <v>ERNSH</v>
      </c>
      <c r="G1696" s="13">
        <f>_xlfn.XLOOKUP(OrderDetails[[#This Row],[OrderID]],Orders!A:A,Orders!C:C,"Not Found")</f>
        <v>35844</v>
      </c>
      <c r="H1696" s="16">
        <f>(OrderDetails[[#This Row],[UnitPrice]]*OrderDetails[[#This Row],[Quantity]])*(1-OrderDetails[[#This Row],[Discount]])</f>
        <v>1674.3999999999999</v>
      </c>
      <c r="I1696" s="15" t="str">
        <f>_xlfn.XLOOKUP(OrderDetails[[#This Row],[ProductID]],Product!A:A,Product!G:G,"Not Found")</f>
        <v>Seafood</v>
      </c>
      <c r="J1696" s="15" t="str">
        <f>LOOKUP(MONTH(G1696),{1,4,7,10},{"Winter","Spring","Summer","Autumn"})</f>
        <v>Winter</v>
      </c>
      <c r="K1696" s="15" t="str">
        <f>_xlfn.XLOOKUP(OrderDetails[[#This Row],[ProductID]],Product!A:A,Product!B:B,"Not Found")</f>
        <v>Boston Crab Meat</v>
      </c>
    </row>
    <row r="1697" spans="1:11">
      <c r="A1697" s="2">
        <v>10895</v>
      </c>
      <c r="B1697" s="2">
        <v>60</v>
      </c>
      <c r="C1697" s="2">
        <v>34</v>
      </c>
      <c r="D1697" s="2">
        <v>100</v>
      </c>
      <c r="E1697" s="4">
        <v>0</v>
      </c>
      <c r="F1697" s="1" t="str">
        <f>_xlfn.XLOOKUP(A1697,Orders!A:A,Orders!B:B,"not found")</f>
        <v>ERNSH</v>
      </c>
      <c r="G1697" s="13">
        <f>_xlfn.XLOOKUP(OrderDetails[[#This Row],[OrderID]],Orders!A:A,Orders!C:C,"Not Found")</f>
        <v>35844</v>
      </c>
      <c r="H1697" s="16">
        <f>(OrderDetails[[#This Row],[UnitPrice]]*OrderDetails[[#This Row],[Quantity]])*(1-OrderDetails[[#This Row],[Discount]])</f>
        <v>3400</v>
      </c>
      <c r="I1697" s="15" t="str">
        <f>_xlfn.XLOOKUP(OrderDetails[[#This Row],[ProductID]],Product!A:A,Product!G:G,"Not Found")</f>
        <v>Dairy Products</v>
      </c>
      <c r="J1697" s="15" t="str">
        <f>LOOKUP(MONTH(G1697),{1,4,7,10},{"Winter","Spring","Summer","Autumn"})</f>
        <v>Winter</v>
      </c>
      <c r="K1697" s="15" t="str">
        <f>_xlfn.XLOOKUP(OrderDetails[[#This Row],[ProductID]],Product!A:A,Product!B:B,"Not Found")</f>
        <v>Camembert Pierrot</v>
      </c>
    </row>
    <row r="1698" spans="1:11">
      <c r="A1698" s="1">
        <v>10896</v>
      </c>
      <c r="B1698" s="1">
        <v>45</v>
      </c>
      <c r="C1698" s="1">
        <v>9.5</v>
      </c>
      <c r="D1698" s="1">
        <v>15</v>
      </c>
      <c r="E1698" s="3">
        <v>0</v>
      </c>
      <c r="F1698" s="1" t="str">
        <f>_xlfn.XLOOKUP(A1698,Orders!A:A,Orders!B:B,"not found")</f>
        <v>MAISD</v>
      </c>
      <c r="G1698" s="13">
        <f>_xlfn.XLOOKUP(OrderDetails[[#This Row],[OrderID]],Orders!A:A,Orders!C:C,"Not Found")</f>
        <v>35845</v>
      </c>
      <c r="H1698" s="16">
        <f>(OrderDetails[[#This Row],[UnitPrice]]*OrderDetails[[#This Row],[Quantity]])*(1-OrderDetails[[#This Row],[Discount]])</f>
        <v>142.5</v>
      </c>
      <c r="I1698" s="15" t="str">
        <f>_xlfn.XLOOKUP(OrderDetails[[#This Row],[ProductID]],Product!A:A,Product!G:G,"Not Found")</f>
        <v>Seafood</v>
      </c>
      <c r="J1698" s="15" t="str">
        <f>LOOKUP(MONTH(G1698),{1,4,7,10},{"Winter","Spring","Summer","Autumn"})</f>
        <v>Winter</v>
      </c>
      <c r="K1698" s="15" t="str">
        <f>_xlfn.XLOOKUP(OrderDetails[[#This Row],[ProductID]],Product!A:A,Product!B:B,"Not Found")</f>
        <v>Rogede sild</v>
      </c>
    </row>
    <row r="1699" spans="1:11">
      <c r="A1699" s="2">
        <v>10896</v>
      </c>
      <c r="B1699" s="2">
        <v>56</v>
      </c>
      <c r="C1699" s="2">
        <v>38</v>
      </c>
      <c r="D1699" s="2">
        <v>16</v>
      </c>
      <c r="E1699" s="4">
        <v>0</v>
      </c>
      <c r="F1699" s="1" t="str">
        <f>_xlfn.XLOOKUP(A1699,Orders!A:A,Orders!B:B,"not found")</f>
        <v>MAISD</v>
      </c>
      <c r="G1699" s="13">
        <f>_xlfn.XLOOKUP(OrderDetails[[#This Row],[OrderID]],Orders!A:A,Orders!C:C,"Not Found")</f>
        <v>35845</v>
      </c>
      <c r="H1699" s="16">
        <f>(OrderDetails[[#This Row],[UnitPrice]]*OrderDetails[[#This Row],[Quantity]])*(1-OrderDetails[[#This Row],[Discount]])</f>
        <v>608</v>
      </c>
      <c r="I1699" s="15" t="str">
        <f>_xlfn.XLOOKUP(OrderDetails[[#This Row],[ProductID]],Product!A:A,Product!G:G,"Not Found")</f>
        <v>Grains/Cereals</v>
      </c>
      <c r="J1699" s="15" t="str">
        <f>LOOKUP(MONTH(G1699),{1,4,7,10},{"Winter","Spring","Summer","Autumn"})</f>
        <v>Winter</v>
      </c>
      <c r="K1699" s="15" t="str">
        <f>_xlfn.XLOOKUP(OrderDetails[[#This Row],[ProductID]],Product!A:A,Product!B:B,"Not Found")</f>
        <v>Gnocchi di nonna Alice</v>
      </c>
    </row>
    <row r="1700" spans="1:11">
      <c r="A1700" s="1">
        <v>10897</v>
      </c>
      <c r="B1700" s="1">
        <v>29</v>
      </c>
      <c r="C1700" s="1">
        <v>123.79</v>
      </c>
      <c r="D1700" s="1">
        <v>80</v>
      </c>
      <c r="E1700" s="3">
        <v>0</v>
      </c>
      <c r="F1700" s="1" t="str">
        <f>_xlfn.XLOOKUP(A1700,Orders!A:A,Orders!B:B,"not found")</f>
        <v>HUNGO</v>
      </c>
      <c r="G1700" s="13">
        <f>_xlfn.XLOOKUP(OrderDetails[[#This Row],[OrderID]],Orders!A:A,Orders!C:C,"Not Found")</f>
        <v>35845</v>
      </c>
      <c r="H1700" s="16">
        <f>(OrderDetails[[#This Row],[UnitPrice]]*OrderDetails[[#This Row],[Quantity]])*(1-OrderDetails[[#This Row],[Discount]])</f>
        <v>9903.2000000000007</v>
      </c>
      <c r="I1700" s="15" t="str">
        <f>_xlfn.XLOOKUP(OrderDetails[[#This Row],[ProductID]],Product!A:A,Product!G:G,"Not Found")</f>
        <v>Meat/Poultry</v>
      </c>
      <c r="J1700" s="15" t="str">
        <f>LOOKUP(MONTH(G1700),{1,4,7,10},{"Winter","Spring","Summer","Autumn"})</f>
        <v>Winter</v>
      </c>
      <c r="K1700" s="15" t="str">
        <f>_xlfn.XLOOKUP(OrderDetails[[#This Row],[ProductID]],Product!A:A,Product!B:B,"Not Found")</f>
        <v>Thüringer Rostbratwurst</v>
      </c>
    </row>
    <row r="1701" spans="1:11">
      <c r="A1701" s="2">
        <v>10897</v>
      </c>
      <c r="B1701" s="2">
        <v>30</v>
      </c>
      <c r="C1701" s="2">
        <v>25.89</v>
      </c>
      <c r="D1701" s="2">
        <v>36</v>
      </c>
      <c r="E1701" s="4">
        <v>0</v>
      </c>
      <c r="F1701" s="1" t="str">
        <f>_xlfn.XLOOKUP(A1701,Orders!A:A,Orders!B:B,"not found")</f>
        <v>HUNGO</v>
      </c>
      <c r="G1701" s="13">
        <f>_xlfn.XLOOKUP(OrderDetails[[#This Row],[OrderID]],Orders!A:A,Orders!C:C,"Not Found")</f>
        <v>35845</v>
      </c>
      <c r="H1701" s="16">
        <f>(OrderDetails[[#This Row],[UnitPrice]]*OrderDetails[[#This Row],[Quantity]])*(1-OrderDetails[[#This Row],[Discount]])</f>
        <v>932.04</v>
      </c>
      <c r="I1701" s="15" t="str">
        <f>_xlfn.XLOOKUP(OrderDetails[[#This Row],[ProductID]],Product!A:A,Product!G:G,"Not Found")</f>
        <v>Seafood</v>
      </c>
      <c r="J1701" s="15" t="str">
        <f>LOOKUP(MONTH(G1701),{1,4,7,10},{"Winter","Spring","Summer","Autumn"})</f>
        <v>Winter</v>
      </c>
      <c r="K1701" s="15" t="str">
        <f>_xlfn.XLOOKUP(OrderDetails[[#This Row],[ProductID]],Product!A:A,Product!B:B,"Not Found")</f>
        <v>Nord-Ost Matjeshering</v>
      </c>
    </row>
    <row r="1702" spans="1:11">
      <c r="A1702" s="1">
        <v>10898</v>
      </c>
      <c r="B1702" s="1">
        <v>13</v>
      </c>
      <c r="C1702" s="1">
        <v>6</v>
      </c>
      <c r="D1702" s="1">
        <v>5</v>
      </c>
      <c r="E1702" s="3">
        <v>0</v>
      </c>
      <c r="F1702" s="1" t="str">
        <f>_xlfn.XLOOKUP(A1702,Orders!A:A,Orders!B:B,"not found")</f>
        <v>OCEAN</v>
      </c>
      <c r="G1702" s="13">
        <f>_xlfn.XLOOKUP(OrderDetails[[#This Row],[OrderID]],Orders!A:A,Orders!C:C,"Not Found")</f>
        <v>35846</v>
      </c>
      <c r="H1702" s="16">
        <f>(OrderDetails[[#This Row],[UnitPrice]]*OrderDetails[[#This Row],[Quantity]])*(1-OrderDetails[[#This Row],[Discount]])</f>
        <v>30</v>
      </c>
      <c r="I1702" s="15" t="str">
        <f>_xlfn.XLOOKUP(OrderDetails[[#This Row],[ProductID]],Product!A:A,Product!G:G,"Not Found")</f>
        <v>Seafood</v>
      </c>
      <c r="J1702" s="15" t="str">
        <f>LOOKUP(MONTH(G1702),{1,4,7,10},{"Winter","Spring","Summer","Autumn"})</f>
        <v>Winter</v>
      </c>
      <c r="K1702" s="15" t="str">
        <f>_xlfn.XLOOKUP(OrderDetails[[#This Row],[ProductID]],Product!A:A,Product!B:B,"Not Found")</f>
        <v>Konbu</v>
      </c>
    </row>
    <row r="1703" spans="1:11">
      <c r="A1703" s="2">
        <v>10899</v>
      </c>
      <c r="B1703" s="2">
        <v>39</v>
      </c>
      <c r="C1703" s="2">
        <v>18</v>
      </c>
      <c r="D1703" s="2">
        <v>8</v>
      </c>
      <c r="E1703" s="4">
        <v>0.15000000596046448</v>
      </c>
      <c r="F1703" s="1" t="str">
        <f>_xlfn.XLOOKUP(A1703,Orders!A:A,Orders!B:B,"not found")</f>
        <v>LILAS</v>
      </c>
      <c r="G1703" s="13">
        <f>_xlfn.XLOOKUP(OrderDetails[[#This Row],[OrderID]],Orders!A:A,Orders!C:C,"Not Found")</f>
        <v>35846</v>
      </c>
      <c r="H1703" s="16">
        <f>(OrderDetails[[#This Row],[UnitPrice]]*OrderDetails[[#This Row],[Quantity]])*(1-OrderDetails[[#This Row],[Discount]])</f>
        <v>122.39999914169312</v>
      </c>
      <c r="I1703" s="15" t="str">
        <f>_xlfn.XLOOKUP(OrderDetails[[#This Row],[ProductID]],Product!A:A,Product!G:G,"Not Found")</f>
        <v>Beverages</v>
      </c>
      <c r="J1703" s="15" t="str">
        <f>LOOKUP(MONTH(G1703),{1,4,7,10},{"Winter","Spring","Summer","Autumn"})</f>
        <v>Winter</v>
      </c>
      <c r="K1703" s="15" t="str">
        <f>_xlfn.XLOOKUP(OrderDetails[[#This Row],[ProductID]],Product!A:A,Product!B:B,"Not Found")</f>
        <v>Chartreuse verte</v>
      </c>
    </row>
    <row r="1704" spans="1:11">
      <c r="A1704" s="1">
        <v>10900</v>
      </c>
      <c r="B1704" s="1">
        <v>70</v>
      </c>
      <c r="C1704" s="1">
        <v>15</v>
      </c>
      <c r="D1704" s="1">
        <v>3</v>
      </c>
      <c r="E1704" s="3">
        <v>0.25</v>
      </c>
      <c r="F1704" s="1" t="str">
        <f>_xlfn.XLOOKUP(A1704,Orders!A:A,Orders!B:B,"not found")</f>
        <v>WELLI</v>
      </c>
      <c r="G1704" s="13">
        <f>_xlfn.XLOOKUP(OrderDetails[[#This Row],[OrderID]],Orders!A:A,Orders!C:C,"Not Found")</f>
        <v>35846</v>
      </c>
      <c r="H1704" s="16">
        <f>(OrderDetails[[#This Row],[UnitPrice]]*OrderDetails[[#This Row],[Quantity]])*(1-OrderDetails[[#This Row],[Discount]])</f>
        <v>33.75</v>
      </c>
      <c r="I1704" s="15" t="str">
        <f>_xlfn.XLOOKUP(OrderDetails[[#This Row],[ProductID]],Product!A:A,Product!G:G,"Not Found")</f>
        <v>Beverages</v>
      </c>
      <c r="J1704" s="15" t="str">
        <f>LOOKUP(MONTH(G1704),{1,4,7,10},{"Winter","Spring","Summer","Autumn"})</f>
        <v>Winter</v>
      </c>
      <c r="K1704" s="15" t="str">
        <f>_xlfn.XLOOKUP(OrderDetails[[#This Row],[ProductID]],Product!A:A,Product!B:B,"Not Found")</f>
        <v>Outback Lager</v>
      </c>
    </row>
    <row r="1705" spans="1:11">
      <c r="A1705" s="2">
        <v>10901</v>
      </c>
      <c r="B1705" s="2">
        <v>41</v>
      </c>
      <c r="C1705" s="2">
        <v>9.65</v>
      </c>
      <c r="D1705" s="2">
        <v>30</v>
      </c>
      <c r="E1705" s="4">
        <v>0</v>
      </c>
      <c r="F1705" s="1" t="str">
        <f>_xlfn.XLOOKUP(A1705,Orders!A:A,Orders!B:B,"not found")</f>
        <v>HILAA</v>
      </c>
      <c r="G1705" s="13">
        <f>_xlfn.XLOOKUP(OrderDetails[[#This Row],[OrderID]],Orders!A:A,Orders!C:C,"Not Found")</f>
        <v>35849</v>
      </c>
      <c r="H1705" s="16">
        <f>(OrderDetails[[#This Row],[UnitPrice]]*OrderDetails[[#This Row],[Quantity]])*(1-OrderDetails[[#This Row],[Discount]])</f>
        <v>289.5</v>
      </c>
      <c r="I1705" s="15" t="str">
        <f>_xlfn.XLOOKUP(OrderDetails[[#This Row],[ProductID]],Product!A:A,Product!G:G,"Not Found")</f>
        <v>Seafood</v>
      </c>
      <c r="J1705" s="15" t="str">
        <f>LOOKUP(MONTH(G1705),{1,4,7,10},{"Winter","Spring","Summer","Autumn"})</f>
        <v>Winter</v>
      </c>
      <c r="K1705" s="15" t="str">
        <f>_xlfn.XLOOKUP(OrderDetails[[#This Row],[ProductID]],Product!A:A,Product!B:B,"Not Found")</f>
        <v>Jack's New England Clam Chowder</v>
      </c>
    </row>
    <row r="1706" spans="1:11">
      <c r="A1706" s="1">
        <v>10901</v>
      </c>
      <c r="B1706" s="1">
        <v>71</v>
      </c>
      <c r="C1706" s="1">
        <v>21.5</v>
      </c>
      <c r="D1706" s="1">
        <v>30</v>
      </c>
      <c r="E1706" s="3">
        <v>0</v>
      </c>
      <c r="F1706" s="1" t="str">
        <f>_xlfn.XLOOKUP(A1706,Orders!A:A,Orders!B:B,"not found")</f>
        <v>HILAA</v>
      </c>
      <c r="G1706" s="13">
        <f>_xlfn.XLOOKUP(OrderDetails[[#This Row],[OrderID]],Orders!A:A,Orders!C:C,"Not Found")</f>
        <v>35849</v>
      </c>
      <c r="H1706" s="16">
        <f>(OrderDetails[[#This Row],[UnitPrice]]*OrderDetails[[#This Row],[Quantity]])*(1-OrderDetails[[#This Row],[Discount]])</f>
        <v>645</v>
      </c>
      <c r="I1706" s="15" t="str">
        <f>_xlfn.XLOOKUP(OrderDetails[[#This Row],[ProductID]],Product!A:A,Product!G:G,"Not Found")</f>
        <v>Dairy Products</v>
      </c>
      <c r="J1706" s="15" t="str">
        <f>LOOKUP(MONTH(G1706),{1,4,7,10},{"Winter","Spring","Summer","Autumn"})</f>
        <v>Winter</v>
      </c>
      <c r="K1706" s="15" t="str">
        <f>_xlfn.XLOOKUP(OrderDetails[[#This Row],[ProductID]],Product!A:A,Product!B:B,"Not Found")</f>
        <v>Flotemysost</v>
      </c>
    </row>
    <row r="1707" spans="1:11">
      <c r="A1707" s="2">
        <v>10902</v>
      </c>
      <c r="B1707" s="2">
        <v>55</v>
      </c>
      <c r="C1707" s="2">
        <v>24</v>
      </c>
      <c r="D1707" s="2">
        <v>30</v>
      </c>
      <c r="E1707" s="4">
        <v>0.15000000596046448</v>
      </c>
      <c r="F1707" s="1" t="str">
        <f>_xlfn.XLOOKUP(A1707,Orders!A:A,Orders!B:B,"not found")</f>
        <v>FOLKO</v>
      </c>
      <c r="G1707" s="13">
        <f>_xlfn.XLOOKUP(OrderDetails[[#This Row],[OrderID]],Orders!A:A,Orders!C:C,"Not Found")</f>
        <v>35849</v>
      </c>
      <c r="H1707" s="16">
        <f>(OrderDetails[[#This Row],[UnitPrice]]*OrderDetails[[#This Row],[Quantity]])*(1-OrderDetails[[#This Row],[Discount]])</f>
        <v>611.99999570846558</v>
      </c>
      <c r="I1707" s="15" t="str">
        <f>_xlfn.XLOOKUP(OrderDetails[[#This Row],[ProductID]],Product!A:A,Product!G:G,"Not Found")</f>
        <v>Meat/Poultry</v>
      </c>
      <c r="J1707" s="15" t="str">
        <f>LOOKUP(MONTH(G1707),{1,4,7,10},{"Winter","Spring","Summer","Autumn"})</f>
        <v>Winter</v>
      </c>
      <c r="K1707" s="15" t="str">
        <f>_xlfn.XLOOKUP(OrderDetails[[#This Row],[ProductID]],Product!A:A,Product!B:B,"Not Found")</f>
        <v>Pâté chinois</v>
      </c>
    </row>
    <row r="1708" spans="1:11">
      <c r="A1708" s="1">
        <v>10902</v>
      </c>
      <c r="B1708" s="1">
        <v>62</v>
      </c>
      <c r="C1708" s="1">
        <v>49.3</v>
      </c>
      <c r="D1708" s="1">
        <v>6</v>
      </c>
      <c r="E1708" s="3">
        <v>0.15000000596046448</v>
      </c>
      <c r="F1708" s="1" t="str">
        <f>_xlfn.XLOOKUP(A1708,Orders!A:A,Orders!B:B,"not found")</f>
        <v>FOLKO</v>
      </c>
      <c r="G1708" s="13">
        <f>_xlfn.XLOOKUP(OrderDetails[[#This Row],[OrderID]],Orders!A:A,Orders!C:C,"Not Found")</f>
        <v>35849</v>
      </c>
      <c r="H1708" s="16">
        <f>(OrderDetails[[#This Row],[UnitPrice]]*OrderDetails[[#This Row],[Quantity]])*(1-OrderDetails[[#This Row],[Discount]])</f>
        <v>251.42999823689456</v>
      </c>
      <c r="I1708" s="15" t="str">
        <f>_xlfn.XLOOKUP(OrderDetails[[#This Row],[ProductID]],Product!A:A,Product!G:G,"Not Found")</f>
        <v>Confections</v>
      </c>
      <c r="J1708" s="15" t="str">
        <f>LOOKUP(MONTH(G1708),{1,4,7,10},{"Winter","Spring","Summer","Autumn"})</f>
        <v>Winter</v>
      </c>
      <c r="K1708" s="15" t="str">
        <f>_xlfn.XLOOKUP(OrderDetails[[#This Row],[ProductID]],Product!A:A,Product!B:B,"Not Found")</f>
        <v>Tarte au sucre</v>
      </c>
    </row>
    <row r="1709" spans="1:11">
      <c r="A1709" s="2">
        <v>10903</v>
      </c>
      <c r="B1709" s="2">
        <v>13</v>
      </c>
      <c r="C1709" s="2">
        <v>6</v>
      </c>
      <c r="D1709" s="2">
        <v>40</v>
      </c>
      <c r="E1709" s="4">
        <v>0</v>
      </c>
      <c r="F1709" s="1" t="str">
        <f>_xlfn.XLOOKUP(A1709,Orders!A:A,Orders!B:B,"not found")</f>
        <v>HANAR</v>
      </c>
      <c r="G1709" s="13">
        <f>_xlfn.XLOOKUP(OrderDetails[[#This Row],[OrderID]],Orders!A:A,Orders!C:C,"Not Found")</f>
        <v>35850</v>
      </c>
      <c r="H1709" s="16">
        <f>(OrderDetails[[#This Row],[UnitPrice]]*OrderDetails[[#This Row],[Quantity]])*(1-OrderDetails[[#This Row],[Discount]])</f>
        <v>240</v>
      </c>
      <c r="I1709" s="15" t="str">
        <f>_xlfn.XLOOKUP(OrderDetails[[#This Row],[ProductID]],Product!A:A,Product!G:G,"Not Found")</f>
        <v>Seafood</v>
      </c>
      <c r="J1709" s="15" t="str">
        <f>LOOKUP(MONTH(G1709),{1,4,7,10},{"Winter","Spring","Summer","Autumn"})</f>
        <v>Winter</v>
      </c>
      <c r="K1709" s="15" t="str">
        <f>_xlfn.XLOOKUP(OrderDetails[[#This Row],[ProductID]],Product!A:A,Product!B:B,"Not Found")</f>
        <v>Konbu</v>
      </c>
    </row>
    <row r="1710" spans="1:11">
      <c r="A1710" s="1">
        <v>10903</v>
      </c>
      <c r="B1710" s="1">
        <v>65</v>
      </c>
      <c r="C1710" s="1">
        <v>21.05</v>
      </c>
      <c r="D1710" s="1">
        <v>21</v>
      </c>
      <c r="E1710" s="3">
        <v>0</v>
      </c>
      <c r="F1710" s="1" t="str">
        <f>_xlfn.XLOOKUP(A1710,Orders!A:A,Orders!B:B,"not found")</f>
        <v>HANAR</v>
      </c>
      <c r="G1710" s="13">
        <f>_xlfn.XLOOKUP(OrderDetails[[#This Row],[OrderID]],Orders!A:A,Orders!C:C,"Not Found")</f>
        <v>35850</v>
      </c>
      <c r="H1710" s="16">
        <f>(OrderDetails[[#This Row],[UnitPrice]]*OrderDetails[[#This Row],[Quantity]])*(1-OrderDetails[[#This Row],[Discount]])</f>
        <v>442.05</v>
      </c>
      <c r="I1710" s="15" t="str">
        <f>_xlfn.XLOOKUP(OrderDetails[[#This Row],[ProductID]],Product!A:A,Product!G:G,"Not Found")</f>
        <v>Condiments</v>
      </c>
      <c r="J1710" s="15" t="str">
        <f>LOOKUP(MONTH(G1710),{1,4,7,10},{"Winter","Spring","Summer","Autumn"})</f>
        <v>Winter</v>
      </c>
      <c r="K1710" s="15" t="str">
        <f>_xlfn.XLOOKUP(OrderDetails[[#This Row],[ProductID]],Product!A:A,Product!B:B,"Not Found")</f>
        <v>Louisiana Fiery Hot Pepper Sauce</v>
      </c>
    </row>
    <row r="1711" spans="1:11">
      <c r="A1711" s="2">
        <v>10903</v>
      </c>
      <c r="B1711" s="2">
        <v>68</v>
      </c>
      <c r="C1711" s="2">
        <v>12.5</v>
      </c>
      <c r="D1711" s="2">
        <v>20</v>
      </c>
      <c r="E1711" s="4">
        <v>0</v>
      </c>
      <c r="F1711" s="1" t="str">
        <f>_xlfn.XLOOKUP(A1711,Orders!A:A,Orders!B:B,"not found")</f>
        <v>HANAR</v>
      </c>
      <c r="G1711" s="13">
        <f>_xlfn.XLOOKUP(OrderDetails[[#This Row],[OrderID]],Orders!A:A,Orders!C:C,"Not Found")</f>
        <v>35850</v>
      </c>
      <c r="H1711" s="16">
        <f>(OrderDetails[[#This Row],[UnitPrice]]*OrderDetails[[#This Row],[Quantity]])*(1-OrderDetails[[#This Row],[Discount]])</f>
        <v>250</v>
      </c>
      <c r="I1711" s="15" t="str">
        <f>_xlfn.XLOOKUP(OrderDetails[[#This Row],[ProductID]],Product!A:A,Product!G:G,"Not Found")</f>
        <v>Confections</v>
      </c>
      <c r="J1711" s="15" t="str">
        <f>LOOKUP(MONTH(G1711),{1,4,7,10},{"Winter","Spring","Summer","Autumn"})</f>
        <v>Winter</v>
      </c>
      <c r="K1711" s="15" t="str">
        <f>_xlfn.XLOOKUP(OrderDetails[[#This Row],[ProductID]],Product!A:A,Product!B:B,"Not Found")</f>
        <v>Scottish Longbreads</v>
      </c>
    </row>
    <row r="1712" spans="1:11">
      <c r="A1712" s="1">
        <v>10904</v>
      </c>
      <c r="B1712" s="1">
        <v>58</v>
      </c>
      <c r="C1712" s="1">
        <v>13.25</v>
      </c>
      <c r="D1712" s="1">
        <v>15</v>
      </c>
      <c r="E1712" s="3">
        <v>0</v>
      </c>
      <c r="F1712" s="1" t="str">
        <f>_xlfn.XLOOKUP(A1712,Orders!A:A,Orders!B:B,"not found")</f>
        <v>WHITC</v>
      </c>
      <c r="G1712" s="13">
        <f>_xlfn.XLOOKUP(OrderDetails[[#This Row],[OrderID]],Orders!A:A,Orders!C:C,"Not Found")</f>
        <v>35850</v>
      </c>
      <c r="H1712" s="16">
        <f>(OrderDetails[[#This Row],[UnitPrice]]*OrderDetails[[#This Row],[Quantity]])*(1-OrderDetails[[#This Row],[Discount]])</f>
        <v>198.75</v>
      </c>
      <c r="I1712" s="15" t="str">
        <f>_xlfn.XLOOKUP(OrderDetails[[#This Row],[ProductID]],Product!A:A,Product!G:G,"Not Found")</f>
        <v>Seafood</v>
      </c>
      <c r="J1712" s="15" t="str">
        <f>LOOKUP(MONTH(G1712),{1,4,7,10},{"Winter","Spring","Summer","Autumn"})</f>
        <v>Winter</v>
      </c>
      <c r="K1712" s="15" t="str">
        <f>_xlfn.XLOOKUP(OrderDetails[[#This Row],[ProductID]],Product!A:A,Product!B:B,"Not Found")</f>
        <v>Escargots de Bourgogne</v>
      </c>
    </row>
    <row r="1713" spans="1:11">
      <c r="A1713" s="2">
        <v>10904</v>
      </c>
      <c r="B1713" s="2">
        <v>62</v>
      </c>
      <c r="C1713" s="2">
        <v>49.3</v>
      </c>
      <c r="D1713" s="2">
        <v>35</v>
      </c>
      <c r="E1713" s="4">
        <v>0</v>
      </c>
      <c r="F1713" s="1" t="str">
        <f>_xlfn.XLOOKUP(A1713,Orders!A:A,Orders!B:B,"not found")</f>
        <v>WHITC</v>
      </c>
      <c r="G1713" s="13">
        <f>_xlfn.XLOOKUP(OrderDetails[[#This Row],[OrderID]],Orders!A:A,Orders!C:C,"Not Found")</f>
        <v>35850</v>
      </c>
      <c r="H1713" s="16">
        <f>(OrderDetails[[#This Row],[UnitPrice]]*OrderDetails[[#This Row],[Quantity]])*(1-OrderDetails[[#This Row],[Discount]])</f>
        <v>1725.5</v>
      </c>
      <c r="I1713" s="15" t="str">
        <f>_xlfn.XLOOKUP(OrderDetails[[#This Row],[ProductID]],Product!A:A,Product!G:G,"Not Found")</f>
        <v>Confections</v>
      </c>
      <c r="J1713" s="15" t="str">
        <f>LOOKUP(MONTH(G1713),{1,4,7,10},{"Winter","Spring","Summer","Autumn"})</f>
        <v>Winter</v>
      </c>
      <c r="K1713" s="15" t="str">
        <f>_xlfn.XLOOKUP(OrderDetails[[#This Row],[ProductID]],Product!A:A,Product!B:B,"Not Found")</f>
        <v>Tarte au sucre</v>
      </c>
    </row>
    <row r="1714" spans="1:11">
      <c r="A1714" s="1">
        <v>10905</v>
      </c>
      <c r="B1714" s="1">
        <v>1</v>
      </c>
      <c r="C1714" s="1">
        <v>18</v>
      </c>
      <c r="D1714" s="1">
        <v>20</v>
      </c>
      <c r="E1714" s="3">
        <v>5.000000074505806E-2</v>
      </c>
      <c r="F1714" s="1" t="str">
        <f>_xlfn.XLOOKUP(A1714,Orders!A:A,Orders!B:B,"not found")</f>
        <v>WELLI</v>
      </c>
      <c r="G1714" s="13">
        <f>_xlfn.XLOOKUP(OrderDetails[[#This Row],[OrderID]],Orders!A:A,Orders!C:C,"Not Found")</f>
        <v>35850</v>
      </c>
      <c r="H1714" s="16">
        <f>(OrderDetails[[#This Row],[UnitPrice]]*OrderDetails[[#This Row],[Quantity]])*(1-OrderDetails[[#This Row],[Discount]])</f>
        <v>341.9999997317791</v>
      </c>
      <c r="I1714" s="15" t="str">
        <f>_xlfn.XLOOKUP(OrderDetails[[#This Row],[ProductID]],Product!A:A,Product!G:G,"Not Found")</f>
        <v>Beverages</v>
      </c>
      <c r="J1714" s="15" t="str">
        <f>LOOKUP(MONTH(G1714),{1,4,7,10},{"Winter","Spring","Summer","Autumn"})</f>
        <v>Winter</v>
      </c>
      <c r="K1714" s="15" t="str">
        <f>_xlfn.XLOOKUP(OrderDetails[[#This Row],[ProductID]],Product!A:A,Product!B:B,"Not Found")</f>
        <v>Chai</v>
      </c>
    </row>
    <row r="1715" spans="1:11">
      <c r="A1715" s="2">
        <v>10906</v>
      </c>
      <c r="B1715" s="2">
        <v>61</v>
      </c>
      <c r="C1715" s="2">
        <v>28.5</v>
      </c>
      <c r="D1715" s="2">
        <v>15</v>
      </c>
      <c r="E1715" s="4">
        <v>0</v>
      </c>
      <c r="F1715" s="1" t="str">
        <f>_xlfn.XLOOKUP(A1715,Orders!A:A,Orders!B:B,"not found")</f>
        <v>WOLZA</v>
      </c>
      <c r="G1715" s="13">
        <f>_xlfn.XLOOKUP(OrderDetails[[#This Row],[OrderID]],Orders!A:A,Orders!C:C,"Not Found")</f>
        <v>35851</v>
      </c>
      <c r="H1715" s="16">
        <f>(OrderDetails[[#This Row],[UnitPrice]]*OrderDetails[[#This Row],[Quantity]])*(1-OrderDetails[[#This Row],[Discount]])</f>
        <v>427.5</v>
      </c>
      <c r="I1715" s="15" t="str">
        <f>_xlfn.XLOOKUP(OrderDetails[[#This Row],[ProductID]],Product!A:A,Product!G:G,"Not Found")</f>
        <v>Condiments</v>
      </c>
      <c r="J1715" s="15" t="str">
        <f>LOOKUP(MONTH(G1715),{1,4,7,10},{"Winter","Spring","Summer","Autumn"})</f>
        <v>Winter</v>
      </c>
      <c r="K1715" s="15" t="str">
        <f>_xlfn.XLOOKUP(OrderDetails[[#This Row],[ProductID]],Product!A:A,Product!B:B,"Not Found")</f>
        <v>Sirop d'érable</v>
      </c>
    </row>
    <row r="1716" spans="1:11">
      <c r="A1716" s="1">
        <v>10907</v>
      </c>
      <c r="B1716" s="1">
        <v>75</v>
      </c>
      <c r="C1716" s="1">
        <v>7.75</v>
      </c>
      <c r="D1716" s="1">
        <v>14</v>
      </c>
      <c r="E1716" s="3">
        <v>0</v>
      </c>
      <c r="F1716" s="1" t="str">
        <f>_xlfn.XLOOKUP(A1716,Orders!A:A,Orders!B:B,"not found")</f>
        <v>SPECD</v>
      </c>
      <c r="G1716" s="13">
        <f>_xlfn.XLOOKUP(OrderDetails[[#This Row],[OrderID]],Orders!A:A,Orders!C:C,"Not Found")</f>
        <v>35851</v>
      </c>
      <c r="H1716" s="16">
        <f>(OrderDetails[[#This Row],[UnitPrice]]*OrderDetails[[#This Row],[Quantity]])*(1-OrderDetails[[#This Row],[Discount]])</f>
        <v>108.5</v>
      </c>
      <c r="I1716" s="15" t="str">
        <f>_xlfn.XLOOKUP(OrderDetails[[#This Row],[ProductID]],Product!A:A,Product!G:G,"Not Found")</f>
        <v>Beverages</v>
      </c>
      <c r="J1716" s="15" t="str">
        <f>LOOKUP(MONTH(G1716),{1,4,7,10},{"Winter","Spring","Summer","Autumn"})</f>
        <v>Winter</v>
      </c>
      <c r="K1716" s="15" t="str">
        <f>_xlfn.XLOOKUP(OrderDetails[[#This Row],[ProductID]],Product!A:A,Product!B:B,"Not Found")</f>
        <v>Rhönbräu Klosterbier</v>
      </c>
    </row>
    <row r="1717" spans="1:11">
      <c r="A1717" s="2">
        <v>10908</v>
      </c>
      <c r="B1717" s="2">
        <v>7</v>
      </c>
      <c r="C1717" s="2">
        <v>30</v>
      </c>
      <c r="D1717" s="2">
        <v>20</v>
      </c>
      <c r="E1717" s="4">
        <v>5.000000074505806E-2</v>
      </c>
      <c r="F1717" s="1" t="str">
        <f>_xlfn.XLOOKUP(A1717,Orders!A:A,Orders!B:B,"not found")</f>
        <v>REGGC</v>
      </c>
      <c r="G1717" s="13">
        <f>_xlfn.XLOOKUP(OrderDetails[[#This Row],[OrderID]],Orders!A:A,Orders!C:C,"Not Found")</f>
        <v>35852</v>
      </c>
      <c r="H1717" s="16">
        <f>(OrderDetails[[#This Row],[UnitPrice]]*OrderDetails[[#This Row],[Quantity]])*(1-OrderDetails[[#This Row],[Discount]])</f>
        <v>569.99999955296516</v>
      </c>
      <c r="I1717" s="15" t="str">
        <f>_xlfn.XLOOKUP(OrderDetails[[#This Row],[ProductID]],Product!A:A,Product!G:G,"Not Found")</f>
        <v>Produce</v>
      </c>
      <c r="J1717" s="15" t="str">
        <f>LOOKUP(MONTH(G1717),{1,4,7,10},{"Winter","Spring","Summer","Autumn"})</f>
        <v>Winter</v>
      </c>
      <c r="K1717" s="15" t="str">
        <f>_xlfn.XLOOKUP(OrderDetails[[#This Row],[ProductID]],Product!A:A,Product!B:B,"Not Found")</f>
        <v>Uncle Bob's Organic Dried Pears</v>
      </c>
    </row>
    <row r="1718" spans="1:11">
      <c r="A1718" s="1">
        <v>10908</v>
      </c>
      <c r="B1718" s="1">
        <v>52</v>
      </c>
      <c r="C1718" s="1">
        <v>7</v>
      </c>
      <c r="D1718" s="1">
        <v>14</v>
      </c>
      <c r="E1718" s="3">
        <v>5.000000074505806E-2</v>
      </c>
      <c r="F1718" s="1" t="str">
        <f>_xlfn.XLOOKUP(A1718,Orders!A:A,Orders!B:B,"not found")</f>
        <v>REGGC</v>
      </c>
      <c r="G1718" s="13">
        <f>_xlfn.XLOOKUP(OrderDetails[[#This Row],[OrderID]],Orders!A:A,Orders!C:C,"Not Found")</f>
        <v>35852</v>
      </c>
      <c r="H1718" s="16">
        <f>(OrderDetails[[#This Row],[UnitPrice]]*OrderDetails[[#This Row],[Quantity]])*(1-OrderDetails[[#This Row],[Discount]])</f>
        <v>93.09999992698431</v>
      </c>
      <c r="I1718" s="15" t="str">
        <f>_xlfn.XLOOKUP(OrderDetails[[#This Row],[ProductID]],Product!A:A,Product!G:G,"Not Found")</f>
        <v>Grains/Cereals</v>
      </c>
      <c r="J1718" s="15" t="str">
        <f>LOOKUP(MONTH(G1718),{1,4,7,10},{"Winter","Spring","Summer","Autumn"})</f>
        <v>Winter</v>
      </c>
      <c r="K1718" s="15" t="str">
        <f>_xlfn.XLOOKUP(OrderDetails[[#This Row],[ProductID]],Product!A:A,Product!B:B,"Not Found")</f>
        <v>Filo Mix</v>
      </c>
    </row>
    <row r="1719" spans="1:11">
      <c r="A1719" s="2">
        <v>10909</v>
      </c>
      <c r="B1719" s="2">
        <v>7</v>
      </c>
      <c r="C1719" s="2">
        <v>30</v>
      </c>
      <c r="D1719" s="2">
        <v>12</v>
      </c>
      <c r="E1719" s="4">
        <v>0</v>
      </c>
      <c r="F1719" s="1" t="str">
        <f>_xlfn.XLOOKUP(A1719,Orders!A:A,Orders!B:B,"not found")</f>
        <v>SANTG</v>
      </c>
      <c r="G1719" s="13">
        <f>_xlfn.XLOOKUP(OrderDetails[[#This Row],[OrderID]],Orders!A:A,Orders!C:C,"Not Found")</f>
        <v>35852</v>
      </c>
      <c r="H1719" s="16">
        <f>(OrderDetails[[#This Row],[UnitPrice]]*OrderDetails[[#This Row],[Quantity]])*(1-OrderDetails[[#This Row],[Discount]])</f>
        <v>360</v>
      </c>
      <c r="I1719" s="15" t="str">
        <f>_xlfn.XLOOKUP(OrderDetails[[#This Row],[ProductID]],Product!A:A,Product!G:G,"Not Found")</f>
        <v>Produce</v>
      </c>
      <c r="J1719" s="15" t="str">
        <f>LOOKUP(MONTH(G1719),{1,4,7,10},{"Winter","Spring","Summer","Autumn"})</f>
        <v>Winter</v>
      </c>
      <c r="K1719" s="15" t="str">
        <f>_xlfn.XLOOKUP(OrderDetails[[#This Row],[ProductID]],Product!A:A,Product!B:B,"Not Found")</f>
        <v>Uncle Bob's Organic Dried Pears</v>
      </c>
    </row>
    <row r="1720" spans="1:11">
      <c r="A1720" s="1">
        <v>10909</v>
      </c>
      <c r="B1720" s="1">
        <v>16</v>
      </c>
      <c r="C1720" s="1">
        <v>17.45</v>
      </c>
      <c r="D1720" s="1">
        <v>15</v>
      </c>
      <c r="E1720" s="3">
        <v>0</v>
      </c>
      <c r="F1720" s="1" t="str">
        <f>_xlfn.XLOOKUP(A1720,Orders!A:A,Orders!B:B,"not found")</f>
        <v>SANTG</v>
      </c>
      <c r="G1720" s="13">
        <f>_xlfn.XLOOKUP(OrderDetails[[#This Row],[OrderID]],Orders!A:A,Orders!C:C,"Not Found")</f>
        <v>35852</v>
      </c>
      <c r="H1720" s="16">
        <f>(OrderDetails[[#This Row],[UnitPrice]]*OrderDetails[[#This Row],[Quantity]])*(1-OrderDetails[[#This Row],[Discount]])</f>
        <v>261.75</v>
      </c>
      <c r="I1720" s="15" t="str">
        <f>_xlfn.XLOOKUP(OrderDetails[[#This Row],[ProductID]],Product!A:A,Product!G:G,"Not Found")</f>
        <v>Confections</v>
      </c>
      <c r="J1720" s="15" t="str">
        <f>LOOKUP(MONTH(G1720),{1,4,7,10},{"Winter","Spring","Summer","Autumn"})</f>
        <v>Winter</v>
      </c>
      <c r="K1720" s="15" t="str">
        <f>_xlfn.XLOOKUP(OrderDetails[[#This Row],[ProductID]],Product!A:A,Product!B:B,"Not Found")</f>
        <v>Pavlova</v>
      </c>
    </row>
    <row r="1721" spans="1:11">
      <c r="A1721" s="2">
        <v>10909</v>
      </c>
      <c r="B1721" s="2">
        <v>41</v>
      </c>
      <c r="C1721" s="2">
        <v>9.65</v>
      </c>
      <c r="D1721" s="2">
        <v>5</v>
      </c>
      <c r="E1721" s="4">
        <v>0</v>
      </c>
      <c r="F1721" s="1" t="str">
        <f>_xlfn.XLOOKUP(A1721,Orders!A:A,Orders!B:B,"not found")</f>
        <v>SANTG</v>
      </c>
      <c r="G1721" s="13">
        <f>_xlfn.XLOOKUP(OrderDetails[[#This Row],[OrderID]],Orders!A:A,Orders!C:C,"Not Found")</f>
        <v>35852</v>
      </c>
      <c r="H1721" s="16">
        <f>(OrderDetails[[#This Row],[UnitPrice]]*OrderDetails[[#This Row],[Quantity]])*(1-OrderDetails[[#This Row],[Discount]])</f>
        <v>48.25</v>
      </c>
      <c r="I1721" s="15" t="str">
        <f>_xlfn.XLOOKUP(OrderDetails[[#This Row],[ProductID]],Product!A:A,Product!G:G,"Not Found")</f>
        <v>Seafood</v>
      </c>
      <c r="J1721" s="15" t="str">
        <f>LOOKUP(MONTH(G1721),{1,4,7,10},{"Winter","Spring","Summer","Autumn"})</f>
        <v>Winter</v>
      </c>
      <c r="K1721" s="15" t="str">
        <f>_xlfn.XLOOKUP(OrderDetails[[#This Row],[ProductID]],Product!A:A,Product!B:B,"Not Found")</f>
        <v>Jack's New England Clam Chowder</v>
      </c>
    </row>
    <row r="1722" spans="1:11">
      <c r="A1722" s="1">
        <v>10910</v>
      </c>
      <c r="B1722" s="1">
        <v>19</v>
      </c>
      <c r="C1722" s="1">
        <v>9.1999999999999993</v>
      </c>
      <c r="D1722" s="1">
        <v>12</v>
      </c>
      <c r="E1722" s="3">
        <v>0</v>
      </c>
      <c r="F1722" s="1" t="str">
        <f>_xlfn.XLOOKUP(A1722,Orders!A:A,Orders!B:B,"not found")</f>
        <v>WILMK</v>
      </c>
      <c r="G1722" s="13">
        <f>_xlfn.XLOOKUP(OrderDetails[[#This Row],[OrderID]],Orders!A:A,Orders!C:C,"Not Found")</f>
        <v>35852</v>
      </c>
      <c r="H1722" s="16">
        <f>(OrderDetails[[#This Row],[UnitPrice]]*OrderDetails[[#This Row],[Quantity]])*(1-OrderDetails[[#This Row],[Discount]])</f>
        <v>110.39999999999999</v>
      </c>
      <c r="I1722" s="15" t="str">
        <f>_xlfn.XLOOKUP(OrderDetails[[#This Row],[ProductID]],Product!A:A,Product!G:G,"Not Found")</f>
        <v>Confections</v>
      </c>
      <c r="J1722" s="15" t="str">
        <f>LOOKUP(MONTH(G1722),{1,4,7,10},{"Winter","Spring","Summer","Autumn"})</f>
        <v>Winter</v>
      </c>
      <c r="K1722" s="15" t="str">
        <f>_xlfn.XLOOKUP(OrderDetails[[#This Row],[ProductID]],Product!A:A,Product!B:B,"Not Found")</f>
        <v>Teatime Chocolate Biscuits</v>
      </c>
    </row>
    <row r="1723" spans="1:11">
      <c r="A1723" s="2">
        <v>10910</v>
      </c>
      <c r="B1723" s="2">
        <v>49</v>
      </c>
      <c r="C1723" s="2">
        <v>20</v>
      </c>
      <c r="D1723" s="2">
        <v>10</v>
      </c>
      <c r="E1723" s="4">
        <v>0</v>
      </c>
      <c r="F1723" s="1" t="str">
        <f>_xlfn.XLOOKUP(A1723,Orders!A:A,Orders!B:B,"not found")</f>
        <v>WILMK</v>
      </c>
      <c r="G1723" s="13">
        <f>_xlfn.XLOOKUP(OrderDetails[[#This Row],[OrderID]],Orders!A:A,Orders!C:C,"Not Found")</f>
        <v>35852</v>
      </c>
      <c r="H1723" s="16">
        <f>(OrderDetails[[#This Row],[UnitPrice]]*OrderDetails[[#This Row],[Quantity]])*(1-OrderDetails[[#This Row],[Discount]])</f>
        <v>200</v>
      </c>
      <c r="I1723" s="15" t="str">
        <f>_xlfn.XLOOKUP(OrderDetails[[#This Row],[ProductID]],Product!A:A,Product!G:G,"Not Found")</f>
        <v>Confections</v>
      </c>
      <c r="J1723" s="15" t="str">
        <f>LOOKUP(MONTH(G1723),{1,4,7,10},{"Winter","Spring","Summer","Autumn"})</f>
        <v>Winter</v>
      </c>
      <c r="K1723" s="15" t="str">
        <f>_xlfn.XLOOKUP(OrderDetails[[#This Row],[ProductID]],Product!A:A,Product!B:B,"Not Found")</f>
        <v>Maxilaku</v>
      </c>
    </row>
    <row r="1724" spans="1:11">
      <c r="A1724" s="1">
        <v>10910</v>
      </c>
      <c r="B1724" s="1">
        <v>61</v>
      </c>
      <c r="C1724" s="1">
        <v>28.5</v>
      </c>
      <c r="D1724" s="1">
        <v>5</v>
      </c>
      <c r="E1724" s="3">
        <v>0</v>
      </c>
      <c r="F1724" s="1" t="str">
        <f>_xlfn.XLOOKUP(A1724,Orders!A:A,Orders!B:B,"not found")</f>
        <v>WILMK</v>
      </c>
      <c r="G1724" s="13">
        <f>_xlfn.XLOOKUP(OrderDetails[[#This Row],[OrderID]],Orders!A:A,Orders!C:C,"Not Found")</f>
        <v>35852</v>
      </c>
      <c r="H1724" s="16">
        <f>(OrderDetails[[#This Row],[UnitPrice]]*OrderDetails[[#This Row],[Quantity]])*(1-OrderDetails[[#This Row],[Discount]])</f>
        <v>142.5</v>
      </c>
      <c r="I1724" s="15" t="str">
        <f>_xlfn.XLOOKUP(OrderDetails[[#This Row],[ProductID]],Product!A:A,Product!G:G,"Not Found")</f>
        <v>Condiments</v>
      </c>
      <c r="J1724" s="15" t="str">
        <f>LOOKUP(MONTH(G1724),{1,4,7,10},{"Winter","Spring","Summer","Autumn"})</f>
        <v>Winter</v>
      </c>
      <c r="K1724" s="15" t="str">
        <f>_xlfn.XLOOKUP(OrderDetails[[#This Row],[ProductID]],Product!A:A,Product!B:B,"Not Found")</f>
        <v>Sirop d'érable</v>
      </c>
    </row>
    <row r="1725" spans="1:11">
      <c r="A1725" s="2">
        <v>10911</v>
      </c>
      <c r="B1725" s="2">
        <v>1</v>
      </c>
      <c r="C1725" s="2">
        <v>18</v>
      </c>
      <c r="D1725" s="2">
        <v>10</v>
      </c>
      <c r="E1725" s="4">
        <v>0</v>
      </c>
      <c r="F1725" s="1" t="str">
        <f>_xlfn.XLOOKUP(A1725,Orders!A:A,Orders!B:B,"not found")</f>
        <v>GODOS</v>
      </c>
      <c r="G1725" s="13">
        <f>_xlfn.XLOOKUP(OrderDetails[[#This Row],[OrderID]],Orders!A:A,Orders!C:C,"Not Found")</f>
        <v>35852</v>
      </c>
      <c r="H1725" s="16">
        <f>(OrderDetails[[#This Row],[UnitPrice]]*OrderDetails[[#This Row],[Quantity]])*(1-OrderDetails[[#This Row],[Discount]])</f>
        <v>180</v>
      </c>
      <c r="I1725" s="15" t="str">
        <f>_xlfn.XLOOKUP(OrderDetails[[#This Row],[ProductID]],Product!A:A,Product!G:G,"Not Found")</f>
        <v>Beverages</v>
      </c>
      <c r="J1725" s="15" t="str">
        <f>LOOKUP(MONTH(G1725),{1,4,7,10},{"Winter","Spring","Summer","Autumn"})</f>
        <v>Winter</v>
      </c>
      <c r="K1725" s="15" t="str">
        <f>_xlfn.XLOOKUP(OrderDetails[[#This Row],[ProductID]],Product!A:A,Product!B:B,"Not Found")</f>
        <v>Chai</v>
      </c>
    </row>
    <row r="1726" spans="1:11">
      <c r="A1726" s="1">
        <v>10911</v>
      </c>
      <c r="B1726" s="1">
        <v>17</v>
      </c>
      <c r="C1726" s="1">
        <v>39</v>
      </c>
      <c r="D1726" s="1">
        <v>12</v>
      </c>
      <c r="E1726" s="3">
        <v>0</v>
      </c>
      <c r="F1726" s="1" t="str">
        <f>_xlfn.XLOOKUP(A1726,Orders!A:A,Orders!B:B,"not found")</f>
        <v>GODOS</v>
      </c>
      <c r="G1726" s="13">
        <f>_xlfn.XLOOKUP(OrderDetails[[#This Row],[OrderID]],Orders!A:A,Orders!C:C,"Not Found")</f>
        <v>35852</v>
      </c>
      <c r="H1726" s="16">
        <f>(OrderDetails[[#This Row],[UnitPrice]]*OrderDetails[[#This Row],[Quantity]])*(1-OrderDetails[[#This Row],[Discount]])</f>
        <v>468</v>
      </c>
      <c r="I1726" s="15" t="str">
        <f>_xlfn.XLOOKUP(OrderDetails[[#This Row],[ProductID]],Product!A:A,Product!G:G,"Not Found")</f>
        <v>Meat/Poultry</v>
      </c>
      <c r="J1726" s="15" t="str">
        <f>LOOKUP(MONTH(G1726),{1,4,7,10},{"Winter","Spring","Summer","Autumn"})</f>
        <v>Winter</v>
      </c>
      <c r="K1726" s="15" t="str">
        <f>_xlfn.XLOOKUP(OrderDetails[[#This Row],[ProductID]],Product!A:A,Product!B:B,"Not Found")</f>
        <v>Alice Mutton</v>
      </c>
    </row>
    <row r="1727" spans="1:11">
      <c r="A1727" s="2">
        <v>10911</v>
      </c>
      <c r="B1727" s="2">
        <v>67</v>
      </c>
      <c r="C1727" s="2">
        <v>14</v>
      </c>
      <c r="D1727" s="2">
        <v>15</v>
      </c>
      <c r="E1727" s="4">
        <v>0</v>
      </c>
      <c r="F1727" s="1" t="str">
        <f>_xlfn.XLOOKUP(A1727,Orders!A:A,Orders!B:B,"not found")</f>
        <v>GODOS</v>
      </c>
      <c r="G1727" s="13">
        <f>_xlfn.XLOOKUP(OrderDetails[[#This Row],[OrderID]],Orders!A:A,Orders!C:C,"Not Found")</f>
        <v>35852</v>
      </c>
      <c r="H1727" s="16">
        <f>(OrderDetails[[#This Row],[UnitPrice]]*OrderDetails[[#This Row],[Quantity]])*(1-OrderDetails[[#This Row],[Discount]])</f>
        <v>210</v>
      </c>
      <c r="I1727" s="15" t="str">
        <f>_xlfn.XLOOKUP(OrderDetails[[#This Row],[ProductID]],Product!A:A,Product!G:G,"Not Found")</f>
        <v>Beverages</v>
      </c>
      <c r="J1727" s="15" t="str">
        <f>LOOKUP(MONTH(G1727),{1,4,7,10},{"Winter","Spring","Summer","Autumn"})</f>
        <v>Winter</v>
      </c>
      <c r="K1727" s="15" t="str">
        <f>_xlfn.XLOOKUP(OrderDetails[[#This Row],[ProductID]],Product!A:A,Product!B:B,"Not Found")</f>
        <v>Laughing Lumberjack Lager</v>
      </c>
    </row>
    <row r="1728" spans="1:11">
      <c r="A1728" s="1">
        <v>10912</v>
      </c>
      <c r="B1728" s="1">
        <v>11</v>
      </c>
      <c r="C1728" s="1">
        <v>21</v>
      </c>
      <c r="D1728" s="1">
        <v>40</v>
      </c>
      <c r="E1728" s="3">
        <v>0.25</v>
      </c>
      <c r="F1728" s="1" t="str">
        <f>_xlfn.XLOOKUP(A1728,Orders!A:A,Orders!B:B,"not found")</f>
        <v>HUNGO</v>
      </c>
      <c r="G1728" s="13">
        <f>_xlfn.XLOOKUP(OrderDetails[[#This Row],[OrderID]],Orders!A:A,Orders!C:C,"Not Found")</f>
        <v>35852</v>
      </c>
      <c r="H1728" s="16">
        <f>(OrderDetails[[#This Row],[UnitPrice]]*OrderDetails[[#This Row],[Quantity]])*(1-OrderDetails[[#This Row],[Discount]])</f>
        <v>630</v>
      </c>
      <c r="I1728" s="15" t="str">
        <f>_xlfn.XLOOKUP(OrderDetails[[#This Row],[ProductID]],Product!A:A,Product!G:G,"Not Found")</f>
        <v>Dairy Products</v>
      </c>
      <c r="J1728" s="15" t="str">
        <f>LOOKUP(MONTH(G1728),{1,4,7,10},{"Winter","Spring","Summer","Autumn"})</f>
        <v>Winter</v>
      </c>
      <c r="K1728" s="15" t="str">
        <f>_xlfn.XLOOKUP(OrderDetails[[#This Row],[ProductID]],Product!A:A,Product!B:B,"Not Found")</f>
        <v>Queso Cabrales</v>
      </c>
    </row>
    <row r="1729" spans="1:11">
      <c r="A1729" s="2">
        <v>10912</v>
      </c>
      <c r="B1729" s="2">
        <v>29</v>
      </c>
      <c r="C1729" s="2">
        <v>123.79</v>
      </c>
      <c r="D1729" s="2">
        <v>60</v>
      </c>
      <c r="E1729" s="4">
        <v>0.25</v>
      </c>
      <c r="F1729" s="1" t="str">
        <f>_xlfn.XLOOKUP(A1729,Orders!A:A,Orders!B:B,"not found")</f>
        <v>HUNGO</v>
      </c>
      <c r="G1729" s="13">
        <f>_xlfn.XLOOKUP(OrderDetails[[#This Row],[OrderID]],Orders!A:A,Orders!C:C,"Not Found")</f>
        <v>35852</v>
      </c>
      <c r="H1729" s="16">
        <f>(OrderDetails[[#This Row],[UnitPrice]]*OrderDetails[[#This Row],[Quantity]])*(1-OrderDetails[[#This Row],[Discount]])</f>
        <v>5570.55</v>
      </c>
      <c r="I1729" s="15" t="str">
        <f>_xlfn.XLOOKUP(OrderDetails[[#This Row],[ProductID]],Product!A:A,Product!G:G,"Not Found")</f>
        <v>Meat/Poultry</v>
      </c>
      <c r="J1729" s="15" t="str">
        <f>LOOKUP(MONTH(G1729),{1,4,7,10},{"Winter","Spring","Summer","Autumn"})</f>
        <v>Winter</v>
      </c>
      <c r="K1729" s="15" t="str">
        <f>_xlfn.XLOOKUP(OrderDetails[[#This Row],[ProductID]],Product!A:A,Product!B:B,"Not Found")</f>
        <v>Thüringer Rostbratwurst</v>
      </c>
    </row>
    <row r="1730" spans="1:11">
      <c r="A1730" s="1">
        <v>10913</v>
      </c>
      <c r="B1730" s="1">
        <v>4</v>
      </c>
      <c r="C1730" s="1">
        <v>22</v>
      </c>
      <c r="D1730" s="1">
        <v>30</v>
      </c>
      <c r="E1730" s="3">
        <v>0.25</v>
      </c>
      <c r="F1730" s="1" t="str">
        <f>_xlfn.XLOOKUP(A1730,Orders!A:A,Orders!B:B,"not found")</f>
        <v>QUEEN</v>
      </c>
      <c r="G1730" s="13">
        <f>_xlfn.XLOOKUP(OrderDetails[[#This Row],[OrderID]],Orders!A:A,Orders!C:C,"Not Found")</f>
        <v>35852</v>
      </c>
      <c r="H1730" s="16">
        <f>(OrderDetails[[#This Row],[UnitPrice]]*OrderDetails[[#This Row],[Quantity]])*(1-OrderDetails[[#This Row],[Discount]])</f>
        <v>495</v>
      </c>
      <c r="I1730" s="15" t="str">
        <f>_xlfn.XLOOKUP(OrderDetails[[#This Row],[ProductID]],Product!A:A,Product!G:G,"Not Found")</f>
        <v>Condiments</v>
      </c>
      <c r="J1730" s="15" t="str">
        <f>LOOKUP(MONTH(G1730),{1,4,7,10},{"Winter","Spring","Summer","Autumn"})</f>
        <v>Winter</v>
      </c>
      <c r="K1730" s="15" t="str">
        <f>_xlfn.XLOOKUP(OrderDetails[[#This Row],[ProductID]],Product!A:A,Product!B:B,"Not Found")</f>
        <v>Chef Anton's Cajun Seasoning</v>
      </c>
    </row>
    <row r="1731" spans="1:11">
      <c r="A1731" s="2">
        <v>10913</v>
      </c>
      <c r="B1731" s="2">
        <v>33</v>
      </c>
      <c r="C1731" s="2">
        <v>2.5</v>
      </c>
      <c r="D1731" s="2">
        <v>40</v>
      </c>
      <c r="E1731" s="4">
        <v>0.25</v>
      </c>
      <c r="F1731" s="1" t="str">
        <f>_xlfn.XLOOKUP(A1731,Orders!A:A,Orders!B:B,"not found")</f>
        <v>QUEEN</v>
      </c>
      <c r="G1731" s="13">
        <f>_xlfn.XLOOKUP(OrderDetails[[#This Row],[OrderID]],Orders!A:A,Orders!C:C,"Not Found")</f>
        <v>35852</v>
      </c>
      <c r="H1731" s="16">
        <f>(OrderDetails[[#This Row],[UnitPrice]]*OrderDetails[[#This Row],[Quantity]])*(1-OrderDetails[[#This Row],[Discount]])</f>
        <v>75</v>
      </c>
      <c r="I1731" s="15" t="str">
        <f>_xlfn.XLOOKUP(OrderDetails[[#This Row],[ProductID]],Product!A:A,Product!G:G,"Not Found")</f>
        <v>Dairy Products</v>
      </c>
      <c r="J1731" s="15" t="str">
        <f>LOOKUP(MONTH(G1731),{1,4,7,10},{"Winter","Spring","Summer","Autumn"})</f>
        <v>Winter</v>
      </c>
      <c r="K1731" s="15" t="str">
        <f>_xlfn.XLOOKUP(OrderDetails[[#This Row],[ProductID]],Product!A:A,Product!B:B,"Not Found")</f>
        <v>Geitost</v>
      </c>
    </row>
    <row r="1732" spans="1:11">
      <c r="A1732" s="1">
        <v>10913</v>
      </c>
      <c r="B1732" s="1">
        <v>58</v>
      </c>
      <c r="C1732" s="1">
        <v>13.25</v>
      </c>
      <c r="D1732" s="1">
        <v>15</v>
      </c>
      <c r="E1732" s="3">
        <v>0</v>
      </c>
      <c r="F1732" s="1" t="str">
        <f>_xlfn.XLOOKUP(A1732,Orders!A:A,Orders!B:B,"not found")</f>
        <v>QUEEN</v>
      </c>
      <c r="G1732" s="13">
        <f>_xlfn.XLOOKUP(OrderDetails[[#This Row],[OrderID]],Orders!A:A,Orders!C:C,"Not Found")</f>
        <v>35852</v>
      </c>
      <c r="H1732" s="16">
        <f>(OrderDetails[[#This Row],[UnitPrice]]*OrderDetails[[#This Row],[Quantity]])*(1-OrderDetails[[#This Row],[Discount]])</f>
        <v>198.75</v>
      </c>
      <c r="I1732" s="15" t="str">
        <f>_xlfn.XLOOKUP(OrderDetails[[#This Row],[ProductID]],Product!A:A,Product!G:G,"Not Found")</f>
        <v>Seafood</v>
      </c>
      <c r="J1732" s="15" t="str">
        <f>LOOKUP(MONTH(G1732),{1,4,7,10},{"Winter","Spring","Summer","Autumn"})</f>
        <v>Winter</v>
      </c>
      <c r="K1732" s="15" t="str">
        <f>_xlfn.XLOOKUP(OrderDetails[[#This Row],[ProductID]],Product!A:A,Product!B:B,"Not Found")</f>
        <v>Escargots de Bourgogne</v>
      </c>
    </row>
    <row r="1733" spans="1:11">
      <c r="A1733" s="2">
        <v>10914</v>
      </c>
      <c r="B1733" s="2">
        <v>71</v>
      </c>
      <c r="C1733" s="2">
        <v>21.5</v>
      </c>
      <c r="D1733" s="2">
        <v>25</v>
      </c>
      <c r="E1733" s="4">
        <v>0</v>
      </c>
      <c r="F1733" s="1" t="str">
        <f>_xlfn.XLOOKUP(A1733,Orders!A:A,Orders!B:B,"not found")</f>
        <v>QUEEN</v>
      </c>
      <c r="G1733" s="13">
        <f>_xlfn.XLOOKUP(OrderDetails[[#This Row],[OrderID]],Orders!A:A,Orders!C:C,"Not Found")</f>
        <v>35853</v>
      </c>
      <c r="H1733" s="16">
        <f>(OrderDetails[[#This Row],[UnitPrice]]*OrderDetails[[#This Row],[Quantity]])*(1-OrderDetails[[#This Row],[Discount]])</f>
        <v>537.5</v>
      </c>
      <c r="I1733" s="15" t="str">
        <f>_xlfn.XLOOKUP(OrderDetails[[#This Row],[ProductID]],Product!A:A,Product!G:G,"Not Found")</f>
        <v>Dairy Products</v>
      </c>
      <c r="J1733" s="15" t="str">
        <f>LOOKUP(MONTH(G1733),{1,4,7,10},{"Winter","Spring","Summer","Autumn"})</f>
        <v>Winter</v>
      </c>
      <c r="K1733" s="15" t="str">
        <f>_xlfn.XLOOKUP(OrderDetails[[#This Row],[ProductID]],Product!A:A,Product!B:B,"Not Found")</f>
        <v>Flotemysost</v>
      </c>
    </row>
    <row r="1734" spans="1:11">
      <c r="A1734" s="1">
        <v>10915</v>
      </c>
      <c r="B1734" s="1">
        <v>17</v>
      </c>
      <c r="C1734" s="1">
        <v>39</v>
      </c>
      <c r="D1734" s="1">
        <v>10</v>
      </c>
      <c r="E1734" s="3">
        <v>0</v>
      </c>
      <c r="F1734" s="1" t="str">
        <f>_xlfn.XLOOKUP(A1734,Orders!A:A,Orders!B:B,"not found")</f>
        <v>TORTU</v>
      </c>
      <c r="G1734" s="13">
        <f>_xlfn.XLOOKUP(OrderDetails[[#This Row],[OrderID]],Orders!A:A,Orders!C:C,"Not Found")</f>
        <v>35853</v>
      </c>
      <c r="H1734" s="16">
        <f>(OrderDetails[[#This Row],[UnitPrice]]*OrderDetails[[#This Row],[Quantity]])*(1-OrderDetails[[#This Row],[Discount]])</f>
        <v>390</v>
      </c>
      <c r="I1734" s="15" t="str">
        <f>_xlfn.XLOOKUP(OrderDetails[[#This Row],[ProductID]],Product!A:A,Product!G:G,"Not Found")</f>
        <v>Meat/Poultry</v>
      </c>
      <c r="J1734" s="15" t="str">
        <f>LOOKUP(MONTH(G1734),{1,4,7,10},{"Winter","Spring","Summer","Autumn"})</f>
        <v>Winter</v>
      </c>
      <c r="K1734" s="15" t="str">
        <f>_xlfn.XLOOKUP(OrderDetails[[#This Row],[ProductID]],Product!A:A,Product!B:B,"Not Found")</f>
        <v>Alice Mutton</v>
      </c>
    </row>
    <row r="1735" spans="1:11">
      <c r="A1735" s="2">
        <v>10915</v>
      </c>
      <c r="B1735" s="2">
        <v>33</v>
      </c>
      <c r="C1735" s="2">
        <v>2.5</v>
      </c>
      <c r="D1735" s="2">
        <v>30</v>
      </c>
      <c r="E1735" s="4">
        <v>0</v>
      </c>
      <c r="F1735" s="1" t="str">
        <f>_xlfn.XLOOKUP(A1735,Orders!A:A,Orders!B:B,"not found")</f>
        <v>TORTU</v>
      </c>
      <c r="G1735" s="13">
        <f>_xlfn.XLOOKUP(OrderDetails[[#This Row],[OrderID]],Orders!A:A,Orders!C:C,"Not Found")</f>
        <v>35853</v>
      </c>
      <c r="H1735" s="16">
        <f>(OrderDetails[[#This Row],[UnitPrice]]*OrderDetails[[#This Row],[Quantity]])*(1-OrderDetails[[#This Row],[Discount]])</f>
        <v>75</v>
      </c>
      <c r="I1735" s="15" t="str">
        <f>_xlfn.XLOOKUP(OrderDetails[[#This Row],[ProductID]],Product!A:A,Product!G:G,"Not Found")</f>
        <v>Dairy Products</v>
      </c>
      <c r="J1735" s="15" t="str">
        <f>LOOKUP(MONTH(G1735),{1,4,7,10},{"Winter","Spring","Summer","Autumn"})</f>
        <v>Winter</v>
      </c>
      <c r="K1735" s="15" t="str">
        <f>_xlfn.XLOOKUP(OrderDetails[[#This Row],[ProductID]],Product!A:A,Product!B:B,"Not Found")</f>
        <v>Geitost</v>
      </c>
    </row>
    <row r="1736" spans="1:11">
      <c r="A1736" s="1">
        <v>10915</v>
      </c>
      <c r="B1736" s="1">
        <v>54</v>
      </c>
      <c r="C1736" s="1">
        <v>7.45</v>
      </c>
      <c r="D1736" s="1">
        <v>10</v>
      </c>
      <c r="E1736" s="3">
        <v>0</v>
      </c>
      <c r="F1736" s="1" t="str">
        <f>_xlfn.XLOOKUP(A1736,Orders!A:A,Orders!B:B,"not found")</f>
        <v>TORTU</v>
      </c>
      <c r="G1736" s="13">
        <f>_xlfn.XLOOKUP(OrderDetails[[#This Row],[OrderID]],Orders!A:A,Orders!C:C,"Not Found")</f>
        <v>35853</v>
      </c>
      <c r="H1736" s="16">
        <f>(OrderDetails[[#This Row],[UnitPrice]]*OrderDetails[[#This Row],[Quantity]])*(1-OrderDetails[[#This Row],[Discount]])</f>
        <v>74.5</v>
      </c>
      <c r="I1736" s="15" t="str">
        <f>_xlfn.XLOOKUP(OrderDetails[[#This Row],[ProductID]],Product!A:A,Product!G:G,"Not Found")</f>
        <v>Meat/Poultry</v>
      </c>
      <c r="J1736" s="15" t="str">
        <f>LOOKUP(MONTH(G1736),{1,4,7,10},{"Winter","Spring","Summer","Autumn"})</f>
        <v>Winter</v>
      </c>
      <c r="K1736" s="15" t="str">
        <f>_xlfn.XLOOKUP(OrderDetails[[#This Row],[ProductID]],Product!A:A,Product!B:B,"Not Found")</f>
        <v>Tourtière</v>
      </c>
    </row>
    <row r="1737" spans="1:11">
      <c r="A1737" s="2">
        <v>10916</v>
      </c>
      <c r="B1737" s="2">
        <v>16</v>
      </c>
      <c r="C1737" s="2">
        <v>17.45</v>
      </c>
      <c r="D1737" s="2">
        <v>6</v>
      </c>
      <c r="E1737" s="4">
        <v>0</v>
      </c>
      <c r="F1737" s="1" t="str">
        <f>_xlfn.XLOOKUP(A1737,Orders!A:A,Orders!B:B,"not found")</f>
        <v>RANCH</v>
      </c>
      <c r="G1737" s="13">
        <f>_xlfn.XLOOKUP(OrderDetails[[#This Row],[OrderID]],Orders!A:A,Orders!C:C,"Not Found")</f>
        <v>35853</v>
      </c>
      <c r="H1737" s="16">
        <f>(OrderDetails[[#This Row],[UnitPrice]]*OrderDetails[[#This Row],[Quantity]])*(1-OrderDetails[[#This Row],[Discount]])</f>
        <v>104.69999999999999</v>
      </c>
      <c r="I1737" s="15" t="str">
        <f>_xlfn.XLOOKUP(OrderDetails[[#This Row],[ProductID]],Product!A:A,Product!G:G,"Not Found")</f>
        <v>Confections</v>
      </c>
      <c r="J1737" s="15" t="str">
        <f>LOOKUP(MONTH(G1737),{1,4,7,10},{"Winter","Spring","Summer","Autumn"})</f>
        <v>Winter</v>
      </c>
      <c r="K1737" s="15" t="str">
        <f>_xlfn.XLOOKUP(OrderDetails[[#This Row],[ProductID]],Product!A:A,Product!B:B,"Not Found")</f>
        <v>Pavlova</v>
      </c>
    </row>
    <row r="1738" spans="1:11">
      <c r="A1738" s="1">
        <v>10916</v>
      </c>
      <c r="B1738" s="1">
        <v>32</v>
      </c>
      <c r="C1738" s="1">
        <v>32</v>
      </c>
      <c r="D1738" s="1">
        <v>6</v>
      </c>
      <c r="E1738" s="3">
        <v>0</v>
      </c>
      <c r="F1738" s="1" t="str">
        <f>_xlfn.XLOOKUP(A1738,Orders!A:A,Orders!B:B,"not found")</f>
        <v>RANCH</v>
      </c>
      <c r="G1738" s="13">
        <f>_xlfn.XLOOKUP(OrderDetails[[#This Row],[OrderID]],Orders!A:A,Orders!C:C,"Not Found")</f>
        <v>35853</v>
      </c>
      <c r="H1738" s="16">
        <f>(OrderDetails[[#This Row],[UnitPrice]]*OrderDetails[[#This Row],[Quantity]])*(1-OrderDetails[[#This Row],[Discount]])</f>
        <v>192</v>
      </c>
      <c r="I1738" s="15" t="str">
        <f>_xlfn.XLOOKUP(OrderDetails[[#This Row],[ProductID]],Product!A:A,Product!G:G,"Not Found")</f>
        <v>Dairy Products</v>
      </c>
      <c r="J1738" s="15" t="str">
        <f>LOOKUP(MONTH(G1738),{1,4,7,10},{"Winter","Spring","Summer","Autumn"})</f>
        <v>Winter</v>
      </c>
      <c r="K1738" s="15" t="str">
        <f>_xlfn.XLOOKUP(OrderDetails[[#This Row],[ProductID]],Product!A:A,Product!B:B,"Not Found")</f>
        <v>Mascarpone Fabioli</v>
      </c>
    </row>
    <row r="1739" spans="1:11">
      <c r="A1739" s="2">
        <v>10916</v>
      </c>
      <c r="B1739" s="2">
        <v>57</v>
      </c>
      <c r="C1739" s="2">
        <v>19.5</v>
      </c>
      <c r="D1739" s="2">
        <v>20</v>
      </c>
      <c r="E1739" s="4">
        <v>0</v>
      </c>
      <c r="F1739" s="1" t="str">
        <f>_xlfn.XLOOKUP(A1739,Orders!A:A,Orders!B:B,"not found")</f>
        <v>RANCH</v>
      </c>
      <c r="G1739" s="13">
        <f>_xlfn.XLOOKUP(OrderDetails[[#This Row],[OrderID]],Orders!A:A,Orders!C:C,"Not Found")</f>
        <v>35853</v>
      </c>
      <c r="H1739" s="16">
        <f>(OrderDetails[[#This Row],[UnitPrice]]*OrderDetails[[#This Row],[Quantity]])*(1-OrderDetails[[#This Row],[Discount]])</f>
        <v>390</v>
      </c>
      <c r="I1739" s="15" t="str">
        <f>_xlfn.XLOOKUP(OrderDetails[[#This Row],[ProductID]],Product!A:A,Product!G:G,"Not Found")</f>
        <v>Grains/Cereals</v>
      </c>
      <c r="J1739" s="15" t="str">
        <f>LOOKUP(MONTH(G1739),{1,4,7,10},{"Winter","Spring","Summer","Autumn"})</f>
        <v>Winter</v>
      </c>
      <c r="K1739" s="15" t="str">
        <f>_xlfn.XLOOKUP(OrderDetails[[#This Row],[ProductID]],Product!A:A,Product!B:B,"Not Found")</f>
        <v>Ravioli Angelo</v>
      </c>
    </row>
    <row r="1740" spans="1:11">
      <c r="A1740" s="1">
        <v>10917</v>
      </c>
      <c r="B1740" s="1">
        <v>30</v>
      </c>
      <c r="C1740" s="1">
        <v>25.89</v>
      </c>
      <c r="D1740" s="1">
        <v>1</v>
      </c>
      <c r="E1740" s="3">
        <v>0</v>
      </c>
      <c r="F1740" s="1" t="str">
        <f>_xlfn.XLOOKUP(A1740,Orders!A:A,Orders!B:B,"not found")</f>
        <v>ROMEY</v>
      </c>
      <c r="G1740" s="13">
        <f>_xlfn.XLOOKUP(OrderDetails[[#This Row],[OrderID]],Orders!A:A,Orders!C:C,"Not Found")</f>
        <v>35856</v>
      </c>
      <c r="H1740" s="16">
        <f>(OrderDetails[[#This Row],[UnitPrice]]*OrderDetails[[#This Row],[Quantity]])*(1-OrderDetails[[#This Row],[Discount]])</f>
        <v>25.89</v>
      </c>
      <c r="I1740" s="15" t="str">
        <f>_xlfn.XLOOKUP(OrderDetails[[#This Row],[ProductID]],Product!A:A,Product!G:G,"Not Found")</f>
        <v>Seafood</v>
      </c>
      <c r="J1740" s="15" t="str">
        <f>LOOKUP(MONTH(G1740),{1,4,7,10},{"Winter","Spring","Summer","Autumn"})</f>
        <v>Winter</v>
      </c>
      <c r="K1740" s="15" t="str">
        <f>_xlfn.XLOOKUP(OrderDetails[[#This Row],[ProductID]],Product!A:A,Product!B:B,"Not Found")</f>
        <v>Nord-Ost Matjeshering</v>
      </c>
    </row>
    <row r="1741" spans="1:11">
      <c r="A1741" s="2">
        <v>10917</v>
      </c>
      <c r="B1741" s="2">
        <v>60</v>
      </c>
      <c r="C1741" s="2">
        <v>34</v>
      </c>
      <c r="D1741" s="2">
        <v>10</v>
      </c>
      <c r="E1741" s="4">
        <v>0</v>
      </c>
      <c r="F1741" s="1" t="str">
        <f>_xlfn.XLOOKUP(A1741,Orders!A:A,Orders!B:B,"not found")</f>
        <v>ROMEY</v>
      </c>
      <c r="G1741" s="13">
        <f>_xlfn.XLOOKUP(OrderDetails[[#This Row],[OrderID]],Orders!A:A,Orders!C:C,"Not Found")</f>
        <v>35856</v>
      </c>
      <c r="H1741" s="16">
        <f>(OrderDetails[[#This Row],[UnitPrice]]*OrderDetails[[#This Row],[Quantity]])*(1-OrderDetails[[#This Row],[Discount]])</f>
        <v>340</v>
      </c>
      <c r="I1741" s="15" t="str">
        <f>_xlfn.XLOOKUP(OrderDetails[[#This Row],[ProductID]],Product!A:A,Product!G:G,"Not Found")</f>
        <v>Dairy Products</v>
      </c>
      <c r="J1741" s="15" t="str">
        <f>LOOKUP(MONTH(G1741),{1,4,7,10},{"Winter","Spring","Summer","Autumn"})</f>
        <v>Winter</v>
      </c>
      <c r="K1741" s="15" t="str">
        <f>_xlfn.XLOOKUP(OrderDetails[[#This Row],[ProductID]],Product!A:A,Product!B:B,"Not Found")</f>
        <v>Camembert Pierrot</v>
      </c>
    </row>
    <row r="1742" spans="1:11">
      <c r="A1742" s="1">
        <v>10918</v>
      </c>
      <c r="B1742" s="1">
        <v>1</v>
      </c>
      <c r="C1742" s="1">
        <v>18</v>
      </c>
      <c r="D1742" s="1">
        <v>60</v>
      </c>
      <c r="E1742" s="3">
        <v>0.25</v>
      </c>
      <c r="F1742" s="1" t="str">
        <f>_xlfn.XLOOKUP(A1742,Orders!A:A,Orders!B:B,"not found")</f>
        <v>BOTTM</v>
      </c>
      <c r="G1742" s="13">
        <f>_xlfn.XLOOKUP(OrderDetails[[#This Row],[OrderID]],Orders!A:A,Orders!C:C,"Not Found")</f>
        <v>35856</v>
      </c>
      <c r="H1742" s="16">
        <f>(OrderDetails[[#This Row],[UnitPrice]]*OrderDetails[[#This Row],[Quantity]])*(1-OrderDetails[[#This Row],[Discount]])</f>
        <v>810</v>
      </c>
      <c r="I1742" s="15" t="str">
        <f>_xlfn.XLOOKUP(OrderDetails[[#This Row],[ProductID]],Product!A:A,Product!G:G,"Not Found")</f>
        <v>Beverages</v>
      </c>
      <c r="J1742" s="15" t="str">
        <f>LOOKUP(MONTH(G1742),{1,4,7,10},{"Winter","Spring","Summer","Autumn"})</f>
        <v>Winter</v>
      </c>
      <c r="K1742" s="15" t="str">
        <f>_xlfn.XLOOKUP(OrderDetails[[#This Row],[ProductID]],Product!A:A,Product!B:B,"Not Found")</f>
        <v>Chai</v>
      </c>
    </row>
    <row r="1743" spans="1:11">
      <c r="A1743" s="2">
        <v>10918</v>
      </c>
      <c r="B1743" s="2">
        <v>60</v>
      </c>
      <c r="C1743" s="2">
        <v>34</v>
      </c>
      <c r="D1743" s="2">
        <v>25</v>
      </c>
      <c r="E1743" s="4">
        <v>0.25</v>
      </c>
      <c r="F1743" s="1" t="str">
        <f>_xlfn.XLOOKUP(A1743,Orders!A:A,Orders!B:B,"not found")</f>
        <v>BOTTM</v>
      </c>
      <c r="G1743" s="13">
        <f>_xlfn.XLOOKUP(OrderDetails[[#This Row],[OrderID]],Orders!A:A,Orders!C:C,"Not Found")</f>
        <v>35856</v>
      </c>
      <c r="H1743" s="16">
        <f>(OrderDetails[[#This Row],[UnitPrice]]*OrderDetails[[#This Row],[Quantity]])*(1-OrderDetails[[#This Row],[Discount]])</f>
        <v>637.5</v>
      </c>
      <c r="I1743" s="15" t="str">
        <f>_xlfn.XLOOKUP(OrderDetails[[#This Row],[ProductID]],Product!A:A,Product!G:G,"Not Found")</f>
        <v>Dairy Products</v>
      </c>
      <c r="J1743" s="15" t="str">
        <f>LOOKUP(MONTH(G1743),{1,4,7,10},{"Winter","Spring","Summer","Autumn"})</f>
        <v>Winter</v>
      </c>
      <c r="K1743" s="15" t="str">
        <f>_xlfn.XLOOKUP(OrderDetails[[#This Row],[ProductID]],Product!A:A,Product!B:B,"Not Found")</f>
        <v>Camembert Pierrot</v>
      </c>
    </row>
    <row r="1744" spans="1:11">
      <c r="A1744" s="1">
        <v>10919</v>
      </c>
      <c r="B1744" s="1">
        <v>16</v>
      </c>
      <c r="C1744" s="1">
        <v>17.45</v>
      </c>
      <c r="D1744" s="1">
        <v>24</v>
      </c>
      <c r="E1744" s="3">
        <v>0</v>
      </c>
      <c r="F1744" s="1" t="str">
        <f>_xlfn.XLOOKUP(A1744,Orders!A:A,Orders!B:B,"not found")</f>
        <v>LINOD</v>
      </c>
      <c r="G1744" s="13">
        <f>_xlfn.XLOOKUP(OrderDetails[[#This Row],[OrderID]],Orders!A:A,Orders!C:C,"Not Found")</f>
        <v>35856</v>
      </c>
      <c r="H1744" s="16">
        <f>(OrderDetails[[#This Row],[UnitPrice]]*OrderDetails[[#This Row],[Quantity]])*(1-OrderDetails[[#This Row],[Discount]])</f>
        <v>418.79999999999995</v>
      </c>
      <c r="I1744" s="15" t="str">
        <f>_xlfn.XLOOKUP(OrderDetails[[#This Row],[ProductID]],Product!A:A,Product!G:G,"Not Found")</f>
        <v>Confections</v>
      </c>
      <c r="J1744" s="15" t="str">
        <f>LOOKUP(MONTH(G1744),{1,4,7,10},{"Winter","Spring","Summer","Autumn"})</f>
        <v>Winter</v>
      </c>
      <c r="K1744" s="15" t="str">
        <f>_xlfn.XLOOKUP(OrderDetails[[#This Row],[ProductID]],Product!A:A,Product!B:B,"Not Found")</f>
        <v>Pavlova</v>
      </c>
    </row>
    <row r="1745" spans="1:11">
      <c r="A1745" s="2">
        <v>10919</v>
      </c>
      <c r="B1745" s="2">
        <v>25</v>
      </c>
      <c r="C1745" s="2">
        <v>14</v>
      </c>
      <c r="D1745" s="2">
        <v>24</v>
      </c>
      <c r="E1745" s="4">
        <v>0</v>
      </c>
      <c r="F1745" s="1" t="str">
        <f>_xlfn.XLOOKUP(A1745,Orders!A:A,Orders!B:B,"not found")</f>
        <v>LINOD</v>
      </c>
      <c r="G1745" s="13">
        <f>_xlfn.XLOOKUP(OrderDetails[[#This Row],[OrderID]],Orders!A:A,Orders!C:C,"Not Found")</f>
        <v>35856</v>
      </c>
      <c r="H1745" s="16">
        <f>(OrderDetails[[#This Row],[UnitPrice]]*OrderDetails[[#This Row],[Quantity]])*(1-OrderDetails[[#This Row],[Discount]])</f>
        <v>336</v>
      </c>
      <c r="I1745" s="15" t="str">
        <f>_xlfn.XLOOKUP(OrderDetails[[#This Row],[ProductID]],Product!A:A,Product!G:G,"Not Found")</f>
        <v>Confections</v>
      </c>
      <c r="J1745" s="15" t="str">
        <f>LOOKUP(MONTH(G1745),{1,4,7,10},{"Winter","Spring","Summer","Autumn"})</f>
        <v>Winter</v>
      </c>
      <c r="K1745" s="15" t="str">
        <f>_xlfn.XLOOKUP(OrderDetails[[#This Row],[ProductID]],Product!A:A,Product!B:B,"Not Found")</f>
        <v>NuNuCa Nuß-Nougat-Creme</v>
      </c>
    </row>
    <row r="1746" spans="1:11">
      <c r="A1746" s="1">
        <v>10919</v>
      </c>
      <c r="B1746" s="1">
        <v>40</v>
      </c>
      <c r="C1746" s="1">
        <v>18.399999999999999</v>
      </c>
      <c r="D1746" s="1">
        <v>20</v>
      </c>
      <c r="E1746" s="3">
        <v>0</v>
      </c>
      <c r="F1746" s="1" t="str">
        <f>_xlfn.XLOOKUP(A1746,Orders!A:A,Orders!B:B,"not found")</f>
        <v>LINOD</v>
      </c>
      <c r="G1746" s="13">
        <f>_xlfn.XLOOKUP(OrderDetails[[#This Row],[OrderID]],Orders!A:A,Orders!C:C,"Not Found")</f>
        <v>35856</v>
      </c>
      <c r="H1746" s="16">
        <f>(OrderDetails[[#This Row],[UnitPrice]]*OrderDetails[[#This Row],[Quantity]])*(1-OrderDetails[[#This Row],[Discount]])</f>
        <v>368</v>
      </c>
      <c r="I1746" s="15" t="str">
        <f>_xlfn.XLOOKUP(OrderDetails[[#This Row],[ProductID]],Product!A:A,Product!G:G,"Not Found")</f>
        <v>Seafood</v>
      </c>
      <c r="J1746" s="15" t="str">
        <f>LOOKUP(MONTH(G1746),{1,4,7,10},{"Winter","Spring","Summer","Autumn"})</f>
        <v>Winter</v>
      </c>
      <c r="K1746" s="15" t="str">
        <f>_xlfn.XLOOKUP(OrderDetails[[#This Row],[ProductID]],Product!A:A,Product!B:B,"Not Found")</f>
        <v>Boston Crab Meat</v>
      </c>
    </row>
    <row r="1747" spans="1:11">
      <c r="A1747" s="2">
        <v>10920</v>
      </c>
      <c r="B1747" s="2">
        <v>50</v>
      </c>
      <c r="C1747" s="2">
        <v>16.25</v>
      </c>
      <c r="D1747" s="2">
        <v>24</v>
      </c>
      <c r="E1747" s="4">
        <v>0</v>
      </c>
      <c r="F1747" s="1" t="str">
        <f>_xlfn.XLOOKUP(A1747,Orders!A:A,Orders!B:B,"not found")</f>
        <v>AROUT</v>
      </c>
      <c r="G1747" s="13">
        <f>_xlfn.XLOOKUP(OrderDetails[[#This Row],[OrderID]],Orders!A:A,Orders!C:C,"Not Found")</f>
        <v>35857</v>
      </c>
      <c r="H1747" s="16">
        <f>(OrderDetails[[#This Row],[UnitPrice]]*OrderDetails[[#This Row],[Quantity]])*(1-OrderDetails[[#This Row],[Discount]])</f>
        <v>390</v>
      </c>
      <c r="I1747" s="15" t="str">
        <f>_xlfn.XLOOKUP(OrderDetails[[#This Row],[ProductID]],Product!A:A,Product!G:G,"Not Found")</f>
        <v>Confections</v>
      </c>
      <c r="J1747" s="15" t="str">
        <f>LOOKUP(MONTH(G1747),{1,4,7,10},{"Winter","Spring","Summer","Autumn"})</f>
        <v>Winter</v>
      </c>
      <c r="K1747" s="15" t="str">
        <f>_xlfn.XLOOKUP(OrderDetails[[#This Row],[ProductID]],Product!A:A,Product!B:B,"Not Found")</f>
        <v>Valkoinen suklaa</v>
      </c>
    </row>
    <row r="1748" spans="1:11">
      <c r="A1748" s="1">
        <v>10921</v>
      </c>
      <c r="B1748" s="1">
        <v>35</v>
      </c>
      <c r="C1748" s="1">
        <v>18</v>
      </c>
      <c r="D1748" s="1">
        <v>10</v>
      </c>
      <c r="E1748" s="3">
        <v>0</v>
      </c>
      <c r="F1748" s="1" t="str">
        <f>_xlfn.XLOOKUP(A1748,Orders!A:A,Orders!B:B,"not found")</f>
        <v>VAFFE</v>
      </c>
      <c r="G1748" s="13">
        <f>_xlfn.XLOOKUP(OrderDetails[[#This Row],[OrderID]],Orders!A:A,Orders!C:C,"Not Found")</f>
        <v>35857</v>
      </c>
      <c r="H1748" s="16">
        <f>(OrderDetails[[#This Row],[UnitPrice]]*OrderDetails[[#This Row],[Quantity]])*(1-OrderDetails[[#This Row],[Discount]])</f>
        <v>180</v>
      </c>
      <c r="I1748" s="15" t="str">
        <f>_xlfn.XLOOKUP(OrderDetails[[#This Row],[ProductID]],Product!A:A,Product!G:G,"Not Found")</f>
        <v>Beverages</v>
      </c>
      <c r="J1748" s="15" t="str">
        <f>LOOKUP(MONTH(G1748),{1,4,7,10},{"Winter","Spring","Summer","Autumn"})</f>
        <v>Winter</v>
      </c>
      <c r="K1748" s="15" t="str">
        <f>_xlfn.XLOOKUP(OrderDetails[[#This Row],[ProductID]],Product!A:A,Product!B:B,"Not Found")</f>
        <v>Steeleye Stout</v>
      </c>
    </row>
    <row r="1749" spans="1:11">
      <c r="A1749" s="2">
        <v>10921</v>
      </c>
      <c r="B1749" s="2">
        <v>63</v>
      </c>
      <c r="C1749" s="2">
        <v>43.9</v>
      </c>
      <c r="D1749" s="2">
        <v>40</v>
      </c>
      <c r="E1749" s="4">
        <v>0</v>
      </c>
      <c r="F1749" s="1" t="str">
        <f>_xlfn.XLOOKUP(A1749,Orders!A:A,Orders!B:B,"not found")</f>
        <v>VAFFE</v>
      </c>
      <c r="G1749" s="13">
        <f>_xlfn.XLOOKUP(OrderDetails[[#This Row],[OrderID]],Orders!A:A,Orders!C:C,"Not Found")</f>
        <v>35857</v>
      </c>
      <c r="H1749" s="16">
        <f>(OrderDetails[[#This Row],[UnitPrice]]*OrderDetails[[#This Row],[Quantity]])*(1-OrderDetails[[#This Row],[Discount]])</f>
        <v>1756</v>
      </c>
      <c r="I1749" s="15" t="str">
        <f>_xlfn.XLOOKUP(OrderDetails[[#This Row],[ProductID]],Product!A:A,Product!G:G,"Not Found")</f>
        <v>Condiments</v>
      </c>
      <c r="J1749" s="15" t="str">
        <f>LOOKUP(MONTH(G1749),{1,4,7,10},{"Winter","Spring","Summer","Autumn"})</f>
        <v>Winter</v>
      </c>
      <c r="K1749" s="15" t="str">
        <f>_xlfn.XLOOKUP(OrderDetails[[#This Row],[ProductID]],Product!A:A,Product!B:B,"Not Found")</f>
        <v>Vegie-spread</v>
      </c>
    </row>
    <row r="1750" spans="1:11">
      <c r="A1750" s="1">
        <v>10922</v>
      </c>
      <c r="B1750" s="1">
        <v>17</v>
      </c>
      <c r="C1750" s="1">
        <v>39</v>
      </c>
      <c r="D1750" s="1">
        <v>15</v>
      </c>
      <c r="E1750" s="3">
        <v>0</v>
      </c>
      <c r="F1750" s="1" t="str">
        <f>_xlfn.XLOOKUP(A1750,Orders!A:A,Orders!B:B,"not found")</f>
        <v>HANAR</v>
      </c>
      <c r="G1750" s="13">
        <f>_xlfn.XLOOKUP(OrderDetails[[#This Row],[OrderID]],Orders!A:A,Orders!C:C,"Not Found")</f>
        <v>35857</v>
      </c>
      <c r="H1750" s="16">
        <f>(OrderDetails[[#This Row],[UnitPrice]]*OrderDetails[[#This Row],[Quantity]])*(1-OrderDetails[[#This Row],[Discount]])</f>
        <v>585</v>
      </c>
      <c r="I1750" s="15" t="str">
        <f>_xlfn.XLOOKUP(OrderDetails[[#This Row],[ProductID]],Product!A:A,Product!G:G,"Not Found")</f>
        <v>Meat/Poultry</v>
      </c>
      <c r="J1750" s="15" t="str">
        <f>LOOKUP(MONTH(G1750),{1,4,7,10},{"Winter","Spring","Summer","Autumn"})</f>
        <v>Winter</v>
      </c>
      <c r="K1750" s="15" t="str">
        <f>_xlfn.XLOOKUP(OrderDetails[[#This Row],[ProductID]],Product!A:A,Product!B:B,"Not Found")</f>
        <v>Alice Mutton</v>
      </c>
    </row>
    <row r="1751" spans="1:11">
      <c r="A1751" s="2">
        <v>10922</v>
      </c>
      <c r="B1751" s="2">
        <v>24</v>
      </c>
      <c r="C1751" s="2">
        <v>4.5</v>
      </c>
      <c r="D1751" s="2">
        <v>35</v>
      </c>
      <c r="E1751" s="4">
        <v>0</v>
      </c>
      <c r="F1751" s="1" t="str">
        <f>_xlfn.XLOOKUP(A1751,Orders!A:A,Orders!B:B,"not found")</f>
        <v>HANAR</v>
      </c>
      <c r="G1751" s="13">
        <f>_xlfn.XLOOKUP(OrderDetails[[#This Row],[OrderID]],Orders!A:A,Orders!C:C,"Not Found")</f>
        <v>35857</v>
      </c>
      <c r="H1751" s="16">
        <f>(OrderDetails[[#This Row],[UnitPrice]]*OrderDetails[[#This Row],[Quantity]])*(1-OrderDetails[[#This Row],[Discount]])</f>
        <v>157.5</v>
      </c>
      <c r="I1751" s="15" t="str">
        <f>_xlfn.XLOOKUP(OrderDetails[[#This Row],[ProductID]],Product!A:A,Product!G:G,"Not Found")</f>
        <v>Beverages</v>
      </c>
      <c r="J1751" s="15" t="str">
        <f>LOOKUP(MONTH(G1751),{1,4,7,10},{"Winter","Spring","Summer","Autumn"})</f>
        <v>Winter</v>
      </c>
      <c r="K1751" s="15" t="str">
        <f>_xlfn.XLOOKUP(OrderDetails[[#This Row],[ProductID]],Product!A:A,Product!B:B,"Not Found")</f>
        <v>Guaraná Fantástica</v>
      </c>
    </row>
    <row r="1752" spans="1:11">
      <c r="A1752" s="1">
        <v>10923</v>
      </c>
      <c r="B1752" s="1">
        <v>42</v>
      </c>
      <c r="C1752" s="1">
        <v>14</v>
      </c>
      <c r="D1752" s="1">
        <v>10</v>
      </c>
      <c r="E1752" s="3">
        <v>0.20000000298023224</v>
      </c>
      <c r="F1752" s="1" t="str">
        <f>_xlfn.XLOOKUP(A1752,Orders!A:A,Orders!B:B,"not found")</f>
        <v>LAMAI</v>
      </c>
      <c r="G1752" s="13">
        <f>_xlfn.XLOOKUP(OrderDetails[[#This Row],[OrderID]],Orders!A:A,Orders!C:C,"Not Found")</f>
        <v>35857</v>
      </c>
      <c r="H1752" s="16">
        <f>(OrderDetails[[#This Row],[UnitPrice]]*OrderDetails[[#This Row],[Quantity]])*(1-OrderDetails[[#This Row],[Discount]])</f>
        <v>111.99999958276749</v>
      </c>
      <c r="I1752" s="15" t="str">
        <f>_xlfn.XLOOKUP(OrderDetails[[#This Row],[ProductID]],Product!A:A,Product!G:G,"Not Found")</f>
        <v>Grains/Cereals</v>
      </c>
      <c r="J1752" s="15" t="str">
        <f>LOOKUP(MONTH(G1752),{1,4,7,10},{"Winter","Spring","Summer","Autumn"})</f>
        <v>Winter</v>
      </c>
      <c r="K1752" s="15" t="str">
        <f>_xlfn.XLOOKUP(OrderDetails[[#This Row],[ProductID]],Product!A:A,Product!B:B,"Not Found")</f>
        <v>Singaporean Hokkien Fried Mee</v>
      </c>
    </row>
    <row r="1753" spans="1:11">
      <c r="A1753" s="2">
        <v>10923</v>
      </c>
      <c r="B1753" s="2">
        <v>43</v>
      </c>
      <c r="C1753" s="2">
        <v>46</v>
      </c>
      <c r="D1753" s="2">
        <v>10</v>
      </c>
      <c r="E1753" s="4">
        <v>0.20000000298023224</v>
      </c>
      <c r="F1753" s="1" t="str">
        <f>_xlfn.XLOOKUP(A1753,Orders!A:A,Orders!B:B,"not found")</f>
        <v>LAMAI</v>
      </c>
      <c r="G1753" s="13">
        <f>_xlfn.XLOOKUP(OrderDetails[[#This Row],[OrderID]],Orders!A:A,Orders!C:C,"Not Found")</f>
        <v>35857</v>
      </c>
      <c r="H1753" s="16">
        <f>(OrderDetails[[#This Row],[UnitPrice]]*OrderDetails[[#This Row],[Quantity]])*(1-OrderDetails[[#This Row],[Discount]])</f>
        <v>367.99999862909317</v>
      </c>
      <c r="I1753" s="15" t="str">
        <f>_xlfn.XLOOKUP(OrderDetails[[#This Row],[ProductID]],Product!A:A,Product!G:G,"Not Found")</f>
        <v>Beverages</v>
      </c>
      <c r="J1753" s="15" t="str">
        <f>LOOKUP(MONTH(G1753),{1,4,7,10},{"Winter","Spring","Summer","Autumn"})</f>
        <v>Winter</v>
      </c>
      <c r="K1753" s="15" t="str">
        <f>_xlfn.XLOOKUP(OrderDetails[[#This Row],[ProductID]],Product!A:A,Product!B:B,"Not Found")</f>
        <v>Ipoh Coffee</v>
      </c>
    </row>
    <row r="1754" spans="1:11">
      <c r="A1754" s="1">
        <v>10923</v>
      </c>
      <c r="B1754" s="1">
        <v>67</v>
      </c>
      <c r="C1754" s="1">
        <v>14</v>
      </c>
      <c r="D1754" s="1">
        <v>24</v>
      </c>
      <c r="E1754" s="3">
        <v>0.20000000298023224</v>
      </c>
      <c r="F1754" s="1" t="str">
        <f>_xlfn.XLOOKUP(A1754,Orders!A:A,Orders!B:B,"not found")</f>
        <v>LAMAI</v>
      </c>
      <c r="G1754" s="13">
        <f>_xlfn.XLOOKUP(OrderDetails[[#This Row],[OrderID]],Orders!A:A,Orders!C:C,"Not Found")</f>
        <v>35857</v>
      </c>
      <c r="H1754" s="16">
        <f>(OrderDetails[[#This Row],[UnitPrice]]*OrderDetails[[#This Row],[Quantity]])*(1-OrderDetails[[#This Row],[Discount]])</f>
        <v>268.79999899864197</v>
      </c>
      <c r="I1754" s="15" t="str">
        <f>_xlfn.XLOOKUP(OrderDetails[[#This Row],[ProductID]],Product!A:A,Product!G:G,"Not Found")</f>
        <v>Beverages</v>
      </c>
      <c r="J1754" s="15" t="str">
        <f>LOOKUP(MONTH(G1754),{1,4,7,10},{"Winter","Spring","Summer","Autumn"})</f>
        <v>Winter</v>
      </c>
      <c r="K1754" s="15" t="str">
        <f>_xlfn.XLOOKUP(OrderDetails[[#This Row],[ProductID]],Product!A:A,Product!B:B,"Not Found")</f>
        <v>Laughing Lumberjack Lager</v>
      </c>
    </row>
    <row r="1755" spans="1:11">
      <c r="A1755" s="2">
        <v>10924</v>
      </c>
      <c r="B1755" s="2">
        <v>10</v>
      </c>
      <c r="C1755" s="2">
        <v>31</v>
      </c>
      <c r="D1755" s="2">
        <v>20</v>
      </c>
      <c r="E1755" s="4">
        <v>0.10000000149011612</v>
      </c>
      <c r="F1755" s="1" t="str">
        <f>_xlfn.XLOOKUP(A1755,Orders!A:A,Orders!B:B,"not found")</f>
        <v>BERGS</v>
      </c>
      <c r="G1755" s="13">
        <f>_xlfn.XLOOKUP(OrderDetails[[#This Row],[OrderID]],Orders!A:A,Orders!C:C,"Not Found")</f>
        <v>35858</v>
      </c>
      <c r="H1755" s="16">
        <f>(OrderDetails[[#This Row],[UnitPrice]]*OrderDetails[[#This Row],[Quantity]])*(1-OrderDetails[[#This Row],[Discount]])</f>
        <v>557.99999907612801</v>
      </c>
      <c r="I1755" s="15" t="str">
        <f>_xlfn.XLOOKUP(OrderDetails[[#This Row],[ProductID]],Product!A:A,Product!G:G,"Not Found")</f>
        <v>Seafood</v>
      </c>
      <c r="J1755" s="15" t="str">
        <f>LOOKUP(MONTH(G1755),{1,4,7,10},{"Winter","Spring","Summer","Autumn"})</f>
        <v>Winter</v>
      </c>
      <c r="K1755" s="15" t="str">
        <f>_xlfn.XLOOKUP(OrderDetails[[#This Row],[ProductID]],Product!A:A,Product!B:B,"Not Found")</f>
        <v>Ikura</v>
      </c>
    </row>
    <row r="1756" spans="1:11">
      <c r="A1756" s="1">
        <v>10924</v>
      </c>
      <c r="B1756" s="1">
        <v>28</v>
      </c>
      <c r="C1756" s="1">
        <v>45.6</v>
      </c>
      <c r="D1756" s="1">
        <v>30</v>
      </c>
      <c r="E1756" s="3">
        <v>0.10000000149011612</v>
      </c>
      <c r="F1756" s="1" t="str">
        <f>_xlfn.XLOOKUP(A1756,Orders!A:A,Orders!B:B,"not found")</f>
        <v>BERGS</v>
      </c>
      <c r="G1756" s="13">
        <f>_xlfn.XLOOKUP(OrderDetails[[#This Row],[OrderID]],Orders!A:A,Orders!C:C,"Not Found")</f>
        <v>35858</v>
      </c>
      <c r="H1756" s="16">
        <f>(OrderDetails[[#This Row],[UnitPrice]]*OrderDetails[[#This Row],[Quantity]])*(1-OrderDetails[[#This Row],[Discount]])</f>
        <v>1231.1999979615211</v>
      </c>
      <c r="I1756" s="15" t="str">
        <f>_xlfn.XLOOKUP(OrderDetails[[#This Row],[ProductID]],Product!A:A,Product!G:G,"Not Found")</f>
        <v>Produce</v>
      </c>
      <c r="J1756" s="15" t="str">
        <f>LOOKUP(MONTH(G1756),{1,4,7,10},{"Winter","Spring","Summer","Autumn"})</f>
        <v>Winter</v>
      </c>
      <c r="K1756" s="15" t="str">
        <f>_xlfn.XLOOKUP(OrderDetails[[#This Row],[ProductID]],Product!A:A,Product!B:B,"Not Found")</f>
        <v>Rössle Sauerkraut</v>
      </c>
    </row>
    <row r="1757" spans="1:11">
      <c r="A1757" s="2">
        <v>10924</v>
      </c>
      <c r="B1757" s="2">
        <v>75</v>
      </c>
      <c r="C1757" s="2">
        <v>7.75</v>
      </c>
      <c r="D1757" s="2">
        <v>6</v>
      </c>
      <c r="E1757" s="4">
        <v>0</v>
      </c>
      <c r="F1757" s="1" t="str">
        <f>_xlfn.XLOOKUP(A1757,Orders!A:A,Orders!B:B,"not found")</f>
        <v>BERGS</v>
      </c>
      <c r="G1757" s="13">
        <f>_xlfn.XLOOKUP(OrderDetails[[#This Row],[OrderID]],Orders!A:A,Orders!C:C,"Not Found")</f>
        <v>35858</v>
      </c>
      <c r="H1757" s="16">
        <f>(OrderDetails[[#This Row],[UnitPrice]]*OrderDetails[[#This Row],[Quantity]])*(1-OrderDetails[[#This Row],[Discount]])</f>
        <v>46.5</v>
      </c>
      <c r="I1757" s="15" t="str">
        <f>_xlfn.XLOOKUP(OrderDetails[[#This Row],[ProductID]],Product!A:A,Product!G:G,"Not Found")</f>
        <v>Beverages</v>
      </c>
      <c r="J1757" s="15" t="str">
        <f>LOOKUP(MONTH(G1757),{1,4,7,10},{"Winter","Spring","Summer","Autumn"})</f>
        <v>Winter</v>
      </c>
      <c r="K1757" s="15" t="str">
        <f>_xlfn.XLOOKUP(OrderDetails[[#This Row],[ProductID]],Product!A:A,Product!B:B,"Not Found")</f>
        <v>Rhönbräu Klosterbier</v>
      </c>
    </row>
    <row r="1758" spans="1:11">
      <c r="A1758" s="1">
        <v>10925</v>
      </c>
      <c r="B1758" s="1">
        <v>36</v>
      </c>
      <c r="C1758" s="1">
        <v>19</v>
      </c>
      <c r="D1758" s="1">
        <v>25</v>
      </c>
      <c r="E1758" s="3">
        <v>0.15000000596046448</v>
      </c>
      <c r="F1758" s="1" t="str">
        <f>_xlfn.XLOOKUP(A1758,Orders!A:A,Orders!B:B,"not found")</f>
        <v>HANAR</v>
      </c>
      <c r="G1758" s="13">
        <f>_xlfn.XLOOKUP(OrderDetails[[#This Row],[OrderID]],Orders!A:A,Orders!C:C,"Not Found")</f>
        <v>35858</v>
      </c>
      <c r="H1758" s="16">
        <f>(OrderDetails[[#This Row],[UnitPrice]]*OrderDetails[[#This Row],[Quantity]])*(1-OrderDetails[[#This Row],[Discount]])</f>
        <v>403.74999716877937</v>
      </c>
      <c r="I1758" s="15" t="str">
        <f>_xlfn.XLOOKUP(OrderDetails[[#This Row],[ProductID]],Product!A:A,Product!G:G,"Not Found")</f>
        <v>Seafood</v>
      </c>
      <c r="J1758" s="15" t="str">
        <f>LOOKUP(MONTH(G1758),{1,4,7,10},{"Winter","Spring","Summer","Autumn"})</f>
        <v>Winter</v>
      </c>
      <c r="K1758" s="15" t="str">
        <f>_xlfn.XLOOKUP(OrderDetails[[#This Row],[ProductID]],Product!A:A,Product!B:B,"Not Found")</f>
        <v>Inlagd Sill</v>
      </c>
    </row>
    <row r="1759" spans="1:11">
      <c r="A1759" s="2">
        <v>10925</v>
      </c>
      <c r="B1759" s="2">
        <v>52</v>
      </c>
      <c r="C1759" s="2">
        <v>7</v>
      </c>
      <c r="D1759" s="2">
        <v>12</v>
      </c>
      <c r="E1759" s="4">
        <v>0.15000000596046448</v>
      </c>
      <c r="F1759" s="1" t="str">
        <f>_xlfn.XLOOKUP(A1759,Orders!A:A,Orders!B:B,"not found")</f>
        <v>HANAR</v>
      </c>
      <c r="G1759" s="13">
        <f>_xlfn.XLOOKUP(OrderDetails[[#This Row],[OrderID]],Orders!A:A,Orders!C:C,"Not Found")</f>
        <v>35858</v>
      </c>
      <c r="H1759" s="16">
        <f>(OrderDetails[[#This Row],[UnitPrice]]*OrderDetails[[#This Row],[Quantity]])*(1-OrderDetails[[#This Row],[Discount]])</f>
        <v>71.399999499320984</v>
      </c>
      <c r="I1759" s="15" t="str">
        <f>_xlfn.XLOOKUP(OrderDetails[[#This Row],[ProductID]],Product!A:A,Product!G:G,"Not Found")</f>
        <v>Grains/Cereals</v>
      </c>
      <c r="J1759" s="15" t="str">
        <f>LOOKUP(MONTH(G1759),{1,4,7,10},{"Winter","Spring","Summer","Autumn"})</f>
        <v>Winter</v>
      </c>
      <c r="K1759" s="15" t="str">
        <f>_xlfn.XLOOKUP(OrderDetails[[#This Row],[ProductID]],Product!A:A,Product!B:B,"Not Found")</f>
        <v>Filo Mix</v>
      </c>
    </row>
    <row r="1760" spans="1:11">
      <c r="A1760" s="1">
        <v>10926</v>
      </c>
      <c r="B1760" s="1">
        <v>11</v>
      </c>
      <c r="C1760" s="1">
        <v>21</v>
      </c>
      <c r="D1760" s="1">
        <v>2</v>
      </c>
      <c r="E1760" s="3">
        <v>0</v>
      </c>
      <c r="F1760" s="1" t="str">
        <f>_xlfn.XLOOKUP(A1760,Orders!A:A,Orders!B:B,"not found")</f>
        <v>ANATR</v>
      </c>
      <c r="G1760" s="13">
        <f>_xlfn.XLOOKUP(OrderDetails[[#This Row],[OrderID]],Orders!A:A,Orders!C:C,"Not Found")</f>
        <v>35858</v>
      </c>
      <c r="H1760" s="16">
        <f>(OrderDetails[[#This Row],[UnitPrice]]*OrderDetails[[#This Row],[Quantity]])*(1-OrderDetails[[#This Row],[Discount]])</f>
        <v>42</v>
      </c>
      <c r="I1760" s="15" t="str">
        <f>_xlfn.XLOOKUP(OrderDetails[[#This Row],[ProductID]],Product!A:A,Product!G:G,"Not Found")</f>
        <v>Dairy Products</v>
      </c>
      <c r="J1760" s="15" t="str">
        <f>LOOKUP(MONTH(G1760),{1,4,7,10},{"Winter","Spring","Summer","Autumn"})</f>
        <v>Winter</v>
      </c>
      <c r="K1760" s="15" t="str">
        <f>_xlfn.XLOOKUP(OrderDetails[[#This Row],[ProductID]],Product!A:A,Product!B:B,"Not Found")</f>
        <v>Queso Cabrales</v>
      </c>
    </row>
    <row r="1761" spans="1:11">
      <c r="A1761" s="2">
        <v>10926</v>
      </c>
      <c r="B1761" s="2">
        <v>13</v>
      </c>
      <c r="C1761" s="2">
        <v>6</v>
      </c>
      <c r="D1761" s="2">
        <v>10</v>
      </c>
      <c r="E1761" s="4">
        <v>0</v>
      </c>
      <c r="F1761" s="1" t="str">
        <f>_xlfn.XLOOKUP(A1761,Orders!A:A,Orders!B:B,"not found")</f>
        <v>ANATR</v>
      </c>
      <c r="G1761" s="13">
        <f>_xlfn.XLOOKUP(OrderDetails[[#This Row],[OrderID]],Orders!A:A,Orders!C:C,"Not Found")</f>
        <v>35858</v>
      </c>
      <c r="H1761" s="16">
        <f>(OrderDetails[[#This Row],[UnitPrice]]*OrderDetails[[#This Row],[Quantity]])*(1-OrderDetails[[#This Row],[Discount]])</f>
        <v>60</v>
      </c>
      <c r="I1761" s="15" t="str">
        <f>_xlfn.XLOOKUP(OrderDetails[[#This Row],[ProductID]],Product!A:A,Product!G:G,"Not Found")</f>
        <v>Seafood</v>
      </c>
      <c r="J1761" s="15" t="str">
        <f>LOOKUP(MONTH(G1761),{1,4,7,10},{"Winter","Spring","Summer","Autumn"})</f>
        <v>Winter</v>
      </c>
      <c r="K1761" s="15" t="str">
        <f>_xlfn.XLOOKUP(OrderDetails[[#This Row],[ProductID]],Product!A:A,Product!B:B,"Not Found")</f>
        <v>Konbu</v>
      </c>
    </row>
    <row r="1762" spans="1:11">
      <c r="A1762" s="1">
        <v>10926</v>
      </c>
      <c r="B1762" s="1">
        <v>19</v>
      </c>
      <c r="C1762" s="1">
        <v>9.1999999999999993</v>
      </c>
      <c r="D1762" s="1">
        <v>7</v>
      </c>
      <c r="E1762" s="3">
        <v>0</v>
      </c>
      <c r="F1762" s="1" t="str">
        <f>_xlfn.XLOOKUP(A1762,Orders!A:A,Orders!B:B,"not found")</f>
        <v>ANATR</v>
      </c>
      <c r="G1762" s="13">
        <f>_xlfn.XLOOKUP(OrderDetails[[#This Row],[OrderID]],Orders!A:A,Orders!C:C,"Not Found")</f>
        <v>35858</v>
      </c>
      <c r="H1762" s="16">
        <f>(OrderDetails[[#This Row],[UnitPrice]]*OrderDetails[[#This Row],[Quantity]])*(1-OrderDetails[[#This Row],[Discount]])</f>
        <v>64.399999999999991</v>
      </c>
      <c r="I1762" s="15" t="str">
        <f>_xlfn.XLOOKUP(OrderDetails[[#This Row],[ProductID]],Product!A:A,Product!G:G,"Not Found")</f>
        <v>Confections</v>
      </c>
      <c r="J1762" s="15" t="str">
        <f>LOOKUP(MONTH(G1762),{1,4,7,10},{"Winter","Spring","Summer","Autumn"})</f>
        <v>Winter</v>
      </c>
      <c r="K1762" s="15" t="str">
        <f>_xlfn.XLOOKUP(OrderDetails[[#This Row],[ProductID]],Product!A:A,Product!B:B,"Not Found")</f>
        <v>Teatime Chocolate Biscuits</v>
      </c>
    </row>
    <row r="1763" spans="1:11">
      <c r="A1763" s="2">
        <v>10926</v>
      </c>
      <c r="B1763" s="2">
        <v>72</v>
      </c>
      <c r="C1763" s="2">
        <v>34.799999999999997</v>
      </c>
      <c r="D1763" s="2">
        <v>10</v>
      </c>
      <c r="E1763" s="4">
        <v>0</v>
      </c>
      <c r="F1763" s="1" t="str">
        <f>_xlfn.XLOOKUP(A1763,Orders!A:A,Orders!B:B,"not found")</f>
        <v>ANATR</v>
      </c>
      <c r="G1763" s="13">
        <f>_xlfn.XLOOKUP(OrderDetails[[#This Row],[OrderID]],Orders!A:A,Orders!C:C,"Not Found")</f>
        <v>35858</v>
      </c>
      <c r="H1763" s="16">
        <f>(OrderDetails[[#This Row],[UnitPrice]]*OrderDetails[[#This Row],[Quantity]])*(1-OrderDetails[[#This Row],[Discount]])</f>
        <v>348</v>
      </c>
      <c r="I1763" s="15" t="str">
        <f>_xlfn.XLOOKUP(OrderDetails[[#This Row],[ProductID]],Product!A:A,Product!G:G,"Not Found")</f>
        <v>Dairy Products</v>
      </c>
      <c r="J1763" s="15" t="str">
        <f>LOOKUP(MONTH(G1763),{1,4,7,10},{"Winter","Spring","Summer","Autumn"})</f>
        <v>Winter</v>
      </c>
      <c r="K1763" s="15" t="str">
        <f>_xlfn.XLOOKUP(OrderDetails[[#This Row],[ProductID]],Product!A:A,Product!B:B,"Not Found")</f>
        <v>Mozzarella di Giovanni</v>
      </c>
    </row>
    <row r="1764" spans="1:11">
      <c r="A1764" s="1">
        <v>10927</v>
      </c>
      <c r="B1764" s="1">
        <v>20</v>
      </c>
      <c r="C1764" s="1">
        <v>81</v>
      </c>
      <c r="D1764" s="1">
        <v>5</v>
      </c>
      <c r="E1764" s="3">
        <v>0</v>
      </c>
      <c r="F1764" s="1" t="str">
        <f>_xlfn.XLOOKUP(A1764,Orders!A:A,Orders!B:B,"not found")</f>
        <v>LACOR</v>
      </c>
      <c r="G1764" s="13">
        <f>_xlfn.XLOOKUP(OrderDetails[[#This Row],[OrderID]],Orders!A:A,Orders!C:C,"Not Found")</f>
        <v>35859</v>
      </c>
      <c r="H1764" s="16">
        <f>(OrderDetails[[#This Row],[UnitPrice]]*OrderDetails[[#This Row],[Quantity]])*(1-OrderDetails[[#This Row],[Discount]])</f>
        <v>405</v>
      </c>
      <c r="I1764" s="15" t="str">
        <f>_xlfn.XLOOKUP(OrderDetails[[#This Row],[ProductID]],Product!A:A,Product!G:G,"Not Found")</f>
        <v>Confections</v>
      </c>
      <c r="J1764" s="15" t="str">
        <f>LOOKUP(MONTH(G1764),{1,4,7,10},{"Winter","Spring","Summer","Autumn"})</f>
        <v>Winter</v>
      </c>
      <c r="K1764" s="15" t="str">
        <f>_xlfn.XLOOKUP(OrderDetails[[#This Row],[ProductID]],Product!A:A,Product!B:B,"Not Found")</f>
        <v>Sir Rodney's Marmalade</v>
      </c>
    </row>
    <row r="1765" spans="1:11">
      <c r="A1765" s="2">
        <v>10927</v>
      </c>
      <c r="B1765" s="2">
        <v>52</v>
      </c>
      <c r="C1765" s="2">
        <v>7</v>
      </c>
      <c r="D1765" s="2">
        <v>5</v>
      </c>
      <c r="E1765" s="4">
        <v>0</v>
      </c>
      <c r="F1765" s="1" t="str">
        <f>_xlfn.XLOOKUP(A1765,Orders!A:A,Orders!B:B,"not found")</f>
        <v>LACOR</v>
      </c>
      <c r="G1765" s="13">
        <f>_xlfn.XLOOKUP(OrderDetails[[#This Row],[OrderID]],Orders!A:A,Orders!C:C,"Not Found")</f>
        <v>35859</v>
      </c>
      <c r="H1765" s="16">
        <f>(OrderDetails[[#This Row],[UnitPrice]]*OrderDetails[[#This Row],[Quantity]])*(1-OrderDetails[[#This Row],[Discount]])</f>
        <v>35</v>
      </c>
      <c r="I1765" s="15" t="str">
        <f>_xlfn.XLOOKUP(OrderDetails[[#This Row],[ProductID]],Product!A:A,Product!G:G,"Not Found")</f>
        <v>Grains/Cereals</v>
      </c>
      <c r="J1765" s="15" t="str">
        <f>LOOKUP(MONTH(G1765),{1,4,7,10},{"Winter","Spring","Summer","Autumn"})</f>
        <v>Winter</v>
      </c>
      <c r="K1765" s="15" t="str">
        <f>_xlfn.XLOOKUP(OrderDetails[[#This Row],[ProductID]],Product!A:A,Product!B:B,"Not Found")</f>
        <v>Filo Mix</v>
      </c>
    </row>
    <row r="1766" spans="1:11">
      <c r="A1766" s="1">
        <v>10927</v>
      </c>
      <c r="B1766" s="1">
        <v>76</v>
      </c>
      <c r="C1766" s="1">
        <v>18</v>
      </c>
      <c r="D1766" s="1">
        <v>20</v>
      </c>
      <c r="E1766" s="3">
        <v>0</v>
      </c>
      <c r="F1766" s="1" t="str">
        <f>_xlfn.XLOOKUP(A1766,Orders!A:A,Orders!B:B,"not found")</f>
        <v>LACOR</v>
      </c>
      <c r="G1766" s="13">
        <f>_xlfn.XLOOKUP(OrderDetails[[#This Row],[OrderID]],Orders!A:A,Orders!C:C,"Not Found")</f>
        <v>35859</v>
      </c>
      <c r="H1766" s="16">
        <f>(OrderDetails[[#This Row],[UnitPrice]]*OrderDetails[[#This Row],[Quantity]])*(1-OrderDetails[[#This Row],[Discount]])</f>
        <v>360</v>
      </c>
      <c r="I1766" s="15" t="str">
        <f>_xlfn.XLOOKUP(OrderDetails[[#This Row],[ProductID]],Product!A:A,Product!G:G,"Not Found")</f>
        <v>Beverages</v>
      </c>
      <c r="J1766" s="15" t="str">
        <f>LOOKUP(MONTH(G1766),{1,4,7,10},{"Winter","Spring","Summer","Autumn"})</f>
        <v>Winter</v>
      </c>
      <c r="K1766" s="15" t="str">
        <f>_xlfn.XLOOKUP(OrderDetails[[#This Row],[ProductID]],Product!A:A,Product!B:B,"Not Found")</f>
        <v>Lakkalikööri</v>
      </c>
    </row>
    <row r="1767" spans="1:11">
      <c r="A1767" s="2">
        <v>10928</v>
      </c>
      <c r="B1767" s="2">
        <v>47</v>
      </c>
      <c r="C1767" s="2">
        <v>9.5</v>
      </c>
      <c r="D1767" s="2">
        <v>5</v>
      </c>
      <c r="E1767" s="4">
        <v>0</v>
      </c>
      <c r="F1767" s="1" t="str">
        <f>_xlfn.XLOOKUP(A1767,Orders!A:A,Orders!B:B,"not found")</f>
        <v>GALED</v>
      </c>
      <c r="G1767" s="13">
        <f>_xlfn.XLOOKUP(OrderDetails[[#This Row],[OrderID]],Orders!A:A,Orders!C:C,"Not Found")</f>
        <v>35859</v>
      </c>
      <c r="H1767" s="16">
        <f>(OrderDetails[[#This Row],[UnitPrice]]*OrderDetails[[#This Row],[Quantity]])*(1-OrderDetails[[#This Row],[Discount]])</f>
        <v>47.5</v>
      </c>
      <c r="I1767" s="15" t="str">
        <f>_xlfn.XLOOKUP(OrderDetails[[#This Row],[ProductID]],Product!A:A,Product!G:G,"Not Found")</f>
        <v>Confections</v>
      </c>
      <c r="J1767" s="15" t="str">
        <f>LOOKUP(MONTH(G1767),{1,4,7,10},{"Winter","Spring","Summer","Autumn"})</f>
        <v>Winter</v>
      </c>
      <c r="K1767" s="15" t="str">
        <f>_xlfn.XLOOKUP(OrderDetails[[#This Row],[ProductID]],Product!A:A,Product!B:B,"Not Found")</f>
        <v>Zaanse koeken</v>
      </c>
    </row>
    <row r="1768" spans="1:11">
      <c r="A1768" s="1">
        <v>10928</v>
      </c>
      <c r="B1768" s="1">
        <v>76</v>
      </c>
      <c r="C1768" s="1">
        <v>18</v>
      </c>
      <c r="D1768" s="1">
        <v>5</v>
      </c>
      <c r="E1768" s="3">
        <v>0</v>
      </c>
      <c r="F1768" s="1" t="str">
        <f>_xlfn.XLOOKUP(A1768,Orders!A:A,Orders!B:B,"not found")</f>
        <v>GALED</v>
      </c>
      <c r="G1768" s="13">
        <f>_xlfn.XLOOKUP(OrderDetails[[#This Row],[OrderID]],Orders!A:A,Orders!C:C,"Not Found")</f>
        <v>35859</v>
      </c>
      <c r="H1768" s="16">
        <f>(OrderDetails[[#This Row],[UnitPrice]]*OrderDetails[[#This Row],[Quantity]])*(1-OrderDetails[[#This Row],[Discount]])</f>
        <v>90</v>
      </c>
      <c r="I1768" s="15" t="str">
        <f>_xlfn.XLOOKUP(OrderDetails[[#This Row],[ProductID]],Product!A:A,Product!G:G,"Not Found")</f>
        <v>Beverages</v>
      </c>
      <c r="J1768" s="15" t="str">
        <f>LOOKUP(MONTH(G1768),{1,4,7,10},{"Winter","Spring","Summer","Autumn"})</f>
        <v>Winter</v>
      </c>
      <c r="K1768" s="15" t="str">
        <f>_xlfn.XLOOKUP(OrderDetails[[#This Row],[ProductID]],Product!A:A,Product!B:B,"Not Found")</f>
        <v>Lakkalikööri</v>
      </c>
    </row>
    <row r="1769" spans="1:11">
      <c r="A1769" s="2">
        <v>10929</v>
      </c>
      <c r="B1769" s="2">
        <v>21</v>
      </c>
      <c r="C1769" s="2">
        <v>10</v>
      </c>
      <c r="D1769" s="2">
        <v>60</v>
      </c>
      <c r="E1769" s="4">
        <v>0</v>
      </c>
      <c r="F1769" s="1" t="str">
        <f>_xlfn.XLOOKUP(A1769,Orders!A:A,Orders!B:B,"not found")</f>
        <v>FRANK</v>
      </c>
      <c r="G1769" s="13">
        <f>_xlfn.XLOOKUP(OrderDetails[[#This Row],[OrderID]],Orders!A:A,Orders!C:C,"Not Found")</f>
        <v>35859</v>
      </c>
      <c r="H1769" s="16">
        <f>(OrderDetails[[#This Row],[UnitPrice]]*OrderDetails[[#This Row],[Quantity]])*(1-OrderDetails[[#This Row],[Discount]])</f>
        <v>600</v>
      </c>
      <c r="I1769" s="15" t="str">
        <f>_xlfn.XLOOKUP(OrderDetails[[#This Row],[ProductID]],Product!A:A,Product!G:G,"Not Found")</f>
        <v>Confections</v>
      </c>
      <c r="J1769" s="15" t="str">
        <f>LOOKUP(MONTH(G1769),{1,4,7,10},{"Winter","Spring","Summer","Autumn"})</f>
        <v>Winter</v>
      </c>
      <c r="K1769" s="15" t="str">
        <f>_xlfn.XLOOKUP(OrderDetails[[#This Row],[ProductID]],Product!A:A,Product!B:B,"Not Found")</f>
        <v>Sir Rodney's Scones</v>
      </c>
    </row>
    <row r="1770" spans="1:11">
      <c r="A1770" s="1">
        <v>10929</v>
      </c>
      <c r="B1770" s="1">
        <v>75</v>
      </c>
      <c r="C1770" s="1">
        <v>7.75</v>
      </c>
      <c r="D1770" s="1">
        <v>49</v>
      </c>
      <c r="E1770" s="3">
        <v>0</v>
      </c>
      <c r="F1770" s="1" t="str">
        <f>_xlfn.XLOOKUP(A1770,Orders!A:A,Orders!B:B,"not found")</f>
        <v>FRANK</v>
      </c>
      <c r="G1770" s="13">
        <f>_xlfn.XLOOKUP(OrderDetails[[#This Row],[OrderID]],Orders!A:A,Orders!C:C,"Not Found")</f>
        <v>35859</v>
      </c>
      <c r="H1770" s="16">
        <f>(OrderDetails[[#This Row],[UnitPrice]]*OrderDetails[[#This Row],[Quantity]])*(1-OrderDetails[[#This Row],[Discount]])</f>
        <v>379.75</v>
      </c>
      <c r="I1770" s="15" t="str">
        <f>_xlfn.XLOOKUP(OrderDetails[[#This Row],[ProductID]],Product!A:A,Product!G:G,"Not Found")</f>
        <v>Beverages</v>
      </c>
      <c r="J1770" s="15" t="str">
        <f>LOOKUP(MONTH(G1770),{1,4,7,10},{"Winter","Spring","Summer","Autumn"})</f>
        <v>Winter</v>
      </c>
      <c r="K1770" s="15" t="str">
        <f>_xlfn.XLOOKUP(OrderDetails[[#This Row],[ProductID]],Product!A:A,Product!B:B,"Not Found")</f>
        <v>Rhönbräu Klosterbier</v>
      </c>
    </row>
    <row r="1771" spans="1:11">
      <c r="A1771" s="2">
        <v>10929</v>
      </c>
      <c r="B1771" s="2">
        <v>77</v>
      </c>
      <c r="C1771" s="2">
        <v>13</v>
      </c>
      <c r="D1771" s="2">
        <v>15</v>
      </c>
      <c r="E1771" s="4">
        <v>0</v>
      </c>
      <c r="F1771" s="1" t="str">
        <f>_xlfn.XLOOKUP(A1771,Orders!A:A,Orders!B:B,"not found")</f>
        <v>FRANK</v>
      </c>
      <c r="G1771" s="13">
        <f>_xlfn.XLOOKUP(OrderDetails[[#This Row],[OrderID]],Orders!A:A,Orders!C:C,"Not Found")</f>
        <v>35859</v>
      </c>
      <c r="H1771" s="16">
        <f>(OrderDetails[[#This Row],[UnitPrice]]*OrderDetails[[#This Row],[Quantity]])*(1-OrderDetails[[#This Row],[Discount]])</f>
        <v>195</v>
      </c>
      <c r="I1771" s="15" t="str">
        <f>_xlfn.XLOOKUP(OrderDetails[[#This Row],[ProductID]],Product!A:A,Product!G:G,"Not Found")</f>
        <v>Condiments</v>
      </c>
      <c r="J1771" s="15" t="str">
        <f>LOOKUP(MONTH(G1771),{1,4,7,10},{"Winter","Spring","Summer","Autumn"})</f>
        <v>Winter</v>
      </c>
      <c r="K1771" s="15" t="str">
        <f>_xlfn.XLOOKUP(OrderDetails[[#This Row],[ProductID]],Product!A:A,Product!B:B,"Not Found")</f>
        <v>Original Frankfurter grüne Soße</v>
      </c>
    </row>
    <row r="1772" spans="1:11">
      <c r="A1772" s="1">
        <v>10930</v>
      </c>
      <c r="B1772" s="1">
        <v>21</v>
      </c>
      <c r="C1772" s="1">
        <v>10</v>
      </c>
      <c r="D1772" s="1">
        <v>36</v>
      </c>
      <c r="E1772" s="3">
        <v>0</v>
      </c>
      <c r="F1772" s="1" t="str">
        <f>_xlfn.XLOOKUP(A1772,Orders!A:A,Orders!B:B,"not found")</f>
        <v>SUPRD</v>
      </c>
      <c r="G1772" s="13">
        <f>_xlfn.XLOOKUP(OrderDetails[[#This Row],[OrderID]],Orders!A:A,Orders!C:C,"Not Found")</f>
        <v>35860</v>
      </c>
      <c r="H1772" s="16">
        <f>(OrderDetails[[#This Row],[UnitPrice]]*OrderDetails[[#This Row],[Quantity]])*(1-OrderDetails[[#This Row],[Discount]])</f>
        <v>360</v>
      </c>
      <c r="I1772" s="15" t="str">
        <f>_xlfn.XLOOKUP(OrderDetails[[#This Row],[ProductID]],Product!A:A,Product!G:G,"Not Found")</f>
        <v>Confections</v>
      </c>
      <c r="J1772" s="15" t="str">
        <f>LOOKUP(MONTH(G1772),{1,4,7,10},{"Winter","Spring","Summer","Autumn"})</f>
        <v>Winter</v>
      </c>
      <c r="K1772" s="15" t="str">
        <f>_xlfn.XLOOKUP(OrderDetails[[#This Row],[ProductID]],Product!A:A,Product!B:B,"Not Found")</f>
        <v>Sir Rodney's Scones</v>
      </c>
    </row>
    <row r="1773" spans="1:11">
      <c r="A1773" s="2">
        <v>10930</v>
      </c>
      <c r="B1773" s="2">
        <v>27</v>
      </c>
      <c r="C1773" s="2">
        <v>43.9</v>
      </c>
      <c r="D1773" s="2">
        <v>25</v>
      </c>
      <c r="E1773" s="4">
        <v>0</v>
      </c>
      <c r="F1773" s="1" t="str">
        <f>_xlfn.XLOOKUP(A1773,Orders!A:A,Orders!B:B,"not found")</f>
        <v>SUPRD</v>
      </c>
      <c r="G1773" s="13">
        <f>_xlfn.XLOOKUP(OrderDetails[[#This Row],[OrderID]],Orders!A:A,Orders!C:C,"Not Found")</f>
        <v>35860</v>
      </c>
      <c r="H1773" s="16">
        <f>(OrderDetails[[#This Row],[UnitPrice]]*OrderDetails[[#This Row],[Quantity]])*(1-OrderDetails[[#This Row],[Discount]])</f>
        <v>1097.5</v>
      </c>
      <c r="I1773" s="15" t="str">
        <f>_xlfn.XLOOKUP(OrderDetails[[#This Row],[ProductID]],Product!A:A,Product!G:G,"Not Found")</f>
        <v>Confections</v>
      </c>
      <c r="J1773" s="15" t="str">
        <f>LOOKUP(MONTH(G1773),{1,4,7,10},{"Winter","Spring","Summer","Autumn"})</f>
        <v>Winter</v>
      </c>
      <c r="K1773" s="15" t="str">
        <f>_xlfn.XLOOKUP(OrderDetails[[#This Row],[ProductID]],Product!A:A,Product!B:B,"Not Found")</f>
        <v>Schoggi Schokolade</v>
      </c>
    </row>
    <row r="1774" spans="1:11">
      <c r="A1774" s="1">
        <v>10930</v>
      </c>
      <c r="B1774" s="1">
        <v>55</v>
      </c>
      <c r="C1774" s="1">
        <v>24</v>
      </c>
      <c r="D1774" s="1">
        <v>25</v>
      </c>
      <c r="E1774" s="3">
        <v>0.20000000298023224</v>
      </c>
      <c r="F1774" s="1" t="str">
        <f>_xlfn.XLOOKUP(A1774,Orders!A:A,Orders!B:B,"not found")</f>
        <v>SUPRD</v>
      </c>
      <c r="G1774" s="13">
        <f>_xlfn.XLOOKUP(OrderDetails[[#This Row],[OrderID]],Orders!A:A,Orders!C:C,"Not Found")</f>
        <v>35860</v>
      </c>
      <c r="H1774" s="16">
        <f>(OrderDetails[[#This Row],[UnitPrice]]*OrderDetails[[#This Row],[Quantity]])*(1-OrderDetails[[#This Row],[Discount]])</f>
        <v>479.99999821186066</v>
      </c>
      <c r="I1774" s="15" t="str">
        <f>_xlfn.XLOOKUP(OrderDetails[[#This Row],[ProductID]],Product!A:A,Product!G:G,"Not Found")</f>
        <v>Meat/Poultry</v>
      </c>
      <c r="J1774" s="15" t="str">
        <f>LOOKUP(MONTH(G1774),{1,4,7,10},{"Winter","Spring","Summer","Autumn"})</f>
        <v>Winter</v>
      </c>
      <c r="K1774" s="15" t="str">
        <f>_xlfn.XLOOKUP(OrderDetails[[#This Row],[ProductID]],Product!A:A,Product!B:B,"Not Found")</f>
        <v>Pâté chinois</v>
      </c>
    </row>
    <row r="1775" spans="1:11">
      <c r="A1775" s="2">
        <v>10930</v>
      </c>
      <c r="B1775" s="2">
        <v>58</v>
      </c>
      <c r="C1775" s="2">
        <v>13.25</v>
      </c>
      <c r="D1775" s="2">
        <v>30</v>
      </c>
      <c r="E1775" s="4">
        <v>0.20000000298023224</v>
      </c>
      <c r="F1775" s="1" t="str">
        <f>_xlfn.XLOOKUP(A1775,Orders!A:A,Orders!B:B,"not found")</f>
        <v>SUPRD</v>
      </c>
      <c r="G1775" s="13">
        <f>_xlfn.XLOOKUP(OrderDetails[[#This Row],[OrderID]],Orders!A:A,Orders!C:C,"Not Found")</f>
        <v>35860</v>
      </c>
      <c r="H1775" s="16">
        <f>(OrderDetails[[#This Row],[UnitPrice]]*OrderDetails[[#This Row],[Quantity]])*(1-OrderDetails[[#This Row],[Discount]])</f>
        <v>317.99999881535769</v>
      </c>
      <c r="I1775" s="15" t="str">
        <f>_xlfn.XLOOKUP(OrderDetails[[#This Row],[ProductID]],Product!A:A,Product!G:G,"Not Found")</f>
        <v>Seafood</v>
      </c>
      <c r="J1775" s="15" t="str">
        <f>LOOKUP(MONTH(G1775),{1,4,7,10},{"Winter","Spring","Summer","Autumn"})</f>
        <v>Winter</v>
      </c>
      <c r="K1775" s="15" t="str">
        <f>_xlfn.XLOOKUP(OrderDetails[[#This Row],[ProductID]],Product!A:A,Product!B:B,"Not Found")</f>
        <v>Escargots de Bourgogne</v>
      </c>
    </row>
    <row r="1776" spans="1:11">
      <c r="A1776" s="1">
        <v>10931</v>
      </c>
      <c r="B1776" s="1">
        <v>13</v>
      </c>
      <c r="C1776" s="1">
        <v>6</v>
      </c>
      <c r="D1776" s="1">
        <v>42</v>
      </c>
      <c r="E1776" s="3">
        <v>0.15000000596046448</v>
      </c>
      <c r="F1776" s="1" t="str">
        <f>_xlfn.XLOOKUP(A1776,Orders!A:A,Orders!B:B,"not found")</f>
        <v>RICSU</v>
      </c>
      <c r="G1776" s="13">
        <f>_xlfn.XLOOKUP(OrderDetails[[#This Row],[OrderID]],Orders!A:A,Orders!C:C,"Not Found")</f>
        <v>35860</v>
      </c>
      <c r="H1776" s="16">
        <f>(OrderDetails[[#This Row],[UnitPrice]]*OrderDetails[[#This Row],[Quantity]])*(1-OrderDetails[[#This Row],[Discount]])</f>
        <v>214.19999849796295</v>
      </c>
      <c r="I1776" s="15" t="str">
        <f>_xlfn.XLOOKUP(OrderDetails[[#This Row],[ProductID]],Product!A:A,Product!G:G,"Not Found")</f>
        <v>Seafood</v>
      </c>
      <c r="J1776" s="15" t="str">
        <f>LOOKUP(MONTH(G1776),{1,4,7,10},{"Winter","Spring","Summer","Autumn"})</f>
        <v>Winter</v>
      </c>
      <c r="K1776" s="15" t="str">
        <f>_xlfn.XLOOKUP(OrderDetails[[#This Row],[ProductID]],Product!A:A,Product!B:B,"Not Found")</f>
        <v>Konbu</v>
      </c>
    </row>
    <row r="1777" spans="1:11">
      <c r="A1777" s="2">
        <v>10931</v>
      </c>
      <c r="B1777" s="2">
        <v>57</v>
      </c>
      <c r="C1777" s="2">
        <v>19.5</v>
      </c>
      <c r="D1777" s="2">
        <v>30</v>
      </c>
      <c r="E1777" s="4">
        <v>0</v>
      </c>
      <c r="F1777" s="1" t="str">
        <f>_xlfn.XLOOKUP(A1777,Orders!A:A,Orders!B:B,"not found")</f>
        <v>RICSU</v>
      </c>
      <c r="G1777" s="13">
        <f>_xlfn.XLOOKUP(OrderDetails[[#This Row],[OrderID]],Orders!A:A,Orders!C:C,"Not Found")</f>
        <v>35860</v>
      </c>
      <c r="H1777" s="16">
        <f>(OrderDetails[[#This Row],[UnitPrice]]*OrderDetails[[#This Row],[Quantity]])*(1-OrderDetails[[#This Row],[Discount]])</f>
        <v>585</v>
      </c>
      <c r="I1777" s="15" t="str">
        <f>_xlfn.XLOOKUP(OrderDetails[[#This Row],[ProductID]],Product!A:A,Product!G:G,"Not Found")</f>
        <v>Grains/Cereals</v>
      </c>
      <c r="J1777" s="15" t="str">
        <f>LOOKUP(MONTH(G1777),{1,4,7,10},{"Winter","Spring","Summer","Autumn"})</f>
        <v>Winter</v>
      </c>
      <c r="K1777" s="15" t="str">
        <f>_xlfn.XLOOKUP(OrderDetails[[#This Row],[ProductID]],Product!A:A,Product!B:B,"Not Found")</f>
        <v>Ravioli Angelo</v>
      </c>
    </row>
    <row r="1778" spans="1:11">
      <c r="A1778" s="1">
        <v>10932</v>
      </c>
      <c r="B1778" s="1">
        <v>16</v>
      </c>
      <c r="C1778" s="1">
        <v>17.45</v>
      </c>
      <c r="D1778" s="1">
        <v>30</v>
      </c>
      <c r="E1778" s="3">
        <v>0.10000000149011612</v>
      </c>
      <c r="F1778" s="1" t="str">
        <f>_xlfn.XLOOKUP(A1778,Orders!A:A,Orders!B:B,"not found")</f>
        <v>BONAP</v>
      </c>
      <c r="G1778" s="13">
        <f>_xlfn.XLOOKUP(OrderDetails[[#This Row],[OrderID]],Orders!A:A,Orders!C:C,"Not Found")</f>
        <v>35860</v>
      </c>
      <c r="H1778" s="16">
        <f>(OrderDetails[[#This Row],[UnitPrice]]*OrderDetails[[#This Row],[Quantity]])*(1-OrderDetails[[#This Row],[Discount]])</f>
        <v>471.14999921992421</v>
      </c>
      <c r="I1778" s="15" t="str">
        <f>_xlfn.XLOOKUP(OrderDetails[[#This Row],[ProductID]],Product!A:A,Product!G:G,"Not Found")</f>
        <v>Confections</v>
      </c>
      <c r="J1778" s="15" t="str">
        <f>LOOKUP(MONTH(G1778),{1,4,7,10},{"Winter","Spring","Summer","Autumn"})</f>
        <v>Winter</v>
      </c>
      <c r="K1778" s="15" t="str">
        <f>_xlfn.XLOOKUP(OrderDetails[[#This Row],[ProductID]],Product!A:A,Product!B:B,"Not Found")</f>
        <v>Pavlova</v>
      </c>
    </row>
    <row r="1779" spans="1:11">
      <c r="A1779" s="2">
        <v>10932</v>
      </c>
      <c r="B1779" s="2">
        <v>62</v>
      </c>
      <c r="C1779" s="2">
        <v>49.3</v>
      </c>
      <c r="D1779" s="2">
        <v>14</v>
      </c>
      <c r="E1779" s="4">
        <v>0.10000000149011612</v>
      </c>
      <c r="F1779" s="1" t="str">
        <f>_xlfn.XLOOKUP(A1779,Orders!A:A,Orders!B:B,"not found")</f>
        <v>BONAP</v>
      </c>
      <c r="G1779" s="13">
        <f>_xlfn.XLOOKUP(OrderDetails[[#This Row],[OrderID]],Orders!A:A,Orders!C:C,"Not Found")</f>
        <v>35860</v>
      </c>
      <c r="H1779" s="16">
        <f>(OrderDetails[[#This Row],[UnitPrice]]*OrderDetails[[#This Row],[Quantity]])*(1-OrderDetails[[#This Row],[Discount]])</f>
        <v>621.17999897152174</v>
      </c>
      <c r="I1779" s="15" t="str">
        <f>_xlfn.XLOOKUP(OrderDetails[[#This Row],[ProductID]],Product!A:A,Product!G:G,"Not Found")</f>
        <v>Confections</v>
      </c>
      <c r="J1779" s="15" t="str">
        <f>LOOKUP(MONTH(G1779),{1,4,7,10},{"Winter","Spring","Summer","Autumn"})</f>
        <v>Winter</v>
      </c>
      <c r="K1779" s="15" t="str">
        <f>_xlfn.XLOOKUP(OrderDetails[[#This Row],[ProductID]],Product!A:A,Product!B:B,"Not Found")</f>
        <v>Tarte au sucre</v>
      </c>
    </row>
    <row r="1780" spans="1:11">
      <c r="A1780" s="1">
        <v>10932</v>
      </c>
      <c r="B1780" s="1">
        <v>72</v>
      </c>
      <c r="C1780" s="1">
        <v>34.799999999999997</v>
      </c>
      <c r="D1780" s="1">
        <v>16</v>
      </c>
      <c r="E1780" s="3">
        <v>0</v>
      </c>
      <c r="F1780" s="1" t="str">
        <f>_xlfn.XLOOKUP(A1780,Orders!A:A,Orders!B:B,"not found")</f>
        <v>BONAP</v>
      </c>
      <c r="G1780" s="13">
        <f>_xlfn.XLOOKUP(OrderDetails[[#This Row],[OrderID]],Orders!A:A,Orders!C:C,"Not Found")</f>
        <v>35860</v>
      </c>
      <c r="H1780" s="16">
        <f>(OrderDetails[[#This Row],[UnitPrice]]*OrderDetails[[#This Row],[Quantity]])*(1-OrderDetails[[#This Row],[Discount]])</f>
        <v>556.79999999999995</v>
      </c>
      <c r="I1780" s="15" t="str">
        <f>_xlfn.XLOOKUP(OrderDetails[[#This Row],[ProductID]],Product!A:A,Product!G:G,"Not Found")</f>
        <v>Dairy Products</v>
      </c>
      <c r="J1780" s="15" t="str">
        <f>LOOKUP(MONTH(G1780),{1,4,7,10},{"Winter","Spring","Summer","Autumn"})</f>
        <v>Winter</v>
      </c>
      <c r="K1780" s="15" t="str">
        <f>_xlfn.XLOOKUP(OrderDetails[[#This Row],[ProductID]],Product!A:A,Product!B:B,"Not Found")</f>
        <v>Mozzarella di Giovanni</v>
      </c>
    </row>
    <row r="1781" spans="1:11">
      <c r="A1781" s="2">
        <v>10932</v>
      </c>
      <c r="B1781" s="2">
        <v>75</v>
      </c>
      <c r="C1781" s="2">
        <v>7.75</v>
      </c>
      <c r="D1781" s="2">
        <v>20</v>
      </c>
      <c r="E1781" s="4">
        <v>0.10000000149011612</v>
      </c>
      <c r="F1781" s="1" t="str">
        <f>_xlfn.XLOOKUP(A1781,Orders!A:A,Orders!B:B,"not found")</f>
        <v>BONAP</v>
      </c>
      <c r="G1781" s="13">
        <f>_xlfn.XLOOKUP(OrderDetails[[#This Row],[OrderID]],Orders!A:A,Orders!C:C,"Not Found")</f>
        <v>35860</v>
      </c>
      <c r="H1781" s="16">
        <f>(OrderDetails[[#This Row],[UnitPrice]]*OrderDetails[[#This Row],[Quantity]])*(1-OrderDetails[[#This Row],[Discount]])</f>
        <v>139.499999769032</v>
      </c>
      <c r="I1781" s="15" t="str">
        <f>_xlfn.XLOOKUP(OrderDetails[[#This Row],[ProductID]],Product!A:A,Product!G:G,"Not Found")</f>
        <v>Beverages</v>
      </c>
      <c r="J1781" s="15" t="str">
        <f>LOOKUP(MONTH(G1781),{1,4,7,10},{"Winter","Spring","Summer","Autumn"})</f>
        <v>Winter</v>
      </c>
      <c r="K1781" s="15" t="str">
        <f>_xlfn.XLOOKUP(OrderDetails[[#This Row],[ProductID]],Product!A:A,Product!B:B,"Not Found")</f>
        <v>Rhönbräu Klosterbier</v>
      </c>
    </row>
    <row r="1782" spans="1:11">
      <c r="A1782" s="1">
        <v>10933</v>
      </c>
      <c r="B1782" s="1">
        <v>53</v>
      </c>
      <c r="C1782" s="1">
        <v>32.799999999999997</v>
      </c>
      <c r="D1782" s="1">
        <v>2</v>
      </c>
      <c r="E1782" s="3">
        <v>0</v>
      </c>
      <c r="F1782" s="1" t="str">
        <f>_xlfn.XLOOKUP(A1782,Orders!A:A,Orders!B:B,"not found")</f>
        <v>ISLAT</v>
      </c>
      <c r="G1782" s="13">
        <f>_xlfn.XLOOKUP(OrderDetails[[#This Row],[OrderID]],Orders!A:A,Orders!C:C,"Not Found")</f>
        <v>35860</v>
      </c>
      <c r="H1782" s="16">
        <f>(OrderDetails[[#This Row],[UnitPrice]]*OrderDetails[[#This Row],[Quantity]])*(1-OrderDetails[[#This Row],[Discount]])</f>
        <v>65.599999999999994</v>
      </c>
      <c r="I1782" s="15" t="str">
        <f>_xlfn.XLOOKUP(OrderDetails[[#This Row],[ProductID]],Product!A:A,Product!G:G,"Not Found")</f>
        <v>Meat/Poultry</v>
      </c>
      <c r="J1782" s="15" t="str">
        <f>LOOKUP(MONTH(G1782),{1,4,7,10},{"Winter","Spring","Summer","Autumn"})</f>
        <v>Winter</v>
      </c>
      <c r="K1782" s="15" t="str">
        <f>_xlfn.XLOOKUP(OrderDetails[[#This Row],[ProductID]],Product!A:A,Product!B:B,"Not Found")</f>
        <v>Perth Pasties</v>
      </c>
    </row>
    <row r="1783" spans="1:11">
      <c r="A1783" s="2">
        <v>10933</v>
      </c>
      <c r="B1783" s="2">
        <v>61</v>
      </c>
      <c r="C1783" s="2">
        <v>28.5</v>
      </c>
      <c r="D1783" s="2">
        <v>30</v>
      </c>
      <c r="E1783" s="4">
        <v>0</v>
      </c>
      <c r="F1783" s="1" t="str">
        <f>_xlfn.XLOOKUP(A1783,Orders!A:A,Orders!B:B,"not found")</f>
        <v>ISLAT</v>
      </c>
      <c r="G1783" s="13">
        <f>_xlfn.XLOOKUP(OrderDetails[[#This Row],[OrderID]],Orders!A:A,Orders!C:C,"Not Found")</f>
        <v>35860</v>
      </c>
      <c r="H1783" s="16">
        <f>(OrderDetails[[#This Row],[UnitPrice]]*OrderDetails[[#This Row],[Quantity]])*(1-OrderDetails[[#This Row],[Discount]])</f>
        <v>855</v>
      </c>
      <c r="I1783" s="15" t="str">
        <f>_xlfn.XLOOKUP(OrderDetails[[#This Row],[ProductID]],Product!A:A,Product!G:G,"Not Found")</f>
        <v>Condiments</v>
      </c>
      <c r="J1783" s="15" t="str">
        <f>LOOKUP(MONTH(G1783),{1,4,7,10},{"Winter","Spring","Summer","Autumn"})</f>
        <v>Winter</v>
      </c>
      <c r="K1783" s="15" t="str">
        <f>_xlfn.XLOOKUP(OrderDetails[[#This Row],[ProductID]],Product!A:A,Product!B:B,"Not Found")</f>
        <v>Sirop d'érable</v>
      </c>
    </row>
    <row r="1784" spans="1:11">
      <c r="A1784" s="1">
        <v>10934</v>
      </c>
      <c r="B1784" s="1">
        <v>6</v>
      </c>
      <c r="C1784" s="1">
        <v>25</v>
      </c>
      <c r="D1784" s="1">
        <v>20</v>
      </c>
      <c r="E1784" s="3">
        <v>0</v>
      </c>
      <c r="F1784" s="1" t="str">
        <f>_xlfn.XLOOKUP(A1784,Orders!A:A,Orders!B:B,"not found")</f>
        <v>LEHMS</v>
      </c>
      <c r="G1784" s="13">
        <f>_xlfn.XLOOKUP(OrderDetails[[#This Row],[OrderID]],Orders!A:A,Orders!C:C,"Not Found")</f>
        <v>35863</v>
      </c>
      <c r="H1784" s="16">
        <f>(OrderDetails[[#This Row],[UnitPrice]]*OrderDetails[[#This Row],[Quantity]])*(1-OrderDetails[[#This Row],[Discount]])</f>
        <v>500</v>
      </c>
      <c r="I1784" s="15" t="str">
        <f>_xlfn.XLOOKUP(OrderDetails[[#This Row],[ProductID]],Product!A:A,Product!G:G,"Not Found")</f>
        <v>Condiments</v>
      </c>
      <c r="J1784" s="15" t="str">
        <f>LOOKUP(MONTH(G1784),{1,4,7,10},{"Winter","Spring","Summer","Autumn"})</f>
        <v>Winter</v>
      </c>
      <c r="K1784" s="15" t="str">
        <f>_xlfn.XLOOKUP(OrderDetails[[#This Row],[ProductID]],Product!A:A,Product!B:B,"Not Found")</f>
        <v>Grandma's Boysenberry Spread</v>
      </c>
    </row>
    <row r="1785" spans="1:11">
      <c r="A1785" s="2">
        <v>10935</v>
      </c>
      <c r="B1785" s="2">
        <v>1</v>
      </c>
      <c r="C1785" s="2">
        <v>18</v>
      </c>
      <c r="D1785" s="2">
        <v>21</v>
      </c>
      <c r="E1785" s="4">
        <v>0</v>
      </c>
      <c r="F1785" s="1" t="str">
        <f>_xlfn.XLOOKUP(A1785,Orders!A:A,Orders!B:B,"not found")</f>
        <v>WELLI</v>
      </c>
      <c r="G1785" s="13">
        <f>_xlfn.XLOOKUP(OrderDetails[[#This Row],[OrderID]],Orders!A:A,Orders!C:C,"Not Found")</f>
        <v>35863</v>
      </c>
      <c r="H1785" s="16">
        <f>(OrderDetails[[#This Row],[UnitPrice]]*OrderDetails[[#This Row],[Quantity]])*(1-OrderDetails[[#This Row],[Discount]])</f>
        <v>378</v>
      </c>
      <c r="I1785" s="15" t="str">
        <f>_xlfn.XLOOKUP(OrderDetails[[#This Row],[ProductID]],Product!A:A,Product!G:G,"Not Found")</f>
        <v>Beverages</v>
      </c>
      <c r="J1785" s="15" t="str">
        <f>LOOKUP(MONTH(G1785),{1,4,7,10},{"Winter","Spring","Summer","Autumn"})</f>
        <v>Winter</v>
      </c>
      <c r="K1785" s="15" t="str">
        <f>_xlfn.XLOOKUP(OrderDetails[[#This Row],[ProductID]],Product!A:A,Product!B:B,"Not Found")</f>
        <v>Chai</v>
      </c>
    </row>
    <row r="1786" spans="1:11">
      <c r="A1786" s="1">
        <v>10935</v>
      </c>
      <c r="B1786" s="1">
        <v>18</v>
      </c>
      <c r="C1786" s="1">
        <v>62.5</v>
      </c>
      <c r="D1786" s="1">
        <v>4</v>
      </c>
      <c r="E1786" s="3">
        <v>0.25</v>
      </c>
      <c r="F1786" s="1" t="str">
        <f>_xlfn.XLOOKUP(A1786,Orders!A:A,Orders!B:B,"not found")</f>
        <v>WELLI</v>
      </c>
      <c r="G1786" s="13">
        <f>_xlfn.XLOOKUP(OrderDetails[[#This Row],[OrderID]],Orders!A:A,Orders!C:C,"Not Found")</f>
        <v>35863</v>
      </c>
      <c r="H1786" s="16">
        <f>(OrderDetails[[#This Row],[UnitPrice]]*OrderDetails[[#This Row],[Quantity]])*(1-OrderDetails[[#This Row],[Discount]])</f>
        <v>187.5</v>
      </c>
      <c r="I1786" s="15" t="str">
        <f>_xlfn.XLOOKUP(OrderDetails[[#This Row],[ProductID]],Product!A:A,Product!G:G,"Not Found")</f>
        <v>Seafood</v>
      </c>
      <c r="J1786" s="15" t="str">
        <f>LOOKUP(MONTH(G1786),{1,4,7,10},{"Winter","Spring","Summer","Autumn"})</f>
        <v>Winter</v>
      </c>
      <c r="K1786" s="15" t="str">
        <f>_xlfn.XLOOKUP(OrderDetails[[#This Row],[ProductID]],Product!A:A,Product!B:B,"Not Found")</f>
        <v>Carnarvon Tigers</v>
      </c>
    </row>
    <row r="1787" spans="1:11">
      <c r="A1787" s="2">
        <v>10935</v>
      </c>
      <c r="B1787" s="2">
        <v>23</v>
      </c>
      <c r="C1787" s="2">
        <v>9</v>
      </c>
      <c r="D1787" s="2">
        <v>8</v>
      </c>
      <c r="E1787" s="4">
        <v>0.25</v>
      </c>
      <c r="F1787" s="1" t="str">
        <f>_xlfn.XLOOKUP(A1787,Orders!A:A,Orders!B:B,"not found")</f>
        <v>WELLI</v>
      </c>
      <c r="G1787" s="13">
        <f>_xlfn.XLOOKUP(OrderDetails[[#This Row],[OrderID]],Orders!A:A,Orders!C:C,"Not Found")</f>
        <v>35863</v>
      </c>
      <c r="H1787" s="16">
        <f>(OrderDetails[[#This Row],[UnitPrice]]*OrderDetails[[#This Row],[Quantity]])*(1-OrderDetails[[#This Row],[Discount]])</f>
        <v>54</v>
      </c>
      <c r="I1787" s="15" t="str">
        <f>_xlfn.XLOOKUP(OrderDetails[[#This Row],[ProductID]],Product!A:A,Product!G:G,"Not Found")</f>
        <v>Grains/Cereals</v>
      </c>
      <c r="J1787" s="15" t="str">
        <f>LOOKUP(MONTH(G1787),{1,4,7,10},{"Winter","Spring","Summer","Autumn"})</f>
        <v>Winter</v>
      </c>
      <c r="K1787" s="15" t="str">
        <f>_xlfn.XLOOKUP(OrderDetails[[#This Row],[ProductID]],Product!A:A,Product!B:B,"Not Found")</f>
        <v>Tunnbröd</v>
      </c>
    </row>
    <row r="1788" spans="1:11">
      <c r="A1788" s="1">
        <v>10936</v>
      </c>
      <c r="B1788" s="1">
        <v>36</v>
      </c>
      <c r="C1788" s="1">
        <v>19</v>
      </c>
      <c r="D1788" s="1">
        <v>30</v>
      </c>
      <c r="E1788" s="3">
        <v>0.20000000298023224</v>
      </c>
      <c r="F1788" s="1" t="str">
        <f>_xlfn.XLOOKUP(A1788,Orders!A:A,Orders!B:B,"not found")</f>
        <v>GREAL</v>
      </c>
      <c r="G1788" s="13">
        <f>_xlfn.XLOOKUP(OrderDetails[[#This Row],[OrderID]],Orders!A:A,Orders!C:C,"Not Found")</f>
        <v>35863</v>
      </c>
      <c r="H1788" s="16">
        <f>(OrderDetails[[#This Row],[UnitPrice]]*OrderDetails[[#This Row],[Quantity]])*(1-OrderDetails[[#This Row],[Discount]])</f>
        <v>455.99999830126762</v>
      </c>
      <c r="I1788" s="15" t="str">
        <f>_xlfn.XLOOKUP(OrderDetails[[#This Row],[ProductID]],Product!A:A,Product!G:G,"Not Found")</f>
        <v>Seafood</v>
      </c>
      <c r="J1788" s="15" t="str">
        <f>LOOKUP(MONTH(G1788),{1,4,7,10},{"Winter","Spring","Summer","Autumn"})</f>
        <v>Winter</v>
      </c>
      <c r="K1788" s="15" t="str">
        <f>_xlfn.XLOOKUP(OrderDetails[[#This Row],[ProductID]],Product!A:A,Product!B:B,"Not Found")</f>
        <v>Inlagd Sill</v>
      </c>
    </row>
    <row r="1789" spans="1:11">
      <c r="A1789" s="2">
        <v>10937</v>
      </c>
      <c r="B1789" s="2">
        <v>28</v>
      </c>
      <c r="C1789" s="2">
        <v>45.6</v>
      </c>
      <c r="D1789" s="2">
        <v>8</v>
      </c>
      <c r="E1789" s="4">
        <v>0</v>
      </c>
      <c r="F1789" s="1" t="str">
        <f>_xlfn.XLOOKUP(A1789,Orders!A:A,Orders!B:B,"not found")</f>
        <v>CACTU</v>
      </c>
      <c r="G1789" s="13">
        <f>_xlfn.XLOOKUP(OrderDetails[[#This Row],[OrderID]],Orders!A:A,Orders!C:C,"Not Found")</f>
        <v>35864</v>
      </c>
      <c r="H1789" s="16">
        <f>(OrderDetails[[#This Row],[UnitPrice]]*OrderDetails[[#This Row],[Quantity]])*(1-OrderDetails[[#This Row],[Discount]])</f>
        <v>364.8</v>
      </c>
      <c r="I1789" s="15" t="str">
        <f>_xlfn.XLOOKUP(OrderDetails[[#This Row],[ProductID]],Product!A:A,Product!G:G,"Not Found")</f>
        <v>Produce</v>
      </c>
      <c r="J1789" s="15" t="str">
        <f>LOOKUP(MONTH(G1789),{1,4,7,10},{"Winter","Spring","Summer","Autumn"})</f>
        <v>Winter</v>
      </c>
      <c r="K1789" s="15" t="str">
        <f>_xlfn.XLOOKUP(OrderDetails[[#This Row],[ProductID]],Product!A:A,Product!B:B,"Not Found")</f>
        <v>Rössle Sauerkraut</v>
      </c>
    </row>
    <row r="1790" spans="1:11">
      <c r="A1790" s="1">
        <v>10937</v>
      </c>
      <c r="B1790" s="1">
        <v>34</v>
      </c>
      <c r="C1790" s="1">
        <v>14</v>
      </c>
      <c r="D1790" s="1">
        <v>20</v>
      </c>
      <c r="E1790" s="3">
        <v>0</v>
      </c>
      <c r="F1790" s="1" t="str">
        <f>_xlfn.XLOOKUP(A1790,Orders!A:A,Orders!B:B,"not found")</f>
        <v>CACTU</v>
      </c>
      <c r="G1790" s="13">
        <f>_xlfn.XLOOKUP(OrderDetails[[#This Row],[OrderID]],Orders!A:A,Orders!C:C,"Not Found")</f>
        <v>35864</v>
      </c>
      <c r="H1790" s="16">
        <f>(OrderDetails[[#This Row],[UnitPrice]]*OrderDetails[[#This Row],[Quantity]])*(1-OrderDetails[[#This Row],[Discount]])</f>
        <v>280</v>
      </c>
      <c r="I1790" s="15" t="str">
        <f>_xlfn.XLOOKUP(OrderDetails[[#This Row],[ProductID]],Product!A:A,Product!G:G,"Not Found")</f>
        <v>Beverages</v>
      </c>
      <c r="J1790" s="15" t="str">
        <f>LOOKUP(MONTH(G1790),{1,4,7,10},{"Winter","Spring","Summer","Autumn"})</f>
        <v>Winter</v>
      </c>
      <c r="K1790" s="15" t="str">
        <f>_xlfn.XLOOKUP(OrderDetails[[#This Row],[ProductID]],Product!A:A,Product!B:B,"Not Found")</f>
        <v>Sasquatch Ale</v>
      </c>
    </row>
    <row r="1791" spans="1:11">
      <c r="A1791" s="2">
        <v>10938</v>
      </c>
      <c r="B1791" s="2">
        <v>13</v>
      </c>
      <c r="C1791" s="2">
        <v>6</v>
      </c>
      <c r="D1791" s="2">
        <v>20</v>
      </c>
      <c r="E1791" s="4">
        <v>0.25</v>
      </c>
      <c r="F1791" s="1" t="str">
        <f>_xlfn.XLOOKUP(A1791,Orders!A:A,Orders!B:B,"not found")</f>
        <v>QUICK</v>
      </c>
      <c r="G1791" s="13">
        <f>_xlfn.XLOOKUP(OrderDetails[[#This Row],[OrderID]],Orders!A:A,Orders!C:C,"Not Found")</f>
        <v>35864</v>
      </c>
      <c r="H1791" s="16">
        <f>(OrderDetails[[#This Row],[UnitPrice]]*OrderDetails[[#This Row],[Quantity]])*(1-OrderDetails[[#This Row],[Discount]])</f>
        <v>90</v>
      </c>
      <c r="I1791" s="15" t="str">
        <f>_xlfn.XLOOKUP(OrderDetails[[#This Row],[ProductID]],Product!A:A,Product!G:G,"Not Found")</f>
        <v>Seafood</v>
      </c>
      <c r="J1791" s="15" t="str">
        <f>LOOKUP(MONTH(G1791),{1,4,7,10},{"Winter","Spring","Summer","Autumn"})</f>
        <v>Winter</v>
      </c>
      <c r="K1791" s="15" t="str">
        <f>_xlfn.XLOOKUP(OrderDetails[[#This Row],[ProductID]],Product!A:A,Product!B:B,"Not Found")</f>
        <v>Konbu</v>
      </c>
    </row>
    <row r="1792" spans="1:11">
      <c r="A1792" s="1">
        <v>10938</v>
      </c>
      <c r="B1792" s="1">
        <v>43</v>
      </c>
      <c r="C1792" s="1">
        <v>46</v>
      </c>
      <c r="D1792" s="1">
        <v>24</v>
      </c>
      <c r="E1792" s="3">
        <v>0.25</v>
      </c>
      <c r="F1792" s="1" t="str">
        <f>_xlfn.XLOOKUP(A1792,Orders!A:A,Orders!B:B,"not found")</f>
        <v>QUICK</v>
      </c>
      <c r="G1792" s="13">
        <f>_xlfn.XLOOKUP(OrderDetails[[#This Row],[OrderID]],Orders!A:A,Orders!C:C,"Not Found")</f>
        <v>35864</v>
      </c>
      <c r="H1792" s="16">
        <f>(OrderDetails[[#This Row],[UnitPrice]]*OrderDetails[[#This Row],[Quantity]])*(1-OrderDetails[[#This Row],[Discount]])</f>
        <v>828</v>
      </c>
      <c r="I1792" s="15" t="str">
        <f>_xlfn.XLOOKUP(OrderDetails[[#This Row],[ProductID]],Product!A:A,Product!G:G,"Not Found")</f>
        <v>Beverages</v>
      </c>
      <c r="J1792" s="15" t="str">
        <f>LOOKUP(MONTH(G1792),{1,4,7,10},{"Winter","Spring","Summer","Autumn"})</f>
        <v>Winter</v>
      </c>
      <c r="K1792" s="15" t="str">
        <f>_xlfn.XLOOKUP(OrderDetails[[#This Row],[ProductID]],Product!A:A,Product!B:B,"Not Found")</f>
        <v>Ipoh Coffee</v>
      </c>
    </row>
    <row r="1793" spans="1:11">
      <c r="A1793" s="2">
        <v>10938</v>
      </c>
      <c r="B1793" s="2">
        <v>60</v>
      </c>
      <c r="C1793" s="2">
        <v>34</v>
      </c>
      <c r="D1793" s="2">
        <v>49</v>
      </c>
      <c r="E1793" s="4">
        <v>0.25</v>
      </c>
      <c r="F1793" s="1" t="str">
        <f>_xlfn.XLOOKUP(A1793,Orders!A:A,Orders!B:B,"not found")</f>
        <v>QUICK</v>
      </c>
      <c r="G1793" s="13">
        <f>_xlfn.XLOOKUP(OrderDetails[[#This Row],[OrderID]],Orders!A:A,Orders!C:C,"Not Found")</f>
        <v>35864</v>
      </c>
      <c r="H1793" s="16">
        <f>(OrderDetails[[#This Row],[UnitPrice]]*OrderDetails[[#This Row],[Quantity]])*(1-OrderDetails[[#This Row],[Discount]])</f>
        <v>1249.5</v>
      </c>
      <c r="I1793" s="15" t="str">
        <f>_xlfn.XLOOKUP(OrderDetails[[#This Row],[ProductID]],Product!A:A,Product!G:G,"Not Found")</f>
        <v>Dairy Products</v>
      </c>
      <c r="J1793" s="15" t="str">
        <f>LOOKUP(MONTH(G1793),{1,4,7,10},{"Winter","Spring","Summer","Autumn"})</f>
        <v>Winter</v>
      </c>
      <c r="K1793" s="15" t="str">
        <f>_xlfn.XLOOKUP(OrderDetails[[#This Row],[ProductID]],Product!A:A,Product!B:B,"Not Found")</f>
        <v>Camembert Pierrot</v>
      </c>
    </row>
    <row r="1794" spans="1:11">
      <c r="A1794" s="1">
        <v>10938</v>
      </c>
      <c r="B1794" s="1">
        <v>71</v>
      </c>
      <c r="C1794" s="1">
        <v>21.5</v>
      </c>
      <c r="D1794" s="1">
        <v>35</v>
      </c>
      <c r="E1794" s="3">
        <v>0.25</v>
      </c>
      <c r="F1794" s="1" t="str">
        <f>_xlfn.XLOOKUP(A1794,Orders!A:A,Orders!B:B,"not found")</f>
        <v>QUICK</v>
      </c>
      <c r="G1794" s="13">
        <f>_xlfn.XLOOKUP(OrderDetails[[#This Row],[OrderID]],Orders!A:A,Orders!C:C,"Not Found")</f>
        <v>35864</v>
      </c>
      <c r="H1794" s="16">
        <f>(OrderDetails[[#This Row],[UnitPrice]]*OrderDetails[[#This Row],[Quantity]])*(1-OrderDetails[[#This Row],[Discount]])</f>
        <v>564.375</v>
      </c>
      <c r="I1794" s="15" t="str">
        <f>_xlfn.XLOOKUP(OrderDetails[[#This Row],[ProductID]],Product!A:A,Product!G:G,"Not Found")</f>
        <v>Dairy Products</v>
      </c>
      <c r="J1794" s="15" t="str">
        <f>LOOKUP(MONTH(G1794),{1,4,7,10},{"Winter","Spring","Summer","Autumn"})</f>
        <v>Winter</v>
      </c>
      <c r="K1794" s="15" t="str">
        <f>_xlfn.XLOOKUP(OrderDetails[[#This Row],[ProductID]],Product!A:A,Product!B:B,"Not Found")</f>
        <v>Flotemysost</v>
      </c>
    </row>
    <row r="1795" spans="1:11">
      <c r="A1795" s="2">
        <v>10939</v>
      </c>
      <c r="B1795" s="2">
        <v>2</v>
      </c>
      <c r="C1795" s="2">
        <v>19</v>
      </c>
      <c r="D1795" s="2">
        <v>10</v>
      </c>
      <c r="E1795" s="4">
        <v>0.15000000596046448</v>
      </c>
      <c r="F1795" s="1" t="str">
        <f>_xlfn.XLOOKUP(A1795,Orders!A:A,Orders!B:B,"not found")</f>
        <v>MAGAA</v>
      </c>
      <c r="G1795" s="13">
        <f>_xlfn.XLOOKUP(OrderDetails[[#This Row],[OrderID]],Orders!A:A,Orders!C:C,"Not Found")</f>
        <v>35864</v>
      </c>
      <c r="H1795" s="16">
        <f>(OrderDetails[[#This Row],[UnitPrice]]*OrderDetails[[#This Row],[Quantity]])*(1-OrderDetails[[#This Row],[Discount]])</f>
        <v>161.49999886751175</v>
      </c>
      <c r="I1795" s="15" t="str">
        <f>_xlfn.XLOOKUP(OrderDetails[[#This Row],[ProductID]],Product!A:A,Product!G:G,"Not Found")</f>
        <v>Beverages</v>
      </c>
      <c r="J1795" s="15" t="str">
        <f>LOOKUP(MONTH(G1795),{1,4,7,10},{"Winter","Spring","Summer","Autumn"})</f>
        <v>Winter</v>
      </c>
      <c r="K1795" s="15" t="str">
        <f>_xlfn.XLOOKUP(OrderDetails[[#This Row],[ProductID]],Product!A:A,Product!B:B,"Not Found")</f>
        <v>Chang</v>
      </c>
    </row>
    <row r="1796" spans="1:11">
      <c r="A1796" s="1">
        <v>10939</v>
      </c>
      <c r="B1796" s="1">
        <v>67</v>
      </c>
      <c r="C1796" s="1">
        <v>14</v>
      </c>
      <c r="D1796" s="1">
        <v>40</v>
      </c>
      <c r="E1796" s="3">
        <v>0.15000000596046448</v>
      </c>
      <c r="F1796" s="1" t="str">
        <f>_xlfn.XLOOKUP(A1796,Orders!A:A,Orders!B:B,"not found")</f>
        <v>MAGAA</v>
      </c>
      <c r="G1796" s="13">
        <f>_xlfn.XLOOKUP(OrderDetails[[#This Row],[OrderID]],Orders!A:A,Orders!C:C,"Not Found")</f>
        <v>35864</v>
      </c>
      <c r="H1796" s="16">
        <f>(OrderDetails[[#This Row],[UnitPrice]]*OrderDetails[[#This Row],[Quantity]])*(1-OrderDetails[[#This Row],[Discount]])</f>
        <v>475.99999666213989</v>
      </c>
      <c r="I1796" s="15" t="str">
        <f>_xlfn.XLOOKUP(OrderDetails[[#This Row],[ProductID]],Product!A:A,Product!G:G,"Not Found")</f>
        <v>Beverages</v>
      </c>
      <c r="J1796" s="15" t="str">
        <f>LOOKUP(MONTH(G1796),{1,4,7,10},{"Winter","Spring","Summer","Autumn"})</f>
        <v>Winter</v>
      </c>
      <c r="K1796" s="15" t="str">
        <f>_xlfn.XLOOKUP(OrderDetails[[#This Row],[ProductID]],Product!A:A,Product!B:B,"Not Found")</f>
        <v>Laughing Lumberjack Lager</v>
      </c>
    </row>
    <row r="1797" spans="1:11">
      <c r="A1797" s="2">
        <v>10940</v>
      </c>
      <c r="B1797" s="2">
        <v>7</v>
      </c>
      <c r="C1797" s="2">
        <v>30</v>
      </c>
      <c r="D1797" s="2">
        <v>8</v>
      </c>
      <c r="E1797" s="4">
        <v>0</v>
      </c>
      <c r="F1797" s="1" t="str">
        <f>_xlfn.XLOOKUP(A1797,Orders!A:A,Orders!B:B,"not found")</f>
        <v>BONAP</v>
      </c>
      <c r="G1797" s="13">
        <f>_xlfn.XLOOKUP(OrderDetails[[#This Row],[OrderID]],Orders!A:A,Orders!C:C,"Not Found")</f>
        <v>35865</v>
      </c>
      <c r="H1797" s="16">
        <f>(OrderDetails[[#This Row],[UnitPrice]]*OrderDetails[[#This Row],[Quantity]])*(1-OrderDetails[[#This Row],[Discount]])</f>
        <v>240</v>
      </c>
      <c r="I1797" s="15" t="str">
        <f>_xlfn.XLOOKUP(OrderDetails[[#This Row],[ProductID]],Product!A:A,Product!G:G,"Not Found")</f>
        <v>Produce</v>
      </c>
      <c r="J1797" s="15" t="str">
        <f>LOOKUP(MONTH(G1797),{1,4,7,10},{"Winter","Spring","Summer","Autumn"})</f>
        <v>Winter</v>
      </c>
      <c r="K1797" s="15" t="str">
        <f>_xlfn.XLOOKUP(OrderDetails[[#This Row],[ProductID]],Product!A:A,Product!B:B,"Not Found")</f>
        <v>Uncle Bob's Organic Dried Pears</v>
      </c>
    </row>
    <row r="1798" spans="1:11">
      <c r="A1798" s="1">
        <v>10940</v>
      </c>
      <c r="B1798" s="1">
        <v>13</v>
      </c>
      <c r="C1798" s="1">
        <v>6</v>
      </c>
      <c r="D1798" s="1">
        <v>20</v>
      </c>
      <c r="E1798" s="3">
        <v>0</v>
      </c>
      <c r="F1798" s="1" t="str">
        <f>_xlfn.XLOOKUP(A1798,Orders!A:A,Orders!B:B,"not found")</f>
        <v>BONAP</v>
      </c>
      <c r="G1798" s="13">
        <f>_xlfn.XLOOKUP(OrderDetails[[#This Row],[OrderID]],Orders!A:A,Orders!C:C,"Not Found")</f>
        <v>35865</v>
      </c>
      <c r="H1798" s="16">
        <f>(OrderDetails[[#This Row],[UnitPrice]]*OrderDetails[[#This Row],[Quantity]])*(1-OrderDetails[[#This Row],[Discount]])</f>
        <v>120</v>
      </c>
      <c r="I1798" s="15" t="str">
        <f>_xlfn.XLOOKUP(OrderDetails[[#This Row],[ProductID]],Product!A:A,Product!G:G,"Not Found")</f>
        <v>Seafood</v>
      </c>
      <c r="J1798" s="15" t="str">
        <f>LOOKUP(MONTH(G1798),{1,4,7,10},{"Winter","Spring","Summer","Autumn"})</f>
        <v>Winter</v>
      </c>
      <c r="K1798" s="15" t="str">
        <f>_xlfn.XLOOKUP(OrderDetails[[#This Row],[ProductID]],Product!A:A,Product!B:B,"Not Found")</f>
        <v>Konbu</v>
      </c>
    </row>
    <row r="1799" spans="1:11">
      <c r="A1799" s="2">
        <v>10941</v>
      </c>
      <c r="B1799" s="2">
        <v>31</v>
      </c>
      <c r="C1799" s="2">
        <v>12.5</v>
      </c>
      <c r="D1799" s="2">
        <v>44</v>
      </c>
      <c r="E1799" s="4">
        <v>0.25</v>
      </c>
      <c r="F1799" s="1" t="str">
        <f>_xlfn.XLOOKUP(A1799,Orders!A:A,Orders!B:B,"not found")</f>
        <v>SAVEA</v>
      </c>
      <c r="G1799" s="13">
        <f>_xlfn.XLOOKUP(OrderDetails[[#This Row],[OrderID]],Orders!A:A,Orders!C:C,"Not Found")</f>
        <v>35865</v>
      </c>
      <c r="H1799" s="16">
        <f>(OrderDetails[[#This Row],[UnitPrice]]*OrderDetails[[#This Row],[Quantity]])*(1-OrderDetails[[#This Row],[Discount]])</f>
        <v>412.5</v>
      </c>
      <c r="I1799" s="15" t="str">
        <f>_xlfn.XLOOKUP(OrderDetails[[#This Row],[ProductID]],Product!A:A,Product!G:G,"Not Found")</f>
        <v>Dairy Products</v>
      </c>
      <c r="J1799" s="15" t="str">
        <f>LOOKUP(MONTH(G1799),{1,4,7,10},{"Winter","Spring","Summer","Autumn"})</f>
        <v>Winter</v>
      </c>
      <c r="K1799" s="15" t="str">
        <f>_xlfn.XLOOKUP(OrderDetails[[#This Row],[ProductID]],Product!A:A,Product!B:B,"Not Found")</f>
        <v>Gorgonzola Telino</v>
      </c>
    </row>
    <row r="1800" spans="1:11">
      <c r="A1800" s="1">
        <v>10941</v>
      </c>
      <c r="B1800" s="1">
        <v>62</v>
      </c>
      <c r="C1800" s="1">
        <v>49.3</v>
      </c>
      <c r="D1800" s="1">
        <v>30</v>
      </c>
      <c r="E1800" s="3">
        <v>0.25</v>
      </c>
      <c r="F1800" s="1" t="str">
        <f>_xlfn.XLOOKUP(A1800,Orders!A:A,Orders!B:B,"not found")</f>
        <v>SAVEA</v>
      </c>
      <c r="G1800" s="13">
        <f>_xlfn.XLOOKUP(OrderDetails[[#This Row],[OrderID]],Orders!A:A,Orders!C:C,"Not Found")</f>
        <v>35865</v>
      </c>
      <c r="H1800" s="16">
        <f>(OrderDetails[[#This Row],[UnitPrice]]*OrderDetails[[#This Row],[Quantity]])*(1-OrderDetails[[#This Row],[Discount]])</f>
        <v>1109.25</v>
      </c>
      <c r="I1800" s="15" t="str">
        <f>_xlfn.XLOOKUP(OrderDetails[[#This Row],[ProductID]],Product!A:A,Product!G:G,"Not Found")</f>
        <v>Confections</v>
      </c>
      <c r="J1800" s="15" t="str">
        <f>LOOKUP(MONTH(G1800),{1,4,7,10},{"Winter","Spring","Summer","Autumn"})</f>
        <v>Winter</v>
      </c>
      <c r="K1800" s="15" t="str">
        <f>_xlfn.XLOOKUP(OrderDetails[[#This Row],[ProductID]],Product!A:A,Product!B:B,"Not Found")</f>
        <v>Tarte au sucre</v>
      </c>
    </row>
    <row r="1801" spans="1:11">
      <c r="A1801" s="2">
        <v>10941</v>
      </c>
      <c r="B1801" s="2">
        <v>68</v>
      </c>
      <c r="C1801" s="2">
        <v>12.5</v>
      </c>
      <c r="D1801" s="2">
        <v>80</v>
      </c>
      <c r="E1801" s="4">
        <v>0.25</v>
      </c>
      <c r="F1801" s="1" t="str">
        <f>_xlfn.XLOOKUP(A1801,Orders!A:A,Orders!B:B,"not found")</f>
        <v>SAVEA</v>
      </c>
      <c r="G1801" s="13">
        <f>_xlfn.XLOOKUP(OrderDetails[[#This Row],[OrderID]],Orders!A:A,Orders!C:C,"Not Found")</f>
        <v>35865</v>
      </c>
      <c r="H1801" s="16">
        <f>(OrderDetails[[#This Row],[UnitPrice]]*OrderDetails[[#This Row],[Quantity]])*(1-OrderDetails[[#This Row],[Discount]])</f>
        <v>750</v>
      </c>
      <c r="I1801" s="15" t="str">
        <f>_xlfn.XLOOKUP(OrderDetails[[#This Row],[ProductID]],Product!A:A,Product!G:G,"Not Found")</f>
        <v>Confections</v>
      </c>
      <c r="J1801" s="15" t="str">
        <f>LOOKUP(MONTH(G1801),{1,4,7,10},{"Winter","Spring","Summer","Autumn"})</f>
        <v>Winter</v>
      </c>
      <c r="K1801" s="15" t="str">
        <f>_xlfn.XLOOKUP(OrderDetails[[#This Row],[ProductID]],Product!A:A,Product!B:B,"Not Found")</f>
        <v>Scottish Longbreads</v>
      </c>
    </row>
    <row r="1802" spans="1:11">
      <c r="A1802" s="1">
        <v>10941</v>
      </c>
      <c r="B1802" s="1">
        <v>72</v>
      </c>
      <c r="C1802" s="1">
        <v>34.799999999999997</v>
      </c>
      <c r="D1802" s="1">
        <v>50</v>
      </c>
      <c r="E1802" s="3">
        <v>0</v>
      </c>
      <c r="F1802" s="1" t="str">
        <f>_xlfn.XLOOKUP(A1802,Orders!A:A,Orders!B:B,"not found")</f>
        <v>SAVEA</v>
      </c>
      <c r="G1802" s="13">
        <f>_xlfn.XLOOKUP(OrderDetails[[#This Row],[OrderID]],Orders!A:A,Orders!C:C,"Not Found")</f>
        <v>35865</v>
      </c>
      <c r="H1802" s="16">
        <f>(OrderDetails[[#This Row],[UnitPrice]]*OrderDetails[[#This Row],[Quantity]])*(1-OrderDetails[[#This Row],[Discount]])</f>
        <v>1739.9999999999998</v>
      </c>
      <c r="I1802" s="15" t="str">
        <f>_xlfn.XLOOKUP(OrderDetails[[#This Row],[ProductID]],Product!A:A,Product!G:G,"Not Found")</f>
        <v>Dairy Products</v>
      </c>
      <c r="J1802" s="15" t="str">
        <f>LOOKUP(MONTH(G1802),{1,4,7,10},{"Winter","Spring","Summer","Autumn"})</f>
        <v>Winter</v>
      </c>
      <c r="K1802" s="15" t="str">
        <f>_xlfn.XLOOKUP(OrderDetails[[#This Row],[ProductID]],Product!A:A,Product!B:B,"Not Found")</f>
        <v>Mozzarella di Giovanni</v>
      </c>
    </row>
    <row r="1803" spans="1:11">
      <c r="A1803" s="2">
        <v>10942</v>
      </c>
      <c r="B1803" s="2">
        <v>49</v>
      </c>
      <c r="C1803" s="2">
        <v>20</v>
      </c>
      <c r="D1803" s="2">
        <v>28</v>
      </c>
      <c r="E1803" s="4">
        <v>0</v>
      </c>
      <c r="F1803" s="1" t="str">
        <f>_xlfn.XLOOKUP(A1803,Orders!A:A,Orders!B:B,"not found")</f>
        <v>REGGC</v>
      </c>
      <c r="G1803" s="13">
        <f>_xlfn.XLOOKUP(OrderDetails[[#This Row],[OrderID]],Orders!A:A,Orders!C:C,"Not Found")</f>
        <v>35865</v>
      </c>
      <c r="H1803" s="16">
        <f>(OrderDetails[[#This Row],[UnitPrice]]*OrderDetails[[#This Row],[Quantity]])*(1-OrderDetails[[#This Row],[Discount]])</f>
        <v>560</v>
      </c>
      <c r="I1803" s="15" t="str">
        <f>_xlfn.XLOOKUP(OrderDetails[[#This Row],[ProductID]],Product!A:A,Product!G:G,"Not Found")</f>
        <v>Confections</v>
      </c>
      <c r="J1803" s="15" t="str">
        <f>LOOKUP(MONTH(G1803),{1,4,7,10},{"Winter","Spring","Summer","Autumn"})</f>
        <v>Winter</v>
      </c>
      <c r="K1803" s="15" t="str">
        <f>_xlfn.XLOOKUP(OrderDetails[[#This Row],[ProductID]],Product!A:A,Product!B:B,"Not Found")</f>
        <v>Maxilaku</v>
      </c>
    </row>
    <row r="1804" spans="1:11">
      <c r="A1804" s="1">
        <v>10943</v>
      </c>
      <c r="B1804" s="1">
        <v>13</v>
      </c>
      <c r="C1804" s="1">
        <v>6</v>
      </c>
      <c r="D1804" s="1">
        <v>15</v>
      </c>
      <c r="E1804" s="3">
        <v>0</v>
      </c>
      <c r="F1804" s="1" t="str">
        <f>_xlfn.XLOOKUP(A1804,Orders!A:A,Orders!B:B,"not found")</f>
        <v>BSBEV</v>
      </c>
      <c r="G1804" s="13">
        <f>_xlfn.XLOOKUP(OrderDetails[[#This Row],[OrderID]],Orders!A:A,Orders!C:C,"Not Found")</f>
        <v>35865</v>
      </c>
      <c r="H1804" s="16">
        <f>(OrderDetails[[#This Row],[UnitPrice]]*OrderDetails[[#This Row],[Quantity]])*(1-OrderDetails[[#This Row],[Discount]])</f>
        <v>90</v>
      </c>
      <c r="I1804" s="15" t="str">
        <f>_xlfn.XLOOKUP(OrderDetails[[#This Row],[ProductID]],Product!A:A,Product!G:G,"Not Found")</f>
        <v>Seafood</v>
      </c>
      <c r="J1804" s="15" t="str">
        <f>LOOKUP(MONTH(G1804),{1,4,7,10},{"Winter","Spring","Summer","Autumn"})</f>
        <v>Winter</v>
      </c>
      <c r="K1804" s="15" t="str">
        <f>_xlfn.XLOOKUP(OrderDetails[[#This Row],[ProductID]],Product!A:A,Product!B:B,"Not Found")</f>
        <v>Konbu</v>
      </c>
    </row>
    <row r="1805" spans="1:11">
      <c r="A1805" s="2">
        <v>10943</v>
      </c>
      <c r="B1805" s="2">
        <v>22</v>
      </c>
      <c r="C1805" s="2">
        <v>21</v>
      </c>
      <c r="D1805" s="2">
        <v>21</v>
      </c>
      <c r="E1805" s="4">
        <v>0</v>
      </c>
      <c r="F1805" s="1" t="str">
        <f>_xlfn.XLOOKUP(A1805,Orders!A:A,Orders!B:B,"not found")</f>
        <v>BSBEV</v>
      </c>
      <c r="G1805" s="13">
        <f>_xlfn.XLOOKUP(OrderDetails[[#This Row],[OrderID]],Orders!A:A,Orders!C:C,"Not Found")</f>
        <v>35865</v>
      </c>
      <c r="H1805" s="16">
        <f>(OrderDetails[[#This Row],[UnitPrice]]*OrderDetails[[#This Row],[Quantity]])*(1-OrderDetails[[#This Row],[Discount]])</f>
        <v>441</v>
      </c>
      <c r="I1805" s="15" t="str">
        <f>_xlfn.XLOOKUP(OrderDetails[[#This Row],[ProductID]],Product!A:A,Product!G:G,"Not Found")</f>
        <v>Grains/Cereals</v>
      </c>
      <c r="J1805" s="15" t="str">
        <f>LOOKUP(MONTH(G1805),{1,4,7,10},{"Winter","Spring","Summer","Autumn"})</f>
        <v>Winter</v>
      </c>
      <c r="K1805" s="15" t="str">
        <f>_xlfn.XLOOKUP(OrderDetails[[#This Row],[ProductID]],Product!A:A,Product!B:B,"Not Found")</f>
        <v>Gustaf's Knäckebröd</v>
      </c>
    </row>
    <row r="1806" spans="1:11">
      <c r="A1806" s="1">
        <v>10943</v>
      </c>
      <c r="B1806" s="1">
        <v>46</v>
      </c>
      <c r="C1806" s="1">
        <v>12</v>
      </c>
      <c r="D1806" s="1">
        <v>15</v>
      </c>
      <c r="E1806" s="3">
        <v>0</v>
      </c>
      <c r="F1806" s="1" t="str">
        <f>_xlfn.XLOOKUP(A1806,Orders!A:A,Orders!B:B,"not found")</f>
        <v>BSBEV</v>
      </c>
      <c r="G1806" s="13">
        <f>_xlfn.XLOOKUP(OrderDetails[[#This Row],[OrderID]],Orders!A:A,Orders!C:C,"Not Found")</f>
        <v>35865</v>
      </c>
      <c r="H1806" s="16">
        <f>(OrderDetails[[#This Row],[UnitPrice]]*OrderDetails[[#This Row],[Quantity]])*(1-OrderDetails[[#This Row],[Discount]])</f>
        <v>180</v>
      </c>
      <c r="I1806" s="15" t="str">
        <f>_xlfn.XLOOKUP(OrderDetails[[#This Row],[ProductID]],Product!A:A,Product!G:G,"Not Found")</f>
        <v>Seafood</v>
      </c>
      <c r="J1806" s="15" t="str">
        <f>LOOKUP(MONTH(G1806),{1,4,7,10},{"Winter","Spring","Summer","Autumn"})</f>
        <v>Winter</v>
      </c>
      <c r="K1806" s="15" t="str">
        <f>_xlfn.XLOOKUP(OrderDetails[[#This Row],[ProductID]],Product!A:A,Product!B:B,"Not Found")</f>
        <v>Spegesild</v>
      </c>
    </row>
    <row r="1807" spans="1:11">
      <c r="A1807" s="2">
        <v>10944</v>
      </c>
      <c r="B1807" s="2">
        <v>11</v>
      </c>
      <c r="C1807" s="2">
        <v>21</v>
      </c>
      <c r="D1807" s="2">
        <v>5</v>
      </c>
      <c r="E1807" s="4">
        <v>0.25</v>
      </c>
      <c r="F1807" s="1" t="str">
        <f>_xlfn.XLOOKUP(A1807,Orders!A:A,Orders!B:B,"not found")</f>
        <v>BOTTM</v>
      </c>
      <c r="G1807" s="13">
        <f>_xlfn.XLOOKUP(OrderDetails[[#This Row],[OrderID]],Orders!A:A,Orders!C:C,"Not Found")</f>
        <v>35866</v>
      </c>
      <c r="H1807" s="16">
        <f>(OrderDetails[[#This Row],[UnitPrice]]*OrderDetails[[#This Row],[Quantity]])*(1-OrderDetails[[#This Row],[Discount]])</f>
        <v>78.75</v>
      </c>
      <c r="I1807" s="15" t="str">
        <f>_xlfn.XLOOKUP(OrderDetails[[#This Row],[ProductID]],Product!A:A,Product!G:G,"Not Found")</f>
        <v>Dairy Products</v>
      </c>
      <c r="J1807" s="15" t="str">
        <f>LOOKUP(MONTH(G1807),{1,4,7,10},{"Winter","Spring","Summer","Autumn"})</f>
        <v>Winter</v>
      </c>
      <c r="K1807" s="15" t="str">
        <f>_xlfn.XLOOKUP(OrderDetails[[#This Row],[ProductID]],Product!A:A,Product!B:B,"Not Found")</f>
        <v>Queso Cabrales</v>
      </c>
    </row>
    <row r="1808" spans="1:11">
      <c r="A1808" s="1">
        <v>10944</v>
      </c>
      <c r="B1808" s="1">
        <v>44</v>
      </c>
      <c r="C1808" s="1">
        <v>19.45</v>
      </c>
      <c r="D1808" s="1">
        <v>18</v>
      </c>
      <c r="E1808" s="3">
        <v>0.25</v>
      </c>
      <c r="F1808" s="1" t="str">
        <f>_xlfn.XLOOKUP(A1808,Orders!A:A,Orders!B:B,"not found")</f>
        <v>BOTTM</v>
      </c>
      <c r="G1808" s="13">
        <f>_xlfn.XLOOKUP(OrderDetails[[#This Row],[OrderID]],Orders!A:A,Orders!C:C,"Not Found")</f>
        <v>35866</v>
      </c>
      <c r="H1808" s="16">
        <f>(OrderDetails[[#This Row],[UnitPrice]]*OrderDetails[[#This Row],[Quantity]])*(1-OrderDetails[[#This Row],[Discount]])</f>
        <v>262.57499999999999</v>
      </c>
      <c r="I1808" s="15" t="str">
        <f>_xlfn.XLOOKUP(OrderDetails[[#This Row],[ProductID]],Product!A:A,Product!G:G,"Not Found")</f>
        <v>Condiments</v>
      </c>
      <c r="J1808" s="15" t="str">
        <f>LOOKUP(MONTH(G1808),{1,4,7,10},{"Winter","Spring","Summer","Autumn"})</f>
        <v>Winter</v>
      </c>
      <c r="K1808" s="15" t="str">
        <f>_xlfn.XLOOKUP(OrderDetails[[#This Row],[ProductID]],Product!A:A,Product!B:B,"Not Found")</f>
        <v>Gula Malacca</v>
      </c>
    </row>
    <row r="1809" spans="1:11">
      <c r="A1809" s="2">
        <v>10944</v>
      </c>
      <c r="B1809" s="2">
        <v>56</v>
      </c>
      <c r="C1809" s="2">
        <v>38</v>
      </c>
      <c r="D1809" s="2">
        <v>18</v>
      </c>
      <c r="E1809" s="4">
        <v>0</v>
      </c>
      <c r="F1809" s="1" t="str">
        <f>_xlfn.XLOOKUP(A1809,Orders!A:A,Orders!B:B,"not found")</f>
        <v>BOTTM</v>
      </c>
      <c r="G1809" s="13">
        <f>_xlfn.XLOOKUP(OrderDetails[[#This Row],[OrderID]],Orders!A:A,Orders!C:C,"Not Found")</f>
        <v>35866</v>
      </c>
      <c r="H1809" s="16">
        <f>(OrderDetails[[#This Row],[UnitPrice]]*OrderDetails[[#This Row],[Quantity]])*(1-OrderDetails[[#This Row],[Discount]])</f>
        <v>684</v>
      </c>
      <c r="I1809" s="15" t="str">
        <f>_xlfn.XLOOKUP(OrderDetails[[#This Row],[ProductID]],Product!A:A,Product!G:G,"Not Found")</f>
        <v>Grains/Cereals</v>
      </c>
      <c r="J1809" s="15" t="str">
        <f>LOOKUP(MONTH(G1809),{1,4,7,10},{"Winter","Spring","Summer","Autumn"})</f>
        <v>Winter</v>
      </c>
      <c r="K1809" s="15" t="str">
        <f>_xlfn.XLOOKUP(OrderDetails[[#This Row],[ProductID]],Product!A:A,Product!B:B,"Not Found")</f>
        <v>Gnocchi di nonna Alice</v>
      </c>
    </row>
    <row r="1810" spans="1:11">
      <c r="A1810" s="1">
        <v>10945</v>
      </c>
      <c r="B1810" s="1">
        <v>13</v>
      </c>
      <c r="C1810" s="1">
        <v>6</v>
      </c>
      <c r="D1810" s="1">
        <v>20</v>
      </c>
      <c r="E1810" s="3">
        <v>0</v>
      </c>
      <c r="F1810" s="1" t="str">
        <f>_xlfn.XLOOKUP(A1810,Orders!A:A,Orders!B:B,"not found")</f>
        <v>MORGK</v>
      </c>
      <c r="G1810" s="13">
        <f>_xlfn.XLOOKUP(OrderDetails[[#This Row],[OrderID]],Orders!A:A,Orders!C:C,"Not Found")</f>
        <v>35866</v>
      </c>
      <c r="H1810" s="16">
        <f>(OrderDetails[[#This Row],[UnitPrice]]*OrderDetails[[#This Row],[Quantity]])*(1-OrderDetails[[#This Row],[Discount]])</f>
        <v>120</v>
      </c>
      <c r="I1810" s="15" t="str">
        <f>_xlfn.XLOOKUP(OrderDetails[[#This Row],[ProductID]],Product!A:A,Product!G:G,"Not Found")</f>
        <v>Seafood</v>
      </c>
      <c r="J1810" s="15" t="str">
        <f>LOOKUP(MONTH(G1810),{1,4,7,10},{"Winter","Spring","Summer","Autumn"})</f>
        <v>Winter</v>
      </c>
      <c r="K1810" s="15" t="str">
        <f>_xlfn.XLOOKUP(OrderDetails[[#This Row],[ProductID]],Product!A:A,Product!B:B,"Not Found")</f>
        <v>Konbu</v>
      </c>
    </row>
    <row r="1811" spans="1:11">
      <c r="A1811" s="2">
        <v>10945</v>
      </c>
      <c r="B1811" s="2">
        <v>31</v>
      </c>
      <c r="C1811" s="2">
        <v>12.5</v>
      </c>
      <c r="D1811" s="2">
        <v>10</v>
      </c>
      <c r="E1811" s="4">
        <v>0</v>
      </c>
      <c r="F1811" s="1" t="str">
        <f>_xlfn.XLOOKUP(A1811,Orders!A:A,Orders!B:B,"not found")</f>
        <v>MORGK</v>
      </c>
      <c r="G1811" s="13">
        <f>_xlfn.XLOOKUP(OrderDetails[[#This Row],[OrderID]],Orders!A:A,Orders!C:C,"Not Found")</f>
        <v>35866</v>
      </c>
      <c r="H1811" s="16">
        <f>(OrderDetails[[#This Row],[UnitPrice]]*OrderDetails[[#This Row],[Quantity]])*(1-OrderDetails[[#This Row],[Discount]])</f>
        <v>125</v>
      </c>
      <c r="I1811" s="15" t="str">
        <f>_xlfn.XLOOKUP(OrderDetails[[#This Row],[ProductID]],Product!A:A,Product!G:G,"Not Found")</f>
        <v>Dairy Products</v>
      </c>
      <c r="J1811" s="15" t="str">
        <f>LOOKUP(MONTH(G1811),{1,4,7,10},{"Winter","Spring","Summer","Autumn"})</f>
        <v>Winter</v>
      </c>
      <c r="K1811" s="15" t="str">
        <f>_xlfn.XLOOKUP(OrderDetails[[#This Row],[ProductID]],Product!A:A,Product!B:B,"Not Found")</f>
        <v>Gorgonzola Telino</v>
      </c>
    </row>
    <row r="1812" spans="1:11">
      <c r="A1812" s="1">
        <v>10946</v>
      </c>
      <c r="B1812" s="1">
        <v>10</v>
      </c>
      <c r="C1812" s="1">
        <v>31</v>
      </c>
      <c r="D1812" s="1">
        <v>25</v>
      </c>
      <c r="E1812" s="3">
        <v>0</v>
      </c>
      <c r="F1812" s="1" t="str">
        <f>_xlfn.XLOOKUP(A1812,Orders!A:A,Orders!B:B,"not found")</f>
        <v>VAFFE</v>
      </c>
      <c r="G1812" s="13">
        <f>_xlfn.XLOOKUP(OrderDetails[[#This Row],[OrderID]],Orders!A:A,Orders!C:C,"Not Found")</f>
        <v>35866</v>
      </c>
      <c r="H1812" s="16">
        <f>(OrderDetails[[#This Row],[UnitPrice]]*OrderDetails[[#This Row],[Quantity]])*(1-OrderDetails[[#This Row],[Discount]])</f>
        <v>775</v>
      </c>
      <c r="I1812" s="15" t="str">
        <f>_xlfn.XLOOKUP(OrderDetails[[#This Row],[ProductID]],Product!A:A,Product!G:G,"Not Found")</f>
        <v>Seafood</v>
      </c>
      <c r="J1812" s="15" t="str">
        <f>LOOKUP(MONTH(G1812),{1,4,7,10},{"Winter","Spring","Summer","Autumn"})</f>
        <v>Winter</v>
      </c>
      <c r="K1812" s="15" t="str">
        <f>_xlfn.XLOOKUP(OrderDetails[[#This Row],[ProductID]],Product!A:A,Product!B:B,"Not Found")</f>
        <v>Ikura</v>
      </c>
    </row>
    <row r="1813" spans="1:11">
      <c r="A1813" s="2">
        <v>10946</v>
      </c>
      <c r="B1813" s="2">
        <v>24</v>
      </c>
      <c r="C1813" s="2">
        <v>4.5</v>
      </c>
      <c r="D1813" s="2">
        <v>25</v>
      </c>
      <c r="E1813" s="4">
        <v>0</v>
      </c>
      <c r="F1813" s="1" t="str">
        <f>_xlfn.XLOOKUP(A1813,Orders!A:A,Orders!B:B,"not found")</f>
        <v>VAFFE</v>
      </c>
      <c r="G1813" s="13">
        <f>_xlfn.XLOOKUP(OrderDetails[[#This Row],[OrderID]],Orders!A:A,Orders!C:C,"Not Found")</f>
        <v>35866</v>
      </c>
      <c r="H1813" s="16">
        <f>(OrderDetails[[#This Row],[UnitPrice]]*OrderDetails[[#This Row],[Quantity]])*(1-OrderDetails[[#This Row],[Discount]])</f>
        <v>112.5</v>
      </c>
      <c r="I1813" s="15" t="str">
        <f>_xlfn.XLOOKUP(OrderDetails[[#This Row],[ProductID]],Product!A:A,Product!G:G,"Not Found")</f>
        <v>Beverages</v>
      </c>
      <c r="J1813" s="15" t="str">
        <f>LOOKUP(MONTH(G1813),{1,4,7,10},{"Winter","Spring","Summer","Autumn"})</f>
        <v>Winter</v>
      </c>
      <c r="K1813" s="15" t="str">
        <f>_xlfn.XLOOKUP(OrderDetails[[#This Row],[ProductID]],Product!A:A,Product!B:B,"Not Found")</f>
        <v>Guaraná Fantástica</v>
      </c>
    </row>
    <row r="1814" spans="1:11">
      <c r="A1814" s="1">
        <v>10946</v>
      </c>
      <c r="B1814" s="1">
        <v>77</v>
      </c>
      <c r="C1814" s="1">
        <v>13</v>
      </c>
      <c r="D1814" s="1">
        <v>40</v>
      </c>
      <c r="E1814" s="3">
        <v>0</v>
      </c>
      <c r="F1814" s="1" t="str">
        <f>_xlfn.XLOOKUP(A1814,Orders!A:A,Orders!B:B,"not found")</f>
        <v>VAFFE</v>
      </c>
      <c r="G1814" s="13">
        <f>_xlfn.XLOOKUP(OrderDetails[[#This Row],[OrderID]],Orders!A:A,Orders!C:C,"Not Found")</f>
        <v>35866</v>
      </c>
      <c r="H1814" s="16">
        <f>(OrderDetails[[#This Row],[UnitPrice]]*OrderDetails[[#This Row],[Quantity]])*(1-OrderDetails[[#This Row],[Discount]])</f>
        <v>520</v>
      </c>
      <c r="I1814" s="15" t="str">
        <f>_xlfn.XLOOKUP(OrderDetails[[#This Row],[ProductID]],Product!A:A,Product!G:G,"Not Found")</f>
        <v>Condiments</v>
      </c>
      <c r="J1814" s="15" t="str">
        <f>LOOKUP(MONTH(G1814),{1,4,7,10},{"Winter","Spring","Summer","Autumn"})</f>
        <v>Winter</v>
      </c>
      <c r="K1814" s="15" t="str">
        <f>_xlfn.XLOOKUP(OrderDetails[[#This Row],[ProductID]],Product!A:A,Product!B:B,"Not Found")</f>
        <v>Original Frankfurter grüne Soße</v>
      </c>
    </row>
    <row r="1815" spans="1:11">
      <c r="A1815" s="2">
        <v>10947</v>
      </c>
      <c r="B1815" s="2">
        <v>59</v>
      </c>
      <c r="C1815" s="2">
        <v>55</v>
      </c>
      <c r="D1815" s="2">
        <v>4</v>
      </c>
      <c r="E1815" s="4">
        <v>0</v>
      </c>
      <c r="F1815" s="1" t="str">
        <f>_xlfn.XLOOKUP(A1815,Orders!A:A,Orders!B:B,"not found")</f>
        <v>BSBEV</v>
      </c>
      <c r="G1815" s="13">
        <f>_xlfn.XLOOKUP(OrderDetails[[#This Row],[OrderID]],Orders!A:A,Orders!C:C,"Not Found")</f>
        <v>35867</v>
      </c>
      <c r="H1815" s="16">
        <f>(OrderDetails[[#This Row],[UnitPrice]]*OrderDetails[[#This Row],[Quantity]])*(1-OrderDetails[[#This Row],[Discount]])</f>
        <v>220</v>
      </c>
      <c r="I1815" s="15" t="str">
        <f>_xlfn.XLOOKUP(OrderDetails[[#This Row],[ProductID]],Product!A:A,Product!G:G,"Not Found")</f>
        <v>Dairy Products</v>
      </c>
      <c r="J1815" s="15" t="str">
        <f>LOOKUP(MONTH(G1815),{1,4,7,10},{"Winter","Spring","Summer","Autumn"})</f>
        <v>Winter</v>
      </c>
      <c r="K1815" s="15" t="str">
        <f>_xlfn.XLOOKUP(OrderDetails[[#This Row],[ProductID]],Product!A:A,Product!B:B,"Not Found")</f>
        <v>Raclette Courdavault</v>
      </c>
    </row>
    <row r="1816" spans="1:11">
      <c r="A1816" s="1">
        <v>10948</v>
      </c>
      <c r="B1816" s="1">
        <v>50</v>
      </c>
      <c r="C1816" s="1">
        <v>16.25</v>
      </c>
      <c r="D1816" s="1">
        <v>9</v>
      </c>
      <c r="E1816" s="3">
        <v>0</v>
      </c>
      <c r="F1816" s="1" t="str">
        <f>_xlfn.XLOOKUP(A1816,Orders!A:A,Orders!B:B,"not found")</f>
        <v>GODOS</v>
      </c>
      <c r="G1816" s="13">
        <f>_xlfn.XLOOKUP(OrderDetails[[#This Row],[OrderID]],Orders!A:A,Orders!C:C,"Not Found")</f>
        <v>35867</v>
      </c>
      <c r="H1816" s="16">
        <f>(OrderDetails[[#This Row],[UnitPrice]]*OrderDetails[[#This Row],[Quantity]])*(1-OrderDetails[[#This Row],[Discount]])</f>
        <v>146.25</v>
      </c>
      <c r="I1816" s="15" t="str">
        <f>_xlfn.XLOOKUP(OrderDetails[[#This Row],[ProductID]],Product!A:A,Product!G:G,"Not Found")</f>
        <v>Confections</v>
      </c>
      <c r="J1816" s="15" t="str">
        <f>LOOKUP(MONTH(G1816),{1,4,7,10},{"Winter","Spring","Summer","Autumn"})</f>
        <v>Winter</v>
      </c>
      <c r="K1816" s="15" t="str">
        <f>_xlfn.XLOOKUP(OrderDetails[[#This Row],[ProductID]],Product!A:A,Product!B:B,"Not Found")</f>
        <v>Valkoinen suklaa</v>
      </c>
    </row>
    <row r="1817" spans="1:11">
      <c r="A1817" s="2">
        <v>10948</v>
      </c>
      <c r="B1817" s="2">
        <v>51</v>
      </c>
      <c r="C1817" s="2">
        <v>53</v>
      </c>
      <c r="D1817" s="2">
        <v>40</v>
      </c>
      <c r="E1817" s="4">
        <v>0</v>
      </c>
      <c r="F1817" s="1" t="str">
        <f>_xlfn.XLOOKUP(A1817,Orders!A:A,Orders!B:B,"not found")</f>
        <v>GODOS</v>
      </c>
      <c r="G1817" s="13">
        <f>_xlfn.XLOOKUP(OrderDetails[[#This Row],[OrderID]],Orders!A:A,Orders!C:C,"Not Found")</f>
        <v>35867</v>
      </c>
      <c r="H1817" s="16">
        <f>(OrderDetails[[#This Row],[UnitPrice]]*OrderDetails[[#This Row],[Quantity]])*(1-OrderDetails[[#This Row],[Discount]])</f>
        <v>2120</v>
      </c>
      <c r="I1817" s="15" t="str">
        <f>_xlfn.XLOOKUP(OrderDetails[[#This Row],[ProductID]],Product!A:A,Product!G:G,"Not Found")</f>
        <v>Produce</v>
      </c>
      <c r="J1817" s="15" t="str">
        <f>LOOKUP(MONTH(G1817),{1,4,7,10},{"Winter","Spring","Summer","Autumn"})</f>
        <v>Winter</v>
      </c>
      <c r="K1817" s="15" t="str">
        <f>_xlfn.XLOOKUP(OrderDetails[[#This Row],[ProductID]],Product!A:A,Product!B:B,"Not Found")</f>
        <v>Manjimup Dried Apples</v>
      </c>
    </row>
    <row r="1818" spans="1:11">
      <c r="A1818" s="1">
        <v>10948</v>
      </c>
      <c r="B1818" s="1">
        <v>55</v>
      </c>
      <c r="C1818" s="1">
        <v>24</v>
      </c>
      <c r="D1818" s="1">
        <v>4</v>
      </c>
      <c r="E1818" s="3">
        <v>0</v>
      </c>
      <c r="F1818" s="1" t="str">
        <f>_xlfn.XLOOKUP(A1818,Orders!A:A,Orders!B:B,"not found")</f>
        <v>GODOS</v>
      </c>
      <c r="G1818" s="13">
        <f>_xlfn.XLOOKUP(OrderDetails[[#This Row],[OrderID]],Orders!A:A,Orders!C:C,"Not Found")</f>
        <v>35867</v>
      </c>
      <c r="H1818" s="16">
        <f>(OrderDetails[[#This Row],[UnitPrice]]*OrderDetails[[#This Row],[Quantity]])*(1-OrderDetails[[#This Row],[Discount]])</f>
        <v>96</v>
      </c>
      <c r="I1818" s="15" t="str">
        <f>_xlfn.XLOOKUP(OrderDetails[[#This Row],[ProductID]],Product!A:A,Product!G:G,"Not Found")</f>
        <v>Meat/Poultry</v>
      </c>
      <c r="J1818" s="15" t="str">
        <f>LOOKUP(MONTH(G1818),{1,4,7,10},{"Winter","Spring","Summer","Autumn"})</f>
        <v>Winter</v>
      </c>
      <c r="K1818" s="15" t="str">
        <f>_xlfn.XLOOKUP(OrderDetails[[#This Row],[ProductID]],Product!A:A,Product!B:B,"Not Found")</f>
        <v>Pâté chinois</v>
      </c>
    </row>
    <row r="1819" spans="1:11">
      <c r="A1819" s="2">
        <v>10949</v>
      </c>
      <c r="B1819" s="2">
        <v>6</v>
      </c>
      <c r="C1819" s="2">
        <v>25</v>
      </c>
      <c r="D1819" s="2">
        <v>12</v>
      </c>
      <c r="E1819" s="4">
        <v>0</v>
      </c>
      <c r="F1819" s="1" t="str">
        <f>_xlfn.XLOOKUP(A1819,Orders!A:A,Orders!B:B,"not found")</f>
        <v>BOTTM</v>
      </c>
      <c r="G1819" s="13">
        <f>_xlfn.XLOOKUP(OrderDetails[[#This Row],[OrderID]],Orders!A:A,Orders!C:C,"Not Found")</f>
        <v>35867</v>
      </c>
      <c r="H1819" s="16">
        <f>(OrderDetails[[#This Row],[UnitPrice]]*OrderDetails[[#This Row],[Quantity]])*(1-OrderDetails[[#This Row],[Discount]])</f>
        <v>300</v>
      </c>
      <c r="I1819" s="15" t="str">
        <f>_xlfn.XLOOKUP(OrderDetails[[#This Row],[ProductID]],Product!A:A,Product!G:G,"Not Found")</f>
        <v>Condiments</v>
      </c>
      <c r="J1819" s="15" t="str">
        <f>LOOKUP(MONTH(G1819),{1,4,7,10},{"Winter","Spring","Summer","Autumn"})</f>
        <v>Winter</v>
      </c>
      <c r="K1819" s="15" t="str">
        <f>_xlfn.XLOOKUP(OrderDetails[[#This Row],[ProductID]],Product!A:A,Product!B:B,"Not Found")</f>
        <v>Grandma's Boysenberry Spread</v>
      </c>
    </row>
    <row r="1820" spans="1:11">
      <c r="A1820" s="1">
        <v>10949</v>
      </c>
      <c r="B1820" s="1">
        <v>10</v>
      </c>
      <c r="C1820" s="1">
        <v>31</v>
      </c>
      <c r="D1820" s="1">
        <v>30</v>
      </c>
      <c r="E1820" s="3">
        <v>0</v>
      </c>
      <c r="F1820" s="1" t="str">
        <f>_xlfn.XLOOKUP(A1820,Orders!A:A,Orders!B:B,"not found")</f>
        <v>BOTTM</v>
      </c>
      <c r="G1820" s="13">
        <f>_xlfn.XLOOKUP(OrderDetails[[#This Row],[OrderID]],Orders!A:A,Orders!C:C,"Not Found")</f>
        <v>35867</v>
      </c>
      <c r="H1820" s="16">
        <f>(OrderDetails[[#This Row],[UnitPrice]]*OrderDetails[[#This Row],[Quantity]])*(1-OrderDetails[[#This Row],[Discount]])</f>
        <v>930</v>
      </c>
      <c r="I1820" s="15" t="str">
        <f>_xlfn.XLOOKUP(OrderDetails[[#This Row],[ProductID]],Product!A:A,Product!G:G,"Not Found")</f>
        <v>Seafood</v>
      </c>
      <c r="J1820" s="15" t="str">
        <f>LOOKUP(MONTH(G1820),{1,4,7,10},{"Winter","Spring","Summer","Autumn"})</f>
        <v>Winter</v>
      </c>
      <c r="K1820" s="15" t="str">
        <f>_xlfn.XLOOKUP(OrderDetails[[#This Row],[ProductID]],Product!A:A,Product!B:B,"Not Found")</f>
        <v>Ikura</v>
      </c>
    </row>
    <row r="1821" spans="1:11">
      <c r="A1821" s="2">
        <v>10949</v>
      </c>
      <c r="B1821" s="2">
        <v>17</v>
      </c>
      <c r="C1821" s="2">
        <v>39</v>
      </c>
      <c r="D1821" s="2">
        <v>6</v>
      </c>
      <c r="E1821" s="4">
        <v>0</v>
      </c>
      <c r="F1821" s="1" t="str">
        <f>_xlfn.XLOOKUP(A1821,Orders!A:A,Orders!B:B,"not found")</f>
        <v>BOTTM</v>
      </c>
      <c r="G1821" s="13">
        <f>_xlfn.XLOOKUP(OrderDetails[[#This Row],[OrderID]],Orders!A:A,Orders!C:C,"Not Found")</f>
        <v>35867</v>
      </c>
      <c r="H1821" s="16">
        <f>(OrderDetails[[#This Row],[UnitPrice]]*OrderDetails[[#This Row],[Quantity]])*(1-OrderDetails[[#This Row],[Discount]])</f>
        <v>234</v>
      </c>
      <c r="I1821" s="15" t="str">
        <f>_xlfn.XLOOKUP(OrderDetails[[#This Row],[ProductID]],Product!A:A,Product!G:G,"Not Found")</f>
        <v>Meat/Poultry</v>
      </c>
      <c r="J1821" s="15" t="str">
        <f>LOOKUP(MONTH(G1821),{1,4,7,10},{"Winter","Spring","Summer","Autumn"})</f>
        <v>Winter</v>
      </c>
      <c r="K1821" s="15" t="str">
        <f>_xlfn.XLOOKUP(OrderDetails[[#This Row],[ProductID]],Product!A:A,Product!B:B,"Not Found")</f>
        <v>Alice Mutton</v>
      </c>
    </row>
    <row r="1822" spans="1:11">
      <c r="A1822" s="1">
        <v>10949</v>
      </c>
      <c r="B1822" s="1">
        <v>62</v>
      </c>
      <c r="C1822" s="1">
        <v>49.3</v>
      </c>
      <c r="D1822" s="1">
        <v>60</v>
      </c>
      <c r="E1822" s="3">
        <v>0</v>
      </c>
      <c r="F1822" s="1" t="str">
        <f>_xlfn.XLOOKUP(A1822,Orders!A:A,Orders!B:B,"not found")</f>
        <v>BOTTM</v>
      </c>
      <c r="G1822" s="13">
        <f>_xlfn.XLOOKUP(OrderDetails[[#This Row],[OrderID]],Orders!A:A,Orders!C:C,"Not Found")</f>
        <v>35867</v>
      </c>
      <c r="H1822" s="16">
        <f>(OrderDetails[[#This Row],[UnitPrice]]*OrderDetails[[#This Row],[Quantity]])*(1-OrderDetails[[#This Row],[Discount]])</f>
        <v>2958</v>
      </c>
      <c r="I1822" s="15" t="str">
        <f>_xlfn.XLOOKUP(OrderDetails[[#This Row],[ProductID]],Product!A:A,Product!G:G,"Not Found")</f>
        <v>Confections</v>
      </c>
      <c r="J1822" s="15" t="str">
        <f>LOOKUP(MONTH(G1822),{1,4,7,10},{"Winter","Spring","Summer","Autumn"})</f>
        <v>Winter</v>
      </c>
      <c r="K1822" s="15" t="str">
        <f>_xlfn.XLOOKUP(OrderDetails[[#This Row],[ProductID]],Product!A:A,Product!B:B,"Not Found")</f>
        <v>Tarte au sucre</v>
      </c>
    </row>
    <row r="1823" spans="1:11">
      <c r="A1823" s="2">
        <v>10950</v>
      </c>
      <c r="B1823" s="2">
        <v>4</v>
      </c>
      <c r="C1823" s="2">
        <v>22</v>
      </c>
      <c r="D1823" s="2">
        <v>5</v>
      </c>
      <c r="E1823" s="4">
        <v>0</v>
      </c>
      <c r="F1823" s="1" t="str">
        <f>_xlfn.XLOOKUP(A1823,Orders!A:A,Orders!B:B,"not found")</f>
        <v>MAGAA</v>
      </c>
      <c r="G1823" s="13">
        <f>_xlfn.XLOOKUP(OrderDetails[[#This Row],[OrderID]],Orders!A:A,Orders!C:C,"Not Found")</f>
        <v>35870</v>
      </c>
      <c r="H1823" s="16">
        <f>(OrderDetails[[#This Row],[UnitPrice]]*OrderDetails[[#This Row],[Quantity]])*(1-OrderDetails[[#This Row],[Discount]])</f>
        <v>110</v>
      </c>
      <c r="I1823" s="15" t="str">
        <f>_xlfn.XLOOKUP(OrderDetails[[#This Row],[ProductID]],Product!A:A,Product!G:G,"Not Found")</f>
        <v>Condiments</v>
      </c>
      <c r="J1823" s="15" t="str">
        <f>LOOKUP(MONTH(G1823),{1,4,7,10},{"Winter","Spring","Summer","Autumn"})</f>
        <v>Winter</v>
      </c>
      <c r="K1823" s="15" t="str">
        <f>_xlfn.XLOOKUP(OrderDetails[[#This Row],[ProductID]],Product!A:A,Product!B:B,"Not Found")</f>
        <v>Chef Anton's Cajun Seasoning</v>
      </c>
    </row>
    <row r="1824" spans="1:11">
      <c r="A1824" s="1">
        <v>10951</v>
      </c>
      <c r="B1824" s="1">
        <v>33</v>
      </c>
      <c r="C1824" s="1">
        <v>2.5</v>
      </c>
      <c r="D1824" s="1">
        <v>15</v>
      </c>
      <c r="E1824" s="3">
        <v>5.000000074505806E-2</v>
      </c>
      <c r="F1824" s="1" t="str">
        <f>_xlfn.XLOOKUP(A1824,Orders!A:A,Orders!B:B,"not found")</f>
        <v>RICSU</v>
      </c>
      <c r="G1824" s="13">
        <f>_xlfn.XLOOKUP(OrderDetails[[#This Row],[OrderID]],Orders!A:A,Orders!C:C,"Not Found")</f>
        <v>35870</v>
      </c>
      <c r="H1824" s="16">
        <f>(OrderDetails[[#This Row],[UnitPrice]]*OrderDetails[[#This Row],[Quantity]])*(1-OrderDetails[[#This Row],[Discount]])</f>
        <v>35.624999972060323</v>
      </c>
      <c r="I1824" s="15" t="str">
        <f>_xlfn.XLOOKUP(OrderDetails[[#This Row],[ProductID]],Product!A:A,Product!G:G,"Not Found")</f>
        <v>Dairy Products</v>
      </c>
      <c r="J1824" s="15" t="str">
        <f>LOOKUP(MONTH(G1824),{1,4,7,10},{"Winter","Spring","Summer","Autumn"})</f>
        <v>Winter</v>
      </c>
      <c r="K1824" s="15" t="str">
        <f>_xlfn.XLOOKUP(OrderDetails[[#This Row],[ProductID]],Product!A:A,Product!B:B,"Not Found")</f>
        <v>Geitost</v>
      </c>
    </row>
    <row r="1825" spans="1:11">
      <c r="A1825" s="2">
        <v>10951</v>
      </c>
      <c r="B1825" s="2">
        <v>41</v>
      </c>
      <c r="C1825" s="2">
        <v>9.65</v>
      </c>
      <c r="D1825" s="2">
        <v>6</v>
      </c>
      <c r="E1825" s="4">
        <v>5.000000074505806E-2</v>
      </c>
      <c r="F1825" s="1" t="str">
        <f>_xlfn.XLOOKUP(A1825,Orders!A:A,Orders!B:B,"not found")</f>
        <v>RICSU</v>
      </c>
      <c r="G1825" s="13">
        <f>_xlfn.XLOOKUP(OrderDetails[[#This Row],[OrderID]],Orders!A:A,Orders!C:C,"Not Found")</f>
        <v>35870</v>
      </c>
      <c r="H1825" s="16">
        <f>(OrderDetails[[#This Row],[UnitPrice]]*OrderDetails[[#This Row],[Quantity]])*(1-OrderDetails[[#This Row],[Discount]])</f>
        <v>55.004999956861141</v>
      </c>
      <c r="I1825" s="15" t="str">
        <f>_xlfn.XLOOKUP(OrderDetails[[#This Row],[ProductID]],Product!A:A,Product!G:G,"Not Found")</f>
        <v>Seafood</v>
      </c>
      <c r="J1825" s="15" t="str">
        <f>LOOKUP(MONTH(G1825),{1,4,7,10},{"Winter","Spring","Summer","Autumn"})</f>
        <v>Winter</v>
      </c>
      <c r="K1825" s="15" t="str">
        <f>_xlfn.XLOOKUP(OrderDetails[[#This Row],[ProductID]],Product!A:A,Product!B:B,"Not Found")</f>
        <v>Jack's New England Clam Chowder</v>
      </c>
    </row>
    <row r="1826" spans="1:11">
      <c r="A1826" s="1">
        <v>10951</v>
      </c>
      <c r="B1826" s="1">
        <v>75</v>
      </c>
      <c r="C1826" s="1">
        <v>7.75</v>
      </c>
      <c r="D1826" s="1">
        <v>50</v>
      </c>
      <c r="E1826" s="3">
        <v>5.000000074505806E-2</v>
      </c>
      <c r="F1826" s="1" t="str">
        <f>_xlfn.XLOOKUP(A1826,Orders!A:A,Orders!B:B,"not found")</f>
        <v>RICSU</v>
      </c>
      <c r="G1826" s="13">
        <f>_xlfn.XLOOKUP(OrderDetails[[#This Row],[OrderID]],Orders!A:A,Orders!C:C,"Not Found")</f>
        <v>35870</v>
      </c>
      <c r="H1826" s="16">
        <f>(OrderDetails[[#This Row],[UnitPrice]]*OrderDetails[[#This Row],[Quantity]])*(1-OrderDetails[[#This Row],[Discount]])</f>
        <v>368.12499971129</v>
      </c>
      <c r="I1826" s="15" t="str">
        <f>_xlfn.XLOOKUP(OrderDetails[[#This Row],[ProductID]],Product!A:A,Product!G:G,"Not Found")</f>
        <v>Beverages</v>
      </c>
      <c r="J1826" s="15" t="str">
        <f>LOOKUP(MONTH(G1826),{1,4,7,10},{"Winter","Spring","Summer","Autumn"})</f>
        <v>Winter</v>
      </c>
      <c r="K1826" s="15" t="str">
        <f>_xlfn.XLOOKUP(OrderDetails[[#This Row],[ProductID]],Product!A:A,Product!B:B,"Not Found")</f>
        <v>Rhönbräu Klosterbier</v>
      </c>
    </row>
    <row r="1827" spans="1:11">
      <c r="A1827" s="2">
        <v>10952</v>
      </c>
      <c r="B1827" s="2">
        <v>6</v>
      </c>
      <c r="C1827" s="2">
        <v>25</v>
      </c>
      <c r="D1827" s="2">
        <v>16</v>
      </c>
      <c r="E1827" s="4">
        <v>5.000000074505806E-2</v>
      </c>
      <c r="F1827" s="1" t="str">
        <f>_xlfn.XLOOKUP(A1827,Orders!A:A,Orders!B:B,"not found")</f>
        <v>ALFKI</v>
      </c>
      <c r="G1827" s="13">
        <f>_xlfn.XLOOKUP(OrderDetails[[#This Row],[OrderID]],Orders!A:A,Orders!C:C,"Not Found")</f>
        <v>35870</v>
      </c>
      <c r="H1827" s="16">
        <f>(OrderDetails[[#This Row],[UnitPrice]]*OrderDetails[[#This Row],[Quantity]])*(1-OrderDetails[[#This Row],[Discount]])</f>
        <v>379.99999970197678</v>
      </c>
      <c r="I1827" s="15" t="str">
        <f>_xlfn.XLOOKUP(OrderDetails[[#This Row],[ProductID]],Product!A:A,Product!G:G,"Not Found")</f>
        <v>Condiments</v>
      </c>
      <c r="J1827" s="15" t="str">
        <f>LOOKUP(MONTH(G1827),{1,4,7,10},{"Winter","Spring","Summer","Autumn"})</f>
        <v>Winter</v>
      </c>
      <c r="K1827" s="15" t="str">
        <f>_xlfn.XLOOKUP(OrderDetails[[#This Row],[ProductID]],Product!A:A,Product!B:B,"Not Found")</f>
        <v>Grandma's Boysenberry Spread</v>
      </c>
    </row>
    <row r="1828" spans="1:11">
      <c r="A1828" s="1">
        <v>10952</v>
      </c>
      <c r="B1828" s="1">
        <v>28</v>
      </c>
      <c r="C1828" s="1">
        <v>45.6</v>
      </c>
      <c r="D1828" s="1">
        <v>2</v>
      </c>
      <c r="E1828" s="3">
        <v>0</v>
      </c>
      <c r="F1828" s="1" t="str">
        <f>_xlfn.XLOOKUP(A1828,Orders!A:A,Orders!B:B,"not found")</f>
        <v>ALFKI</v>
      </c>
      <c r="G1828" s="13">
        <f>_xlfn.XLOOKUP(OrderDetails[[#This Row],[OrderID]],Orders!A:A,Orders!C:C,"Not Found")</f>
        <v>35870</v>
      </c>
      <c r="H1828" s="16">
        <f>(OrderDetails[[#This Row],[UnitPrice]]*OrderDetails[[#This Row],[Quantity]])*(1-OrderDetails[[#This Row],[Discount]])</f>
        <v>91.2</v>
      </c>
      <c r="I1828" s="15" t="str">
        <f>_xlfn.XLOOKUP(OrderDetails[[#This Row],[ProductID]],Product!A:A,Product!G:G,"Not Found")</f>
        <v>Produce</v>
      </c>
      <c r="J1828" s="15" t="str">
        <f>LOOKUP(MONTH(G1828),{1,4,7,10},{"Winter","Spring","Summer","Autumn"})</f>
        <v>Winter</v>
      </c>
      <c r="K1828" s="15" t="str">
        <f>_xlfn.XLOOKUP(OrderDetails[[#This Row],[ProductID]],Product!A:A,Product!B:B,"Not Found")</f>
        <v>Rössle Sauerkraut</v>
      </c>
    </row>
    <row r="1829" spans="1:11">
      <c r="A1829" s="2">
        <v>10953</v>
      </c>
      <c r="B1829" s="2">
        <v>20</v>
      </c>
      <c r="C1829" s="2">
        <v>81</v>
      </c>
      <c r="D1829" s="2">
        <v>50</v>
      </c>
      <c r="E1829" s="4">
        <v>5.000000074505806E-2</v>
      </c>
      <c r="F1829" s="1" t="str">
        <f>_xlfn.XLOOKUP(A1829,Orders!A:A,Orders!B:B,"not found")</f>
        <v>AROUT</v>
      </c>
      <c r="G1829" s="13">
        <f>_xlfn.XLOOKUP(OrderDetails[[#This Row],[OrderID]],Orders!A:A,Orders!C:C,"Not Found")</f>
        <v>35870</v>
      </c>
      <c r="H1829" s="16">
        <f>(OrderDetails[[#This Row],[UnitPrice]]*OrderDetails[[#This Row],[Quantity]])*(1-OrderDetails[[#This Row],[Discount]])</f>
        <v>3847.4999969825149</v>
      </c>
      <c r="I1829" s="15" t="str">
        <f>_xlfn.XLOOKUP(OrderDetails[[#This Row],[ProductID]],Product!A:A,Product!G:G,"Not Found")</f>
        <v>Confections</v>
      </c>
      <c r="J1829" s="15" t="str">
        <f>LOOKUP(MONTH(G1829),{1,4,7,10},{"Winter","Spring","Summer","Autumn"})</f>
        <v>Winter</v>
      </c>
      <c r="K1829" s="15" t="str">
        <f>_xlfn.XLOOKUP(OrderDetails[[#This Row],[ProductID]],Product!A:A,Product!B:B,"Not Found")</f>
        <v>Sir Rodney's Marmalade</v>
      </c>
    </row>
    <row r="1830" spans="1:11">
      <c r="A1830" s="1">
        <v>10953</v>
      </c>
      <c r="B1830" s="1">
        <v>31</v>
      </c>
      <c r="C1830" s="1">
        <v>12.5</v>
      </c>
      <c r="D1830" s="1">
        <v>50</v>
      </c>
      <c r="E1830" s="3">
        <v>5.000000074505806E-2</v>
      </c>
      <c r="F1830" s="1" t="str">
        <f>_xlfn.XLOOKUP(A1830,Orders!A:A,Orders!B:B,"not found")</f>
        <v>AROUT</v>
      </c>
      <c r="G1830" s="13">
        <f>_xlfn.XLOOKUP(OrderDetails[[#This Row],[OrderID]],Orders!A:A,Orders!C:C,"Not Found")</f>
        <v>35870</v>
      </c>
      <c r="H1830" s="16">
        <f>(OrderDetails[[#This Row],[UnitPrice]]*OrderDetails[[#This Row],[Quantity]])*(1-OrderDetails[[#This Row],[Discount]])</f>
        <v>593.74999953433871</v>
      </c>
      <c r="I1830" s="15" t="str">
        <f>_xlfn.XLOOKUP(OrderDetails[[#This Row],[ProductID]],Product!A:A,Product!G:G,"Not Found")</f>
        <v>Dairy Products</v>
      </c>
      <c r="J1830" s="15" t="str">
        <f>LOOKUP(MONTH(G1830),{1,4,7,10},{"Winter","Spring","Summer","Autumn"})</f>
        <v>Winter</v>
      </c>
      <c r="K1830" s="15" t="str">
        <f>_xlfn.XLOOKUP(OrderDetails[[#This Row],[ProductID]],Product!A:A,Product!B:B,"Not Found")</f>
        <v>Gorgonzola Telino</v>
      </c>
    </row>
    <row r="1831" spans="1:11">
      <c r="A1831" s="2">
        <v>10954</v>
      </c>
      <c r="B1831" s="2">
        <v>16</v>
      </c>
      <c r="C1831" s="2">
        <v>17.45</v>
      </c>
      <c r="D1831" s="2">
        <v>28</v>
      </c>
      <c r="E1831" s="4">
        <v>0.15000000596046448</v>
      </c>
      <c r="F1831" s="1" t="str">
        <f>_xlfn.XLOOKUP(A1831,Orders!A:A,Orders!B:B,"not found")</f>
        <v>LINOD</v>
      </c>
      <c r="G1831" s="13">
        <f>_xlfn.XLOOKUP(OrderDetails[[#This Row],[OrderID]],Orders!A:A,Orders!C:C,"Not Found")</f>
        <v>35871</v>
      </c>
      <c r="H1831" s="16">
        <f>(OrderDetails[[#This Row],[UnitPrice]]*OrderDetails[[#This Row],[Quantity]])*(1-OrderDetails[[#This Row],[Discount]])</f>
        <v>415.30999708771702</v>
      </c>
      <c r="I1831" s="15" t="str">
        <f>_xlfn.XLOOKUP(OrderDetails[[#This Row],[ProductID]],Product!A:A,Product!G:G,"Not Found")</f>
        <v>Confections</v>
      </c>
      <c r="J1831" s="15" t="str">
        <f>LOOKUP(MONTH(G1831),{1,4,7,10},{"Winter","Spring","Summer","Autumn"})</f>
        <v>Winter</v>
      </c>
      <c r="K1831" s="15" t="str">
        <f>_xlfn.XLOOKUP(OrderDetails[[#This Row],[ProductID]],Product!A:A,Product!B:B,"Not Found")</f>
        <v>Pavlova</v>
      </c>
    </row>
    <row r="1832" spans="1:11">
      <c r="A1832" s="1">
        <v>10954</v>
      </c>
      <c r="B1832" s="1">
        <v>31</v>
      </c>
      <c r="C1832" s="1">
        <v>12.5</v>
      </c>
      <c r="D1832" s="1">
        <v>25</v>
      </c>
      <c r="E1832" s="3">
        <v>0.15000000596046448</v>
      </c>
      <c r="F1832" s="1" t="str">
        <f>_xlfn.XLOOKUP(A1832,Orders!A:A,Orders!B:B,"not found")</f>
        <v>LINOD</v>
      </c>
      <c r="G1832" s="13">
        <f>_xlfn.XLOOKUP(OrderDetails[[#This Row],[OrderID]],Orders!A:A,Orders!C:C,"Not Found")</f>
        <v>35871</v>
      </c>
      <c r="H1832" s="16">
        <f>(OrderDetails[[#This Row],[UnitPrice]]*OrderDetails[[#This Row],[Quantity]])*(1-OrderDetails[[#This Row],[Discount]])</f>
        <v>265.62499813735485</v>
      </c>
      <c r="I1832" s="15" t="str">
        <f>_xlfn.XLOOKUP(OrderDetails[[#This Row],[ProductID]],Product!A:A,Product!G:G,"Not Found")</f>
        <v>Dairy Products</v>
      </c>
      <c r="J1832" s="15" t="str">
        <f>LOOKUP(MONTH(G1832),{1,4,7,10},{"Winter","Spring","Summer","Autumn"})</f>
        <v>Winter</v>
      </c>
      <c r="K1832" s="15" t="str">
        <f>_xlfn.XLOOKUP(OrderDetails[[#This Row],[ProductID]],Product!A:A,Product!B:B,"Not Found")</f>
        <v>Gorgonzola Telino</v>
      </c>
    </row>
    <row r="1833" spans="1:11">
      <c r="A1833" s="2">
        <v>10954</v>
      </c>
      <c r="B1833" s="2">
        <v>45</v>
      </c>
      <c r="C1833" s="2">
        <v>9.5</v>
      </c>
      <c r="D1833" s="2">
        <v>30</v>
      </c>
      <c r="E1833" s="4">
        <v>0</v>
      </c>
      <c r="F1833" s="1" t="str">
        <f>_xlfn.XLOOKUP(A1833,Orders!A:A,Orders!B:B,"not found")</f>
        <v>LINOD</v>
      </c>
      <c r="G1833" s="13">
        <f>_xlfn.XLOOKUP(OrderDetails[[#This Row],[OrderID]],Orders!A:A,Orders!C:C,"Not Found")</f>
        <v>35871</v>
      </c>
      <c r="H1833" s="16">
        <f>(OrderDetails[[#This Row],[UnitPrice]]*OrderDetails[[#This Row],[Quantity]])*(1-OrderDetails[[#This Row],[Discount]])</f>
        <v>285</v>
      </c>
      <c r="I1833" s="15" t="str">
        <f>_xlfn.XLOOKUP(OrderDetails[[#This Row],[ProductID]],Product!A:A,Product!G:G,"Not Found")</f>
        <v>Seafood</v>
      </c>
      <c r="J1833" s="15" t="str">
        <f>LOOKUP(MONTH(G1833),{1,4,7,10},{"Winter","Spring","Summer","Autumn"})</f>
        <v>Winter</v>
      </c>
      <c r="K1833" s="15" t="str">
        <f>_xlfn.XLOOKUP(OrderDetails[[#This Row],[ProductID]],Product!A:A,Product!B:B,"Not Found")</f>
        <v>Rogede sild</v>
      </c>
    </row>
    <row r="1834" spans="1:11">
      <c r="A1834" s="1">
        <v>10954</v>
      </c>
      <c r="B1834" s="1">
        <v>60</v>
      </c>
      <c r="C1834" s="1">
        <v>34</v>
      </c>
      <c r="D1834" s="1">
        <v>24</v>
      </c>
      <c r="E1834" s="3">
        <v>0.15000000596046448</v>
      </c>
      <c r="F1834" s="1" t="str">
        <f>_xlfn.XLOOKUP(A1834,Orders!A:A,Orders!B:B,"not found")</f>
        <v>LINOD</v>
      </c>
      <c r="G1834" s="13">
        <f>_xlfn.XLOOKUP(OrderDetails[[#This Row],[OrderID]],Orders!A:A,Orders!C:C,"Not Found")</f>
        <v>35871</v>
      </c>
      <c r="H1834" s="16">
        <f>(OrderDetails[[#This Row],[UnitPrice]]*OrderDetails[[#This Row],[Quantity]])*(1-OrderDetails[[#This Row],[Discount]])</f>
        <v>693.59999513626099</v>
      </c>
      <c r="I1834" s="15" t="str">
        <f>_xlfn.XLOOKUP(OrderDetails[[#This Row],[ProductID]],Product!A:A,Product!G:G,"Not Found")</f>
        <v>Dairy Products</v>
      </c>
      <c r="J1834" s="15" t="str">
        <f>LOOKUP(MONTH(G1834),{1,4,7,10},{"Winter","Spring","Summer","Autumn"})</f>
        <v>Winter</v>
      </c>
      <c r="K1834" s="15" t="str">
        <f>_xlfn.XLOOKUP(OrderDetails[[#This Row],[ProductID]],Product!A:A,Product!B:B,"Not Found")</f>
        <v>Camembert Pierrot</v>
      </c>
    </row>
    <row r="1835" spans="1:11">
      <c r="A1835" s="2">
        <v>10955</v>
      </c>
      <c r="B1835" s="2">
        <v>75</v>
      </c>
      <c r="C1835" s="2">
        <v>7.75</v>
      </c>
      <c r="D1835" s="2">
        <v>12</v>
      </c>
      <c r="E1835" s="4">
        <v>0.20000000298023224</v>
      </c>
      <c r="F1835" s="1" t="str">
        <f>_xlfn.XLOOKUP(A1835,Orders!A:A,Orders!B:B,"not found")</f>
        <v>FOLKO</v>
      </c>
      <c r="G1835" s="13">
        <f>_xlfn.XLOOKUP(OrderDetails[[#This Row],[OrderID]],Orders!A:A,Orders!C:C,"Not Found")</f>
        <v>35871</v>
      </c>
      <c r="H1835" s="16">
        <f>(OrderDetails[[#This Row],[UnitPrice]]*OrderDetails[[#This Row],[Quantity]])*(1-OrderDetails[[#This Row],[Discount]])</f>
        <v>74.399999722838402</v>
      </c>
      <c r="I1835" s="15" t="str">
        <f>_xlfn.XLOOKUP(OrderDetails[[#This Row],[ProductID]],Product!A:A,Product!G:G,"Not Found")</f>
        <v>Beverages</v>
      </c>
      <c r="J1835" s="15" t="str">
        <f>LOOKUP(MONTH(G1835),{1,4,7,10},{"Winter","Spring","Summer","Autumn"})</f>
        <v>Winter</v>
      </c>
      <c r="K1835" s="15" t="str">
        <f>_xlfn.XLOOKUP(OrderDetails[[#This Row],[ProductID]],Product!A:A,Product!B:B,"Not Found")</f>
        <v>Rhönbräu Klosterbier</v>
      </c>
    </row>
    <row r="1836" spans="1:11">
      <c r="A1836" s="1">
        <v>10956</v>
      </c>
      <c r="B1836" s="1">
        <v>21</v>
      </c>
      <c r="C1836" s="1">
        <v>10</v>
      </c>
      <c r="D1836" s="1">
        <v>12</v>
      </c>
      <c r="E1836" s="3">
        <v>0</v>
      </c>
      <c r="F1836" s="1" t="str">
        <f>_xlfn.XLOOKUP(A1836,Orders!A:A,Orders!B:B,"not found")</f>
        <v>BLAUS</v>
      </c>
      <c r="G1836" s="13">
        <f>_xlfn.XLOOKUP(OrderDetails[[#This Row],[OrderID]],Orders!A:A,Orders!C:C,"Not Found")</f>
        <v>35871</v>
      </c>
      <c r="H1836" s="16">
        <f>(OrderDetails[[#This Row],[UnitPrice]]*OrderDetails[[#This Row],[Quantity]])*(1-OrderDetails[[#This Row],[Discount]])</f>
        <v>120</v>
      </c>
      <c r="I1836" s="15" t="str">
        <f>_xlfn.XLOOKUP(OrderDetails[[#This Row],[ProductID]],Product!A:A,Product!G:G,"Not Found")</f>
        <v>Confections</v>
      </c>
      <c r="J1836" s="15" t="str">
        <f>LOOKUP(MONTH(G1836),{1,4,7,10},{"Winter","Spring","Summer","Autumn"})</f>
        <v>Winter</v>
      </c>
      <c r="K1836" s="15" t="str">
        <f>_xlfn.XLOOKUP(OrderDetails[[#This Row],[ProductID]],Product!A:A,Product!B:B,"Not Found")</f>
        <v>Sir Rodney's Scones</v>
      </c>
    </row>
    <row r="1837" spans="1:11">
      <c r="A1837" s="2">
        <v>10956</v>
      </c>
      <c r="B1837" s="2">
        <v>47</v>
      </c>
      <c r="C1837" s="2">
        <v>9.5</v>
      </c>
      <c r="D1837" s="2">
        <v>14</v>
      </c>
      <c r="E1837" s="4">
        <v>0</v>
      </c>
      <c r="F1837" s="1" t="str">
        <f>_xlfn.XLOOKUP(A1837,Orders!A:A,Orders!B:B,"not found")</f>
        <v>BLAUS</v>
      </c>
      <c r="G1837" s="13">
        <f>_xlfn.XLOOKUP(OrderDetails[[#This Row],[OrderID]],Orders!A:A,Orders!C:C,"Not Found")</f>
        <v>35871</v>
      </c>
      <c r="H1837" s="16">
        <f>(OrderDetails[[#This Row],[UnitPrice]]*OrderDetails[[#This Row],[Quantity]])*(1-OrderDetails[[#This Row],[Discount]])</f>
        <v>133</v>
      </c>
      <c r="I1837" s="15" t="str">
        <f>_xlfn.XLOOKUP(OrderDetails[[#This Row],[ProductID]],Product!A:A,Product!G:G,"Not Found")</f>
        <v>Confections</v>
      </c>
      <c r="J1837" s="15" t="str">
        <f>LOOKUP(MONTH(G1837),{1,4,7,10},{"Winter","Spring","Summer","Autumn"})</f>
        <v>Winter</v>
      </c>
      <c r="K1837" s="15" t="str">
        <f>_xlfn.XLOOKUP(OrderDetails[[#This Row],[ProductID]],Product!A:A,Product!B:B,"Not Found")</f>
        <v>Zaanse koeken</v>
      </c>
    </row>
    <row r="1838" spans="1:11">
      <c r="A1838" s="1">
        <v>10956</v>
      </c>
      <c r="B1838" s="1">
        <v>51</v>
      </c>
      <c r="C1838" s="1">
        <v>53</v>
      </c>
      <c r="D1838" s="1">
        <v>8</v>
      </c>
      <c r="E1838" s="3">
        <v>0</v>
      </c>
      <c r="F1838" s="1" t="str">
        <f>_xlfn.XLOOKUP(A1838,Orders!A:A,Orders!B:B,"not found")</f>
        <v>BLAUS</v>
      </c>
      <c r="G1838" s="13">
        <f>_xlfn.XLOOKUP(OrderDetails[[#This Row],[OrderID]],Orders!A:A,Orders!C:C,"Not Found")</f>
        <v>35871</v>
      </c>
      <c r="H1838" s="16">
        <f>(OrderDetails[[#This Row],[UnitPrice]]*OrderDetails[[#This Row],[Quantity]])*(1-OrderDetails[[#This Row],[Discount]])</f>
        <v>424</v>
      </c>
      <c r="I1838" s="15" t="str">
        <f>_xlfn.XLOOKUP(OrderDetails[[#This Row],[ProductID]],Product!A:A,Product!G:G,"Not Found")</f>
        <v>Produce</v>
      </c>
      <c r="J1838" s="15" t="str">
        <f>LOOKUP(MONTH(G1838),{1,4,7,10},{"Winter","Spring","Summer","Autumn"})</f>
        <v>Winter</v>
      </c>
      <c r="K1838" s="15" t="str">
        <f>_xlfn.XLOOKUP(OrderDetails[[#This Row],[ProductID]],Product!A:A,Product!B:B,"Not Found")</f>
        <v>Manjimup Dried Apples</v>
      </c>
    </row>
    <row r="1839" spans="1:11">
      <c r="A1839" s="2">
        <v>10957</v>
      </c>
      <c r="B1839" s="2">
        <v>30</v>
      </c>
      <c r="C1839" s="2">
        <v>25.89</v>
      </c>
      <c r="D1839" s="2">
        <v>30</v>
      </c>
      <c r="E1839" s="4">
        <v>0</v>
      </c>
      <c r="F1839" s="1" t="str">
        <f>_xlfn.XLOOKUP(A1839,Orders!A:A,Orders!B:B,"not found")</f>
        <v>HILAA</v>
      </c>
      <c r="G1839" s="13">
        <f>_xlfn.XLOOKUP(OrderDetails[[#This Row],[OrderID]],Orders!A:A,Orders!C:C,"Not Found")</f>
        <v>35872</v>
      </c>
      <c r="H1839" s="16">
        <f>(OrderDetails[[#This Row],[UnitPrice]]*OrderDetails[[#This Row],[Quantity]])*(1-OrderDetails[[#This Row],[Discount]])</f>
        <v>776.7</v>
      </c>
      <c r="I1839" s="15" t="str">
        <f>_xlfn.XLOOKUP(OrderDetails[[#This Row],[ProductID]],Product!A:A,Product!G:G,"Not Found")</f>
        <v>Seafood</v>
      </c>
      <c r="J1839" s="15" t="str">
        <f>LOOKUP(MONTH(G1839),{1,4,7,10},{"Winter","Spring","Summer","Autumn"})</f>
        <v>Winter</v>
      </c>
      <c r="K1839" s="15" t="str">
        <f>_xlfn.XLOOKUP(OrderDetails[[#This Row],[ProductID]],Product!A:A,Product!B:B,"Not Found")</f>
        <v>Nord-Ost Matjeshering</v>
      </c>
    </row>
    <row r="1840" spans="1:11">
      <c r="A1840" s="1">
        <v>10957</v>
      </c>
      <c r="B1840" s="1">
        <v>35</v>
      </c>
      <c r="C1840" s="1">
        <v>18</v>
      </c>
      <c r="D1840" s="1">
        <v>40</v>
      </c>
      <c r="E1840" s="3">
        <v>0</v>
      </c>
      <c r="F1840" s="1" t="str">
        <f>_xlfn.XLOOKUP(A1840,Orders!A:A,Orders!B:B,"not found")</f>
        <v>HILAA</v>
      </c>
      <c r="G1840" s="13">
        <f>_xlfn.XLOOKUP(OrderDetails[[#This Row],[OrderID]],Orders!A:A,Orders!C:C,"Not Found")</f>
        <v>35872</v>
      </c>
      <c r="H1840" s="16">
        <f>(OrderDetails[[#This Row],[UnitPrice]]*OrderDetails[[#This Row],[Quantity]])*(1-OrderDetails[[#This Row],[Discount]])</f>
        <v>720</v>
      </c>
      <c r="I1840" s="15" t="str">
        <f>_xlfn.XLOOKUP(OrderDetails[[#This Row],[ProductID]],Product!A:A,Product!G:G,"Not Found")</f>
        <v>Beverages</v>
      </c>
      <c r="J1840" s="15" t="str">
        <f>LOOKUP(MONTH(G1840),{1,4,7,10},{"Winter","Spring","Summer","Autumn"})</f>
        <v>Winter</v>
      </c>
      <c r="K1840" s="15" t="str">
        <f>_xlfn.XLOOKUP(OrderDetails[[#This Row],[ProductID]],Product!A:A,Product!B:B,"Not Found")</f>
        <v>Steeleye Stout</v>
      </c>
    </row>
    <row r="1841" spans="1:11">
      <c r="A1841" s="2">
        <v>10957</v>
      </c>
      <c r="B1841" s="2">
        <v>64</v>
      </c>
      <c r="C1841" s="2">
        <v>33.25</v>
      </c>
      <c r="D1841" s="2">
        <v>8</v>
      </c>
      <c r="E1841" s="4">
        <v>0</v>
      </c>
      <c r="F1841" s="1" t="str">
        <f>_xlfn.XLOOKUP(A1841,Orders!A:A,Orders!B:B,"not found")</f>
        <v>HILAA</v>
      </c>
      <c r="G1841" s="13">
        <f>_xlfn.XLOOKUP(OrderDetails[[#This Row],[OrderID]],Orders!A:A,Orders!C:C,"Not Found")</f>
        <v>35872</v>
      </c>
      <c r="H1841" s="16">
        <f>(OrderDetails[[#This Row],[UnitPrice]]*OrderDetails[[#This Row],[Quantity]])*(1-OrderDetails[[#This Row],[Discount]])</f>
        <v>266</v>
      </c>
      <c r="I1841" s="15" t="str">
        <f>_xlfn.XLOOKUP(OrderDetails[[#This Row],[ProductID]],Product!A:A,Product!G:G,"Not Found")</f>
        <v>Grains/Cereals</v>
      </c>
      <c r="J1841" s="15" t="str">
        <f>LOOKUP(MONTH(G1841),{1,4,7,10},{"Winter","Spring","Summer","Autumn"})</f>
        <v>Winter</v>
      </c>
      <c r="K1841" s="15" t="str">
        <f>_xlfn.XLOOKUP(OrderDetails[[#This Row],[ProductID]],Product!A:A,Product!B:B,"Not Found")</f>
        <v>Wimmers gute Semmelknödel</v>
      </c>
    </row>
    <row r="1842" spans="1:11">
      <c r="A1842" s="1">
        <v>10958</v>
      </c>
      <c r="B1842" s="1">
        <v>5</v>
      </c>
      <c r="C1842" s="1">
        <v>21.35</v>
      </c>
      <c r="D1842" s="1">
        <v>20</v>
      </c>
      <c r="E1842" s="3">
        <v>0</v>
      </c>
      <c r="F1842" s="1" t="str">
        <f>_xlfn.XLOOKUP(A1842,Orders!A:A,Orders!B:B,"not found")</f>
        <v>OCEAN</v>
      </c>
      <c r="G1842" s="13">
        <f>_xlfn.XLOOKUP(OrderDetails[[#This Row],[OrderID]],Orders!A:A,Orders!C:C,"Not Found")</f>
        <v>35872</v>
      </c>
      <c r="H1842" s="16">
        <f>(OrderDetails[[#This Row],[UnitPrice]]*OrderDetails[[#This Row],[Quantity]])*(1-OrderDetails[[#This Row],[Discount]])</f>
        <v>427</v>
      </c>
      <c r="I1842" s="15" t="str">
        <f>_xlfn.XLOOKUP(OrderDetails[[#This Row],[ProductID]],Product!A:A,Product!G:G,"Not Found")</f>
        <v>Condiments</v>
      </c>
      <c r="J1842" s="15" t="str">
        <f>LOOKUP(MONTH(G1842),{1,4,7,10},{"Winter","Spring","Summer","Autumn"})</f>
        <v>Winter</v>
      </c>
      <c r="K1842" s="15" t="str">
        <f>_xlfn.XLOOKUP(OrderDetails[[#This Row],[ProductID]],Product!A:A,Product!B:B,"Not Found")</f>
        <v>Chef Anton's Gumbo Mix</v>
      </c>
    </row>
    <row r="1843" spans="1:11">
      <c r="A1843" s="2">
        <v>10958</v>
      </c>
      <c r="B1843" s="2">
        <v>7</v>
      </c>
      <c r="C1843" s="2">
        <v>30</v>
      </c>
      <c r="D1843" s="2">
        <v>6</v>
      </c>
      <c r="E1843" s="4">
        <v>0</v>
      </c>
      <c r="F1843" s="1" t="str">
        <f>_xlfn.XLOOKUP(A1843,Orders!A:A,Orders!B:B,"not found")</f>
        <v>OCEAN</v>
      </c>
      <c r="G1843" s="13">
        <f>_xlfn.XLOOKUP(OrderDetails[[#This Row],[OrderID]],Orders!A:A,Orders!C:C,"Not Found")</f>
        <v>35872</v>
      </c>
      <c r="H1843" s="16">
        <f>(OrderDetails[[#This Row],[UnitPrice]]*OrderDetails[[#This Row],[Quantity]])*(1-OrderDetails[[#This Row],[Discount]])</f>
        <v>180</v>
      </c>
      <c r="I1843" s="15" t="str">
        <f>_xlfn.XLOOKUP(OrderDetails[[#This Row],[ProductID]],Product!A:A,Product!G:G,"Not Found")</f>
        <v>Produce</v>
      </c>
      <c r="J1843" s="15" t="str">
        <f>LOOKUP(MONTH(G1843),{1,4,7,10},{"Winter","Spring","Summer","Autumn"})</f>
        <v>Winter</v>
      </c>
      <c r="K1843" s="15" t="str">
        <f>_xlfn.XLOOKUP(OrderDetails[[#This Row],[ProductID]],Product!A:A,Product!B:B,"Not Found")</f>
        <v>Uncle Bob's Organic Dried Pears</v>
      </c>
    </row>
    <row r="1844" spans="1:11">
      <c r="A1844" s="1">
        <v>10958</v>
      </c>
      <c r="B1844" s="1">
        <v>72</v>
      </c>
      <c r="C1844" s="1">
        <v>34.799999999999997</v>
      </c>
      <c r="D1844" s="1">
        <v>5</v>
      </c>
      <c r="E1844" s="3">
        <v>0</v>
      </c>
      <c r="F1844" s="1" t="str">
        <f>_xlfn.XLOOKUP(A1844,Orders!A:A,Orders!B:B,"not found")</f>
        <v>OCEAN</v>
      </c>
      <c r="G1844" s="13">
        <f>_xlfn.XLOOKUP(OrderDetails[[#This Row],[OrderID]],Orders!A:A,Orders!C:C,"Not Found")</f>
        <v>35872</v>
      </c>
      <c r="H1844" s="16">
        <f>(OrderDetails[[#This Row],[UnitPrice]]*OrderDetails[[#This Row],[Quantity]])*(1-OrderDetails[[#This Row],[Discount]])</f>
        <v>174</v>
      </c>
      <c r="I1844" s="15" t="str">
        <f>_xlfn.XLOOKUP(OrderDetails[[#This Row],[ProductID]],Product!A:A,Product!G:G,"Not Found")</f>
        <v>Dairy Products</v>
      </c>
      <c r="J1844" s="15" t="str">
        <f>LOOKUP(MONTH(G1844),{1,4,7,10},{"Winter","Spring","Summer","Autumn"})</f>
        <v>Winter</v>
      </c>
      <c r="K1844" s="15" t="str">
        <f>_xlfn.XLOOKUP(OrderDetails[[#This Row],[ProductID]],Product!A:A,Product!B:B,"Not Found")</f>
        <v>Mozzarella di Giovanni</v>
      </c>
    </row>
    <row r="1845" spans="1:11">
      <c r="A1845" s="2">
        <v>10959</v>
      </c>
      <c r="B1845" s="2">
        <v>75</v>
      </c>
      <c r="C1845" s="2">
        <v>7.75</v>
      </c>
      <c r="D1845" s="2">
        <v>20</v>
      </c>
      <c r="E1845" s="4">
        <v>0.15000000596046448</v>
      </c>
      <c r="F1845" s="1" t="str">
        <f>_xlfn.XLOOKUP(A1845,Orders!A:A,Orders!B:B,"not found")</f>
        <v>GOURL</v>
      </c>
      <c r="G1845" s="13">
        <f>_xlfn.XLOOKUP(OrderDetails[[#This Row],[OrderID]],Orders!A:A,Orders!C:C,"Not Found")</f>
        <v>35872</v>
      </c>
      <c r="H1845" s="16">
        <f>(OrderDetails[[#This Row],[UnitPrice]]*OrderDetails[[#This Row],[Quantity]])*(1-OrderDetails[[#This Row],[Discount]])</f>
        <v>131.74999907612801</v>
      </c>
      <c r="I1845" s="15" t="str">
        <f>_xlfn.XLOOKUP(OrderDetails[[#This Row],[ProductID]],Product!A:A,Product!G:G,"Not Found")</f>
        <v>Beverages</v>
      </c>
      <c r="J1845" s="15" t="str">
        <f>LOOKUP(MONTH(G1845),{1,4,7,10},{"Winter","Spring","Summer","Autumn"})</f>
        <v>Winter</v>
      </c>
      <c r="K1845" s="15" t="str">
        <f>_xlfn.XLOOKUP(OrderDetails[[#This Row],[ProductID]],Product!A:A,Product!B:B,"Not Found")</f>
        <v>Rhönbräu Klosterbier</v>
      </c>
    </row>
    <row r="1846" spans="1:11">
      <c r="A1846" s="1">
        <v>10960</v>
      </c>
      <c r="B1846" s="1">
        <v>24</v>
      </c>
      <c r="C1846" s="1">
        <v>4.5</v>
      </c>
      <c r="D1846" s="1">
        <v>10</v>
      </c>
      <c r="E1846" s="3">
        <v>0.25</v>
      </c>
      <c r="F1846" s="1" t="str">
        <f>_xlfn.XLOOKUP(A1846,Orders!A:A,Orders!B:B,"not found")</f>
        <v>HILAA</v>
      </c>
      <c r="G1846" s="13">
        <f>_xlfn.XLOOKUP(OrderDetails[[#This Row],[OrderID]],Orders!A:A,Orders!C:C,"Not Found")</f>
        <v>35873</v>
      </c>
      <c r="H1846" s="16">
        <f>(OrderDetails[[#This Row],[UnitPrice]]*OrderDetails[[#This Row],[Quantity]])*(1-OrderDetails[[#This Row],[Discount]])</f>
        <v>33.75</v>
      </c>
      <c r="I1846" s="15" t="str">
        <f>_xlfn.XLOOKUP(OrderDetails[[#This Row],[ProductID]],Product!A:A,Product!G:G,"Not Found")</f>
        <v>Beverages</v>
      </c>
      <c r="J1846" s="15" t="str">
        <f>LOOKUP(MONTH(G1846),{1,4,7,10},{"Winter","Spring","Summer","Autumn"})</f>
        <v>Winter</v>
      </c>
      <c r="K1846" s="15" t="str">
        <f>_xlfn.XLOOKUP(OrderDetails[[#This Row],[ProductID]],Product!A:A,Product!B:B,"Not Found")</f>
        <v>Guaraná Fantástica</v>
      </c>
    </row>
    <row r="1847" spans="1:11">
      <c r="A1847" s="2">
        <v>10960</v>
      </c>
      <c r="B1847" s="2">
        <v>41</v>
      </c>
      <c r="C1847" s="2">
        <v>9.65</v>
      </c>
      <c r="D1847" s="2">
        <v>24</v>
      </c>
      <c r="E1847" s="4">
        <v>0</v>
      </c>
      <c r="F1847" s="1" t="str">
        <f>_xlfn.XLOOKUP(A1847,Orders!A:A,Orders!B:B,"not found")</f>
        <v>HILAA</v>
      </c>
      <c r="G1847" s="13">
        <f>_xlfn.XLOOKUP(OrderDetails[[#This Row],[OrderID]],Orders!A:A,Orders!C:C,"Not Found")</f>
        <v>35873</v>
      </c>
      <c r="H1847" s="16">
        <f>(OrderDetails[[#This Row],[UnitPrice]]*OrderDetails[[#This Row],[Quantity]])*(1-OrderDetails[[#This Row],[Discount]])</f>
        <v>231.60000000000002</v>
      </c>
      <c r="I1847" s="15" t="str">
        <f>_xlfn.XLOOKUP(OrderDetails[[#This Row],[ProductID]],Product!A:A,Product!G:G,"Not Found")</f>
        <v>Seafood</v>
      </c>
      <c r="J1847" s="15" t="str">
        <f>LOOKUP(MONTH(G1847),{1,4,7,10},{"Winter","Spring","Summer","Autumn"})</f>
        <v>Winter</v>
      </c>
      <c r="K1847" s="15" t="str">
        <f>_xlfn.XLOOKUP(OrderDetails[[#This Row],[ProductID]],Product!A:A,Product!B:B,"Not Found")</f>
        <v>Jack's New England Clam Chowder</v>
      </c>
    </row>
    <row r="1848" spans="1:11">
      <c r="A1848" s="1">
        <v>10961</v>
      </c>
      <c r="B1848" s="1">
        <v>52</v>
      </c>
      <c r="C1848" s="1">
        <v>7</v>
      </c>
      <c r="D1848" s="1">
        <v>6</v>
      </c>
      <c r="E1848" s="3">
        <v>5.000000074505806E-2</v>
      </c>
      <c r="F1848" s="1" t="str">
        <f>_xlfn.XLOOKUP(A1848,Orders!A:A,Orders!B:B,"not found")</f>
        <v>QUEEN</v>
      </c>
      <c r="G1848" s="13">
        <f>_xlfn.XLOOKUP(OrderDetails[[#This Row],[OrderID]],Orders!A:A,Orders!C:C,"Not Found")</f>
        <v>35873</v>
      </c>
      <c r="H1848" s="16">
        <f>(OrderDetails[[#This Row],[UnitPrice]]*OrderDetails[[#This Row],[Quantity]])*(1-OrderDetails[[#This Row],[Discount]])</f>
        <v>39.899999968707561</v>
      </c>
      <c r="I1848" s="15" t="str">
        <f>_xlfn.XLOOKUP(OrderDetails[[#This Row],[ProductID]],Product!A:A,Product!G:G,"Not Found")</f>
        <v>Grains/Cereals</v>
      </c>
      <c r="J1848" s="15" t="str">
        <f>LOOKUP(MONTH(G1848),{1,4,7,10},{"Winter","Spring","Summer","Autumn"})</f>
        <v>Winter</v>
      </c>
      <c r="K1848" s="15" t="str">
        <f>_xlfn.XLOOKUP(OrderDetails[[#This Row],[ProductID]],Product!A:A,Product!B:B,"Not Found")</f>
        <v>Filo Mix</v>
      </c>
    </row>
    <row r="1849" spans="1:11">
      <c r="A1849" s="2">
        <v>10961</v>
      </c>
      <c r="B1849" s="2">
        <v>76</v>
      </c>
      <c r="C1849" s="2">
        <v>18</v>
      </c>
      <c r="D1849" s="2">
        <v>60</v>
      </c>
      <c r="E1849" s="4">
        <v>0</v>
      </c>
      <c r="F1849" s="1" t="str">
        <f>_xlfn.XLOOKUP(A1849,Orders!A:A,Orders!B:B,"not found")</f>
        <v>QUEEN</v>
      </c>
      <c r="G1849" s="13">
        <f>_xlfn.XLOOKUP(OrderDetails[[#This Row],[OrderID]],Orders!A:A,Orders!C:C,"Not Found")</f>
        <v>35873</v>
      </c>
      <c r="H1849" s="16">
        <f>(OrderDetails[[#This Row],[UnitPrice]]*OrderDetails[[#This Row],[Quantity]])*(1-OrderDetails[[#This Row],[Discount]])</f>
        <v>1080</v>
      </c>
      <c r="I1849" s="15" t="str">
        <f>_xlfn.XLOOKUP(OrderDetails[[#This Row],[ProductID]],Product!A:A,Product!G:G,"Not Found")</f>
        <v>Beverages</v>
      </c>
      <c r="J1849" s="15" t="str">
        <f>LOOKUP(MONTH(G1849),{1,4,7,10},{"Winter","Spring","Summer","Autumn"})</f>
        <v>Winter</v>
      </c>
      <c r="K1849" s="15" t="str">
        <f>_xlfn.XLOOKUP(OrderDetails[[#This Row],[ProductID]],Product!A:A,Product!B:B,"Not Found")</f>
        <v>Lakkalikööri</v>
      </c>
    </row>
    <row r="1850" spans="1:11">
      <c r="A1850" s="1">
        <v>10962</v>
      </c>
      <c r="B1850" s="1">
        <v>7</v>
      </c>
      <c r="C1850" s="1">
        <v>30</v>
      </c>
      <c r="D1850" s="1">
        <v>45</v>
      </c>
      <c r="E1850" s="3">
        <v>0</v>
      </c>
      <c r="F1850" s="1" t="str">
        <f>_xlfn.XLOOKUP(A1850,Orders!A:A,Orders!B:B,"not found")</f>
        <v>QUICK</v>
      </c>
      <c r="G1850" s="13">
        <f>_xlfn.XLOOKUP(OrderDetails[[#This Row],[OrderID]],Orders!A:A,Orders!C:C,"Not Found")</f>
        <v>35873</v>
      </c>
      <c r="H1850" s="16">
        <f>(OrderDetails[[#This Row],[UnitPrice]]*OrderDetails[[#This Row],[Quantity]])*(1-OrderDetails[[#This Row],[Discount]])</f>
        <v>1350</v>
      </c>
      <c r="I1850" s="15" t="str">
        <f>_xlfn.XLOOKUP(OrderDetails[[#This Row],[ProductID]],Product!A:A,Product!G:G,"Not Found")</f>
        <v>Produce</v>
      </c>
      <c r="J1850" s="15" t="str">
        <f>LOOKUP(MONTH(G1850),{1,4,7,10},{"Winter","Spring","Summer","Autumn"})</f>
        <v>Winter</v>
      </c>
      <c r="K1850" s="15" t="str">
        <f>_xlfn.XLOOKUP(OrderDetails[[#This Row],[ProductID]],Product!A:A,Product!B:B,"Not Found")</f>
        <v>Uncle Bob's Organic Dried Pears</v>
      </c>
    </row>
    <row r="1851" spans="1:11">
      <c r="A1851" s="2">
        <v>10962</v>
      </c>
      <c r="B1851" s="2">
        <v>13</v>
      </c>
      <c r="C1851" s="2">
        <v>6</v>
      </c>
      <c r="D1851" s="2">
        <v>77</v>
      </c>
      <c r="E1851" s="4">
        <v>0</v>
      </c>
      <c r="F1851" s="1" t="str">
        <f>_xlfn.XLOOKUP(A1851,Orders!A:A,Orders!B:B,"not found")</f>
        <v>QUICK</v>
      </c>
      <c r="G1851" s="13">
        <f>_xlfn.XLOOKUP(OrderDetails[[#This Row],[OrderID]],Orders!A:A,Orders!C:C,"Not Found")</f>
        <v>35873</v>
      </c>
      <c r="H1851" s="16">
        <f>(OrderDetails[[#This Row],[UnitPrice]]*OrderDetails[[#This Row],[Quantity]])*(1-OrderDetails[[#This Row],[Discount]])</f>
        <v>462</v>
      </c>
      <c r="I1851" s="15" t="str">
        <f>_xlfn.XLOOKUP(OrderDetails[[#This Row],[ProductID]],Product!A:A,Product!G:G,"Not Found")</f>
        <v>Seafood</v>
      </c>
      <c r="J1851" s="15" t="str">
        <f>LOOKUP(MONTH(G1851),{1,4,7,10},{"Winter","Spring","Summer","Autumn"})</f>
        <v>Winter</v>
      </c>
      <c r="K1851" s="15" t="str">
        <f>_xlfn.XLOOKUP(OrderDetails[[#This Row],[ProductID]],Product!A:A,Product!B:B,"Not Found")</f>
        <v>Konbu</v>
      </c>
    </row>
    <row r="1852" spans="1:11">
      <c r="A1852" s="1">
        <v>10962</v>
      </c>
      <c r="B1852" s="1">
        <v>53</v>
      </c>
      <c r="C1852" s="1">
        <v>32.799999999999997</v>
      </c>
      <c r="D1852" s="1">
        <v>20</v>
      </c>
      <c r="E1852" s="3">
        <v>0</v>
      </c>
      <c r="F1852" s="1" t="str">
        <f>_xlfn.XLOOKUP(A1852,Orders!A:A,Orders!B:B,"not found")</f>
        <v>QUICK</v>
      </c>
      <c r="G1852" s="13">
        <f>_xlfn.XLOOKUP(OrderDetails[[#This Row],[OrderID]],Orders!A:A,Orders!C:C,"Not Found")</f>
        <v>35873</v>
      </c>
      <c r="H1852" s="16">
        <f>(OrderDetails[[#This Row],[UnitPrice]]*OrderDetails[[#This Row],[Quantity]])*(1-OrderDetails[[#This Row],[Discount]])</f>
        <v>656</v>
      </c>
      <c r="I1852" s="15" t="str">
        <f>_xlfn.XLOOKUP(OrderDetails[[#This Row],[ProductID]],Product!A:A,Product!G:G,"Not Found")</f>
        <v>Meat/Poultry</v>
      </c>
      <c r="J1852" s="15" t="str">
        <f>LOOKUP(MONTH(G1852),{1,4,7,10},{"Winter","Spring","Summer","Autumn"})</f>
        <v>Winter</v>
      </c>
      <c r="K1852" s="15" t="str">
        <f>_xlfn.XLOOKUP(OrderDetails[[#This Row],[ProductID]],Product!A:A,Product!B:B,"Not Found")</f>
        <v>Perth Pasties</v>
      </c>
    </row>
    <row r="1853" spans="1:11">
      <c r="A1853" s="2">
        <v>10962</v>
      </c>
      <c r="B1853" s="2">
        <v>69</v>
      </c>
      <c r="C1853" s="2">
        <v>36</v>
      </c>
      <c r="D1853" s="2">
        <v>9</v>
      </c>
      <c r="E1853" s="4">
        <v>0</v>
      </c>
      <c r="F1853" s="1" t="str">
        <f>_xlfn.XLOOKUP(A1853,Orders!A:A,Orders!B:B,"not found")</f>
        <v>QUICK</v>
      </c>
      <c r="G1853" s="13">
        <f>_xlfn.XLOOKUP(OrderDetails[[#This Row],[OrderID]],Orders!A:A,Orders!C:C,"Not Found")</f>
        <v>35873</v>
      </c>
      <c r="H1853" s="16">
        <f>(OrderDetails[[#This Row],[UnitPrice]]*OrderDetails[[#This Row],[Quantity]])*(1-OrderDetails[[#This Row],[Discount]])</f>
        <v>324</v>
      </c>
      <c r="I1853" s="15" t="str">
        <f>_xlfn.XLOOKUP(OrderDetails[[#This Row],[ProductID]],Product!A:A,Product!G:G,"Not Found")</f>
        <v>Dairy Products</v>
      </c>
      <c r="J1853" s="15" t="str">
        <f>LOOKUP(MONTH(G1853),{1,4,7,10},{"Winter","Spring","Summer","Autumn"})</f>
        <v>Winter</v>
      </c>
      <c r="K1853" s="15" t="str">
        <f>_xlfn.XLOOKUP(OrderDetails[[#This Row],[ProductID]],Product!A:A,Product!B:B,"Not Found")</f>
        <v>Gudbrandsdalsost</v>
      </c>
    </row>
    <row r="1854" spans="1:11">
      <c r="A1854" s="1">
        <v>10962</v>
      </c>
      <c r="B1854" s="1">
        <v>76</v>
      </c>
      <c r="C1854" s="1">
        <v>18</v>
      </c>
      <c r="D1854" s="1">
        <v>44</v>
      </c>
      <c r="E1854" s="3">
        <v>0</v>
      </c>
      <c r="F1854" s="1" t="str">
        <f>_xlfn.XLOOKUP(A1854,Orders!A:A,Orders!B:B,"not found")</f>
        <v>QUICK</v>
      </c>
      <c r="G1854" s="13">
        <f>_xlfn.XLOOKUP(OrderDetails[[#This Row],[OrderID]],Orders!A:A,Orders!C:C,"Not Found")</f>
        <v>35873</v>
      </c>
      <c r="H1854" s="16">
        <f>(OrderDetails[[#This Row],[UnitPrice]]*OrderDetails[[#This Row],[Quantity]])*(1-OrderDetails[[#This Row],[Discount]])</f>
        <v>792</v>
      </c>
      <c r="I1854" s="15" t="str">
        <f>_xlfn.XLOOKUP(OrderDetails[[#This Row],[ProductID]],Product!A:A,Product!G:G,"Not Found")</f>
        <v>Beverages</v>
      </c>
      <c r="J1854" s="15" t="str">
        <f>LOOKUP(MONTH(G1854),{1,4,7,10},{"Winter","Spring","Summer","Autumn"})</f>
        <v>Winter</v>
      </c>
      <c r="K1854" s="15" t="str">
        <f>_xlfn.XLOOKUP(OrderDetails[[#This Row],[ProductID]],Product!A:A,Product!B:B,"Not Found")</f>
        <v>Lakkalikööri</v>
      </c>
    </row>
    <row r="1855" spans="1:11">
      <c r="A1855" s="2">
        <v>10963</v>
      </c>
      <c r="B1855" s="2">
        <v>60</v>
      </c>
      <c r="C1855" s="2">
        <v>34</v>
      </c>
      <c r="D1855" s="2">
        <v>2</v>
      </c>
      <c r="E1855" s="4">
        <v>0.15000000596046448</v>
      </c>
      <c r="F1855" s="1" t="str">
        <f>_xlfn.XLOOKUP(A1855,Orders!A:A,Orders!B:B,"not found")</f>
        <v>FURIB</v>
      </c>
      <c r="G1855" s="13">
        <f>_xlfn.XLOOKUP(OrderDetails[[#This Row],[OrderID]],Orders!A:A,Orders!C:C,"Not Found")</f>
        <v>35873</v>
      </c>
      <c r="H1855" s="16">
        <f>(OrderDetails[[#This Row],[UnitPrice]]*OrderDetails[[#This Row],[Quantity]])*(1-OrderDetails[[#This Row],[Discount]])</f>
        <v>57.799999594688416</v>
      </c>
      <c r="I1855" s="15" t="str">
        <f>_xlfn.XLOOKUP(OrderDetails[[#This Row],[ProductID]],Product!A:A,Product!G:G,"Not Found")</f>
        <v>Dairy Products</v>
      </c>
      <c r="J1855" s="15" t="str">
        <f>LOOKUP(MONTH(G1855),{1,4,7,10},{"Winter","Spring","Summer","Autumn"})</f>
        <v>Winter</v>
      </c>
      <c r="K1855" s="15" t="str">
        <f>_xlfn.XLOOKUP(OrderDetails[[#This Row],[ProductID]],Product!A:A,Product!B:B,"Not Found")</f>
        <v>Camembert Pierrot</v>
      </c>
    </row>
    <row r="1856" spans="1:11">
      <c r="A1856" s="1">
        <v>10964</v>
      </c>
      <c r="B1856" s="1">
        <v>18</v>
      </c>
      <c r="C1856" s="1">
        <v>62.5</v>
      </c>
      <c r="D1856" s="1">
        <v>6</v>
      </c>
      <c r="E1856" s="3">
        <v>0</v>
      </c>
      <c r="F1856" s="1" t="str">
        <f>_xlfn.XLOOKUP(A1856,Orders!A:A,Orders!B:B,"not found")</f>
        <v>SPECD</v>
      </c>
      <c r="G1856" s="13">
        <f>_xlfn.XLOOKUP(OrderDetails[[#This Row],[OrderID]],Orders!A:A,Orders!C:C,"Not Found")</f>
        <v>35874</v>
      </c>
      <c r="H1856" s="16">
        <f>(OrderDetails[[#This Row],[UnitPrice]]*OrderDetails[[#This Row],[Quantity]])*(1-OrderDetails[[#This Row],[Discount]])</f>
        <v>375</v>
      </c>
      <c r="I1856" s="15" t="str">
        <f>_xlfn.XLOOKUP(OrderDetails[[#This Row],[ProductID]],Product!A:A,Product!G:G,"Not Found")</f>
        <v>Seafood</v>
      </c>
      <c r="J1856" s="15" t="str">
        <f>LOOKUP(MONTH(G1856),{1,4,7,10},{"Winter","Spring","Summer","Autumn"})</f>
        <v>Winter</v>
      </c>
      <c r="K1856" s="15" t="str">
        <f>_xlfn.XLOOKUP(OrderDetails[[#This Row],[ProductID]],Product!A:A,Product!B:B,"Not Found")</f>
        <v>Carnarvon Tigers</v>
      </c>
    </row>
    <row r="1857" spans="1:11">
      <c r="A1857" s="2">
        <v>10964</v>
      </c>
      <c r="B1857" s="2">
        <v>38</v>
      </c>
      <c r="C1857" s="2">
        <v>263.5</v>
      </c>
      <c r="D1857" s="2">
        <v>5</v>
      </c>
      <c r="E1857" s="4">
        <v>0</v>
      </c>
      <c r="F1857" s="1" t="str">
        <f>_xlfn.XLOOKUP(A1857,Orders!A:A,Orders!B:B,"not found")</f>
        <v>SPECD</v>
      </c>
      <c r="G1857" s="13">
        <f>_xlfn.XLOOKUP(OrderDetails[[#This Row],[OrderID]],Orders!A:A,Orders!C:C,"Not Found")</f>
        <v>35874</v>
      </c>
      <c r="H1857" s="16">
        <f>(OrderDetails[[#This Row],[UnitPrice]]*OrderDetails[[#This Row],[Quantity]])*(1-OrderDetails[[#This Row],[Discount]])</f>
        <v>1317.5</v>
      </c>
      <c r="I1857" s="15" t="str">
        <f>_xlfn.XLOOKUP(OrderDetails[[#This Row],[ProductID]],Product!A:A,Product!G:G,"Not Found")</f>
        <v>Beverages</v>
      </c>
      <c r="J1857" s="15" t="str">
        <f>LOOKUP(MONTH(G1857),{1,4,7,10},{"Winter","Spring","Summer","Autumn"})</f>
        <v>Winter</v>
      </c>
      <c r="K1857" s="15" t="str">
        <f>_xlfn.XLOOKUP(OrderDetails[[#This Row],[ProductID]],Product!A:A,Product!B:B,"Not Found")</f>
        <v>Côte de Blaye</v>
      </c>
    </row>
    <row r="1858" spans="1:11">
      <c r="A1858" s="1">
        <v>10964</v>
      </c>
      <c r="B1858" s="1">
        <v>69</v>
      </c>
      <c r="C1858" s="1">
        <v>36</v>
      </c>
      <c r="D1858" s="1">
        <v>10</v>
      </c>
      <c r="E1858" s="3">
        <v>0</v>
      </c>
      <c r="F1858" s="1" t="str">
        <f>_xlfn.XLOOKUP(A1858,Orders!A:A,Orders!B:B,"not found")</f>
        <v>SPECD</v>
      </c>
      <c r="G1858" s="13">
        <f>_xlfn.XLOOKUP(OrderDetails[[#This Row],[OrderID]],Orders!A:A,Orders!C:C,"Not Found")</f>
        <v>35874</v>
      </c>
      <c r="H1858" s="16">
        <f>(OrderDetails[[#This Row],[UnitPrice]]*OrderDetails[[#This Row],[Quantity]])*(1-OrderDetails[[#This Row],[Discount]])</f>
        <v>360</v>
      </c>
      <c r="I1858" s="15" t="str">
        <f>_xlfn.XLOOKUP(OrderDetails[[#This Row],[ProductID]],Product!A:A,Product!G:G,"Not Found")</f>
        <v>Dairy Products</v>
      </c>
      <c r="J1858" s="15" t="str">
        <f>LOOKUP(MONTH(G1858),{1,4,7,10},{"Winter","Spring","Summer","Autumn"})</f>
        <v>Winter</v>
      </c>
      <c r="K1858" s="15" t="str">
        <f>_xlfn.XLOOKUP(OrderDetails[[#This Row],[ProductID]],Product!A:A,Product!B:B,"Not Found")</f>
        <v>Gudbrandsdalsost</v>
      </c>
    </row>
    <row r="1859" spans="1:11">
      <c r="A1859" s="2">
        <v>10965</v>
      </c>
      <c r="B1859" s="2">
        <v>51</v>
      </c>
      <c r="C1859" s="2">
        <v>53</v>
      </c>
      <c r="D1859" s="2">
        <v>16</v>
      </c>
      <c r="E1859" s="4">
        <v>0</v>
      </c>
      <c r="F1859" s="1" t="str">
        <f>_xlfn.XLOOKUP(A1859,Orders!A:A,Orders!B:B,"not found")</f>
        <v>OLDWO</v>
      </c>
      <c r="G1859" s="13">
        <f>_xlfn.XLOOKUP(OrderDetails[[#This Row],[OrderID]],Orders!A:A,Orders!C:C,"Not Found")</f>
        <v>35874</v>
      </c>
      <c r="H1859" s="16">
        <f>(OrderDetails[[#This Row],[UnitPrice]]*OrderDetails[[#This Row],[Quantity]])*(1-OrderDetails[[#This Row],[Discount]])</f>
        <v>848</v>
      </c>
      <c r="I1859" s="15" t="str">
        <f>_xlfn.XLOOKUP(OrderDetails[[#This Row],[ProductID]],Product!A:A,Product!G:G,"Not Found")</f>
        <v>Produce</v>
      </c>
      <c r="J1859" s="15" t="str">
        <f>LOOKUP(MONTH(G1859),{1,4,7,10},{"Winter","Spring","Summer","Autumn"})</f>
        <v>Winter</v>
      </c>
      <c r="K1859" s="15" t="str">
        <f>_xlfn.XLOOKUP(OrderDetails[[#This Row],[ProductID]],Product!A:A,Product!B:B,"Not Found")</f>
        <v>Manjimup Dried Apples</v>
      </c>
    </row>
    <row r="1860" spans="1:11">
      <c r="A1860" s="1">
        <v>10966</v>
      </c>
      <c r="B1860" s="1">
        <v>37</v>
      </c>
      <c r="C1860" s="1">
        <v>26</v>
      </c>
      <c r="D1860" s="1">
        <v>8</v>
      </c>
      <c r="E1860" s="3">
        <v>0</v>
      </c>
      <c r="F1860" s="1" t="str">
        <f>_xlfn.XLOOKUP(A1860,Orders!A:A,Orders!B:B,"not found")</f>
        <v>CHOPS</v>
      </c>
      <c r="G1860" s="13">
        <f>_xlfn.XLOOKUP(OrderDetails[[#This Row],[OrderID]],Orders!A:A,Orders!C:C,"Not Found")</f>
        <v>35874</v>
      </c>
      <c r="H1860" s="16">
        <f>(OrderDetails[[#This Row],[UnitPrice]]*OrderDetails[[#This Row],[Quantity]])*(1-OrderDetails[[#This Row],[Discount]])</f>
        <v>208</v>
      </c>
      <c r="I1860" s="15" t="str">
        <f>_xlfn.XLOOKUP(OrderDetails[[#This Row],[ProductID]],Product!A:A,Product!G:G,"Not Found")</f>
        <v>Seafood</v>
      </c>
      <c r="J1860" s="15" t="str">
        <f>LOOKUP(MONTH(G1860),{1,4,7,10},{"Winter","Spring","Summer","Autumn"})</f>
        <v>Winter</v>
      </c>
      <c r="K1860" s="15" t="str">
        <f>_xlfn.XLOOKUP(OrderDetails[[#This Row],[ProductID]],Product!A:A,Product!B:B,"Not Found")</f>
        <v>Gravad lax</v>
      </c>
    </row>
    <row r="1861" spans="1:11">
      <c r="A1861" s="2">
        <v>10966</v>
      </c>
      <c r="B1861" s="2">
        <v>56</v>
      </c>
      <c r="C1861" s="2">
        <v>38</v>
      </c>
      <c r="D1861" s="2">
        <v>12</v>
      </c>
      <c r="E1861" s="4">
        <v>0.15000000596046448</v>
      </c>
      <c r="F1861" s="1" t="str">
        <f>_xlfn.XLOOKUP(A1861,Orders!A:A,Orders!B:B,"not found")</f>
        <v>CHOPS</v>
      </c>
      <c r="G1861" s="13">
        <f>_xlfn.XLOOKUP(OrderDetails[[#This Row],[OrderID]],Orders!A:A,Orders!C:C,"Not Found")</f>
        <v>35874</v>
      </c>
      <c r="H1861" s="16">
        <f>(OrderDetails[[#This Row],[UnitPrice]]*OrderDetails[[#This Row],[Quantity]])*(1-OrderDetails[[#This Row],[Discount]])</f>
        <v>387.5999972820282</v>
      </c>
      <c r="I1861" s="15" t="str">
        <f>_xlfn.XLOOKUP(OrderDetails[[#This Row],[ProductID]],Product!A:A,Product!G:G,"Not Found")</f>
        <v>Grains/Cereals</v>
      </c>
      <c r="J1861" s="15" t="str">
        <f>LOOKUP(MONTH(G1861),{1,4,7,10},{"Winter","Spring","Summer","Autumn"})</f>
        <v>Winter</v>
      </c>
      <c r="K1861" s="15" t="str">
        <f>_xlfn.XLOOKUP(OrderDetails[[#This Row],[ProductID]],Product!A:A,Product!B:B,"Not Found")</f>
        <v>Gnocchi di nonna Alice</v>
      </c>
    </row>
    <row r="1862" spans="1:11">
      <c r="A1862" s="1">
        <v>10966</v>
      </c>
      <c r="B1862" s="1">
        <v>62</v>
      </c>
      <c r="C1862" s="1">
        <v>49.3</v>
      </c>
      <c r="D1862" s="1">
        <v>12</v>
      </c>
      <c r="E1862" s="3">
        <v>0.15000000596046448</v>
      </c>
      <c r="F1862" s="1" t="str">
        <f>_xlfn.XLOOKUP(A1862,Orders!A:A,Orders!B:B,"not found")</f>
        <v>CHOPS</v>
      </c>
      <c r="G1862" s="13">
        <f>_xlfn.XLOOKUP(OrderDetails[[#This Row],[OrderID]],Orders!A:A,Orders!C:C,"Not Found")</f>
        <v>35874</v>
      </c>
      <c r="H1862" s="16">
        <f>(OrderDetails[[#This Row],[UnitPrice]]*OrderDetails[[#This Row],[Quantity]])*(1-OrderDetails[[#This Row],[Discount]])</f>
        <v>502.85999647378912</v>
      </c>
      <c r="I1862" s="15" t="str">
        <f>_xlfn.XLOOKUP(OrderDetails[[#This Row],[ProductID]],Product!A:A,Product!G:G,"Not Found")</f>
        <v>Confections</v>
      </c>
      <c r="J1862" s="15" t="str">
        <f>LOOKUP(MONTH(G1862),{1,4,7,10},{"Winter","Spring","Summer","Autumn"})</f>
        <v>Winter</v>
      </c>
      <c r="K1862" s="15" t="str">
        <f>_xlfn.XLOOKUP(OrderDetails[[#This Row],[ProductID]],Product!A:A,Product!B:B,"Not Found")</f>
        <v>Tarte au sucre</v>
      </c>
    </row>
    <row r="1863" spans="1:11">
      <c r="A1863" s="2">
        <v>10967</v>
      </c>
      <c r="B1863" s="2">
        <v>19</v>
      </c>
      <c r="C1863" s="2">
        <v>9.1999999999999993</v>
      </c>
      <c r="D1863" s="2">
        <v>12</v>
      </c>
      <c r="E1863" s="4">
        <v>0</v>
      </c>
      <c r="F1863" s="1" t="str">
        <f>_xlfn.XLOOKUP(A1863,Orders!A:A,Orders!B:B,"not found")</f>
        <v>TOMSP</v>
      </c>
      <c r="G1863" s="13">
        <f>_xlfn.XLOOKUP(OrderDetails[[#This Row],[OrderID]],Orders!A:A,Orders!C:C,"Not Found")</f>
        <v>35877</v>
      </c>
      <c r="H1863" s="16">
        <f>(OrderDetails[[#This Row],[UnitPrice]]*OrderDetails[[#This Row],[Quantity]])*(1-OrderDetails[[#This Row],[Discount]])</f>
        <v>110.39999999999999</v>
      </c>
      <c r="I1863" s="15" t="str">
        <f>_xlfn.XLOOKUP(OrderDetails[[#This Row],[ProductID]],Product!A:A,Product!G:G,"Not Found")</f>
        <v>Confections</v>
      </c>
      <c r="J1863" s="15" t="str">
        <f>LOOKUP(MONTH(G1863),{1,4,7,10},{"Winter","Spring","Summer","Autumn"})</f>
        <v>Winter</v>
      </c>
      <c r="K1863" s="15" t="str">
        <f>_xlfn.XLOOKUP(OrderDetails[[#This Row],[ProductID]],Product!A:A,Product!B:B,"Not Found")</f>
        <v>Teatime Chocolate Biscuits</v>
      </c>
    </row>
    <row r="1864" spans="1:11">
      <c r="A1864" s="1">
        <v>10967</v>
      </c>
      <c r="B1864" s="1">
        <v>49</v>
      </c>
      <c r="C1864" s="1">
        <v>20</v>
      </c>
      <c r="D1864" s="1">
        <v>40</v>
      </c>
      <c r="E1864" s="3">
        <v>0</v>
      </c>
      <c r="F1864" s="1" t="str">
        <f>_xlfn.XLOOKUP(A1864,Orders!A:A,Orders!B:B,"not found")</f>
        <v>TOMSP</v>
      </c>
      <c r="G1864" s="13">
        <f>_xlfn.XLOOKUP(OrderDetails[[#This Row],[OrderID]],Orders!A:A,Orders!C:C,"Not Found")</f>
        <v>35877</v>
      </c>
      <c r="H1864" s="16">
        <f>(OrderDetails[[#This Row],[UnitPrice]]*OrderDetails[[#This Row],[Quantity]])*(1-OrderDetails[[#This Row],[Discount]])</f>
        <v>800</v>
      </c>
      <c r="I1864" s="15" t="str">
        <f>_xlfn.XLOOKUP(OrderDetails[[#This Row],[ProductID]],Product!A:A,Product!G:G,"Not Found")</f>
        <v>Confections</v>
      </c>
      <c r="J1864" s="15" t="str">
        <f>LOOKUP(MONTH(G1864),{1,4,7,10},{"Winter","Spring","Summer","Autumn"})</f>
        <v>Winter</v>
      </c>
      <c r="K1864" s="15" t="str">
        <f>_xlfn.XLOOKUP(OrderDetails[[#This Row],[ProductID]],Product!A:A,Product!B:B,"Not Found")</f>
        <v>Maxilaku</v>
      </c>
    </row>
    <row r="1865" spans="1:11">
      <c r="A1865" s="2">
        <v>10968</v>
      </c>
      <c r="B1865" s="2">
        <v>12</v>
      </c>
      <c r="C1865" s="2">
        <v>38</v>
      </c>
      <c r="D1865" s="2">
        <v>30</v>
      </c>
      <c r="E1865" s="4">
        <v>0</v>
      </c>
      <c r="F1865" s="1" t="str">
        <f>_xlfn.XLOOKUP(A1865,Orders!A:A,Orders!B:B,"not found")</f>
        <v>ERNSH</v>
      </c>
      <c r="G1865" s="13">
        <f>_xlfn.XLOOKUP(OrderDetails[[#This Row],[OrderID]],Orders!A:A,Orders!C:C,"Not Found")</f>
        <v>35877</v>
      </c>
      <c r="H1865" s="16">
        <f>(OrderDetails[[#This Row],[UnitPrice]]*OrderDetails[[#This Row],[Quantity]])*(1-OrderDetails[[#This Row],[Discount]])</f>
        <v>1140</v>
      </c>
      <c r="I1865" s="15" t="str">
        <f>_xlfn.XLOOKUP(OrderDetails[[#This Row],[ProductID]],Product!A:A,Product!G:G,"Not Found")</f>
        <v>Dairy Products</v>
      </c>
      <c r="J1865" s="15" t="str">
        <f>LOOKUP(MONTH(G1865),{1,4,7,10},{"Winter","Spring","Summer","Autumn"})</f>
        <v>Winter</v>
      </c>
      <c r="K1865" s="15" t="str">
        <f>_xlfn.XLOOKUP(OrderDetails[[#This Row],[ProductID]],Product!A:A,Product!B:B,"Not Found")</f>
        <v>Queso Manchego La Pastora</v>
      </c>
    </row>
    <row r="1866" spans="1:11">
      <c r="A1866" s="1">
        <v>10968</v>
      </c>
      <c r="B1866" s="1">
        <v>24</v>
      </c>
      <c r="C1866" s="1">
        <v>4.5</v>
      </c>
      <c r="D1866" s="1">
        <v>30</v>
      </c>
      <c r="E1866" s="3">
        <v>0</v>
      </c>
      <c r="F1866" s="1" t="str">
        <f>_xlfn.XLOOKUP(A1866,Orders!A:A,Orders!B:B,"not found")</f>
        <v>ERNSH</v>
      </c>
      <c r="G1866" s="13">
        <f>_xlfn.XLOOKUP(OrderDetails[[#This Row],[OrderID]],Orders!A:A,Orders!C:C,"Not Found")</f>
        <v>35877</v>
      </c>
      <c r="H1866" s="16">
        <f>(OrderDetails[[#This Row],[UnitPrice]]*OrderDetails[[#This Row],[Quantity]])*(1-OrderDetails[[#This Row],[Discount]])</f>
        <v>135</v>
      </c>
      <c r="I1866" s="15" t="str">
        <f>_xlfn.XLOOKUP(OrderDetails[[#This Row],[ProductID]],Product!A:A,Product!G:G,"Not Found")</f>
        <v>Beverages</v>
      </c>
      <c r="J1866" s="15" t="str">
        <f>LOOKUP(MONTH(G1866),{1,4,7,10},{"Winter","Spring","Summer","Autumn"})</f>
        <v>Winter</v>
      </c>
      <c r="K1866" s="15" t="str">
        <f>_xlfn.XLOOKUP(OrderDetails[[#This Row],[ProductID]],Product!A:A,Product!B:B,"Not Found")</f>
        <v>Guaraná Fantástica</v>
      </c>
    </row>
    <row r="1867" spans="1:11">
      <c r="A1867" s="2">
        <v>10968</v>
      </c>
      <c r="B1867" s="2">
        <v>64</v>
      </c>
      <c r="C1867" s="2">
        <v>33.25</v>
      </c>
      <c r="D1867" s="2">
        <v>4</v>
      </c>
      <c r="E1867" s="4">
        <v>0</v>
      </c>
      <c r="F1867" s="1" t="str">
        <f>_xlfn.XLOOKUP(A1867,Orders!A:A,Orders!B:B,"not found")</f>
        <v>ERNSH</v>
      </c>
      <c r="G1867" s="13">
        <f>_xlfn.XLOOKUP(OrderDetails[[#This Row],[OrderID]],Orders!A:A,Orders!C:C,"Not Found")</f>
        <v>35877</v>
      </c>
      <c r="H1867" s="16">
        <f>(OrderDetails[[#This Row],[UnitPrice]]*OrderDetails[[#This Row],[Quantity]])*(1-OrderDetails[[#This Row],[Discount]])</f>
        <v>133</v>
      </c>
      <c r="I1867" s="15" t="str">
        <f>_xlfn.XLOOKUP(OrderDetails[[#This Row],[ProductID]],Product!A:A,Product!G:G,"Not Found")</f>
        <v>Grains/Cereals</v>
      </c>
      <c r="J1867" s="15" t="str">
        <f>LOOKUP(MONTH(G1867),{1,4,7,10},{"Winter","Spring","Summer","Autumn"})</f>
        <v>Winter</v>
      </c>
      <c r="K1867" s="15" t="str">
        <f>_xlfn.XLOOKUP(OrderDetails[[#This Row],[ProductID]],Product!A:A,Product!B:B,"Not Found")</f>
        <v>Wimmers gute Semmelknödel</v>
      </c>
    </row>
    <row r="1868" spans="1:11">
      <c r="A1868" s="1">
        <v>10969</v>
      </c>
      <c r="B1868" s="1">
        <v>46</v>
      </c>
      <c r="C1868" s="1">
        <v>12</v>
      </c>
      <c r="D1868" s="1">
        <v>9</v>
      </c>
      <c r="E1868" s="3">
        <v>0</v>
      </c>
      <c r="F1868" s="1" t="str">
        <f>_xlfn.XLOOKUP(A1868,Orders!A:A,Orders!B:B,"not found")</f>
        <v>COMMI</v>
      </c>
      <c r="G1868" s="13">
        <f>_xlfn.XLOOKUP(OrderDetails[[#This Row],[OrderID]],Orders!A:A,Orders!C:C,"Not Found")</f>
        <v>35877</v>
      </c>
      <c r="H1868" s="16">
        <f>(OrderDetails[[#This Row],[UnitPrice]]*OrderDetails[[#This Row],[Quantity]])*(1-OrderDetails[[#This Row],[Discount]])</f>
        <v>108</v>
      </c>
      <c r="I1868" s="15" t="str">
        <f>_xlfn.XLOOKUP(OrderDetails[[#This Row],[ProductID]],Product!A:A,Product!G:G,"Not Found")</f>
        <v>Seafood</v>
      </c>
      <c r="J1868" s="15" t="str">
        <f>LOOKUP(MONTH(G1868),{1,4,7,10},{"Winter","Spring","Summer","Autumn"})</f>
        <v>Winter</v>
      </c>
      <c r="K1868" s="15" t="str">
        <f>_xlfn.XLOOKUP(OrderDetails[[#This Row],[ProductID]],Product!A:A,Product!B:B,"Not Found")</f>
        <v>Spegesild</v>
      </c>
    </row>
    <row r="1869" spans="1:11">
      <c r="A1869" s="2">
        <v>10970</v>
      </c>
      <c r="B1869" s="2">
        <v>52</v>
      </c>
      <c r="C1869" s="2">
        <v>7</v>
      </c>
      <c r="D1869" s="2">
        <v>40</v>
      </c>
      <c r="E1869" s="4">
        <v>0.20000000298023224</v>
      </c>
      <c r="F1869" s="1" t="str">
        <f>_xlfn.XLOOKUP(A1869,Orders!A:A,Orders!B:B,"not found")</f>
        <v>BOLID</v>
      </c>
      <c r="G1869" s="13">
        <f>_xlfn.XLOOKUP(OrderDetails[[#This Row],[OrderID]],Orders!A:A,Orders!C:C,"Not Found")</f>
        <v>35878</v>
      </c>
      <c r="H1869" s="16">
        <f>(OrderDetails[[#This Row],[UnitPrice]]*OrderDetails[[#This Row],[Quantity]])*(1-OrderDetails[[#This Row],[Discount]])</f>
        <v>223.99999916553497</v>
      </c>
      <c r="I1869" s="15" t="str">
        <f>_xlfn.XLOOKUP(OrderDetails[[#This Row],[ProductID]],Product!A:A,Product!G:G,"Not Found")</f>
        <v>Grains/Cereals</v>
      </c>
      <c r="J1869" s="15" t="str">
        <f>LOOKUP(MONTH(G1869),{1,4,7,10},{"Winter","Spring","Summer","Autumn"})</f>
        <v>Winter</v>
      </c>
      <c r="K1869" s="15" t="str">
        <f>_xlfn.XLOOKUP(OrderDetails[[#This Row],[ProductID]],Product!A:A,Product!B:B,"Not Found")</f>
        <v>Filo Mix</v>
      </c>
    </row>
    <row r="1870" spans="1:11">
      <c r="A1870" s="1">
        <v>10971</v>
      </c>
      <c r="B1870" s="1">
        <v>29</v>
      </c>
      <c r="C1870" s="1">
        <v>123.79</v>
      </c>
      <c r="D1870" s="1">
        <v>14</v>
      </c>
      <c r="E1870" s="3">
        <v>0</v>
      </c>
      <c r="F1870" s="1" t="str">
        <f>_xlfn.XLOOKUP(A1870,Orders!A:A,Orders!B:B,"not found")</f>
        <v>FRANR</v>
      </c>
      <c r="G1870" s="13">
        <f>_xlfn.XLOOKUP(OrderDetails[[#This Row],[OrderID]],Orders!A:A,Orders!C:C,"Not Found")</f>
        <v>35878</v>
      </c>
      <c r="H1870" s="16">
        <f>(OrderDetails[[#This Row],[UnitPrice]]*OrderDetails[[#This Row],[Quantity]])*(1-OrderDetails[[#This Row],[Discount]])</f>
        <v>1733.0600000000002</v>
      </c>
      <c r="I1870" s="15" t="str">
        <f>_xlfn.XLOOKUP(OrderDetails[[#This Row],[ProductID]],Product!A:A,Product!G:G,"Not Found")</f>
        <v>Meat/Poultry</v>
      </c>
      <c r="J1870" s="15" t="str">
        <f>LOOKUP(MONTH(G1870),{1,4,7,10},{"Winter","Spring","Summer","Autumn"})</f>
        <v>Winter</v>
      </c>
      <c r="K1870" s="15" t="str">
        <f>_xlfn.XLOOKUP(OrderDetails[[#This Row],[ProductID]],Product!A:A,Product!B:B,"Not Found")</f>
        <v>Thüringer Rostbratwurst</v>
      </c>
    </row>
    <row r="1871" spans="1:11">
      <c r="A1871" s="2">
        <v>10972</v>
      </c>
      <c r="B1871" s="2">
        <v>17</v>
      </c>
      <c r="C1871" s="2">
        <v>39</v>
      </c>
      <c r="D1871" s="2">
        <v>6</v>
      </c>
      <c r="E1871" s="4">
        <v>0</v>
      </c>
      <c r="F1871" s="1" t="str">
        <f>_xlfn.XLOOKUP(A1871,Orders!A:A,Orders!B:B,"not found")</f>
        <v>LACOR</v>
      </c>
      <c r="G1871" s="13">
        <f>_xlfn.XLOOKUP(OrderDetails[[#This Row],[OrderID]],Orders!A:A,Orders!C:C,"Not Found")</f>
        <v>35878</v>
      </c>
      <c r="H1871" s="16">
        <f>(OrderDetails[[#This Row],[UnitPrice]]*OrderDetails[[#This Row],[Quantity]])*(1-OrderDetails[[#This Row],[Discount]])</f>
        <v>234</v>
      </c>
      <c r="I1871" s="15" t="str">
        <f>_xlfn.XLOOKUP(OrderDetails[[#This Row],[ProductID]],Product!A:A,Product!G:G,"Not Found")</f>
        <v>Meat/Poultry</v>
      </c>
      <c r="J1871" s="15" t="str">
        <f>LOOKUP(MONTH(G1871),{1,4,7,10},{"Winter","Spring","Summer","Autumn"})</f>
        <v>Winter</v>
      </c>
      <c r="K1871" s="15" t="str">
        <f>_xlfn.XLOOKUP(OrderDetails[[#This Row],[ProductID]],Product!A:A,Product!B:B,"Not Found")</f>
        <v>Alice Mutton</v>
      </c>
    </row>
    <row r="1872" spans="1:11">
      <c r="A1872" s="1">
        <v>10972</v>
      </c>
      <c r="B1872" s="1">
        <v>33</v>
      </c>
      <c r="C1872" s="1">
        <v>2.5</v>
      </c>
      <c r="D1872" s="1">
        <v>7</v>
      </c>
      <c r="E1872" s="3">
        <v>0</v>
      </c>
      <c r="F1872" s="1" t="str">
        <f>_xlfn.XLOOKUP(A1872,Orders!A:A,Orders!B:B,"not found")</f>
        <v>LACOR</v>
      </c>
      <c r="G1872" s="13">
        <f>_xlfn.XLOOKUP(OrderDetails[[#This Row],[OrderID]],Orders!A:A,Orders!C:C,"Not Found")</f>
        <v>35878</v>
      </c>
      <c r="H1872" s="16">
        <f>(OrderDetails[[#This Row],[UnitPrice]]*OrderDetails[[#This Row],[Quantity]])*(1-OrderDetails[[#This Row],[Discount]])</f>
        <v>17.5</v>
      </c>
      <c r="I1872" s="15" t="str">
        <f>_xlfn.XLOOKUP(OrderDetails[[#This Row],[ProductID]],Product!A:A,Product!G:G,"Not Found")</f>
        <v>Dairy Products</v>
      </c>
      <c r="J1872" s="15" t="str">
        <f>LOOKUP(MONTH(G1872),{1,4,7,10},{"Winter","Spring","Summer","Autumn"})</f>
        <v>Winter</v>
      </c>
      <c r="K1872" s="15" t="str">
        <f>_xlfn.XLOOKUP(OrderDetails[[#This Row],[ProductID]],Product!A:A,Product!B:B,"Not Found")</f>
        <v>Geitost</v>
      </c>
    </row>
    <row r="1873" spans="1:11">
      <c r="A1873" s="2">
        <v>10973</v>
      </c>
      <c r="B1873" s="2">
        <v>26</v>
      </c>
      <c r="C1873" s="2">
        <v>31.23</v>
      </c>
      <c r="D1873" s="2">
        <v>5</v>
      </c>
      <c r="E1873" s="4">
        <v>0</v>
      </c>
      <c r="F1873" s="1" t="str">
        <f>_xlfn.XLOOKUP(A1873,Orders!A:A,Orders!B:B,"not found")</f>
        <v>LACOR</v>
      </c>
      <c r="G1873" s="13">
        <f>_xlfn.XLOOKUP(OrderDetails[[#This Row],[OrderID]],Orders!A:A,Orders!C:C,"Not Found")</f>
        <v>35878</v>
      </c>
      <c r="H1873" s="16">
        <f>(OrderDetails[[#This Row],[UnitPrice]]*OrderDetails[[#This Row],[Quantity]])*(1-OrderDetails[[#This Row],[Discount]])</f>
        <v>156.15</v>
      </c>
      <c r="I1873" s="15" t="str">
        <f>_xlfn.XLOOKUP(OrderDetails[[#This Row],[ProductID]],Product!A:A,Product!G:G,"Not Found")</f>
        <v>Confections</v>
      </c>
      <c r="J1873" s="15" t="str">
        <f>LOOKUP(MONTH(G1873),{1,4,7,10},{"Winter","Spring","Summer","Autumn"})</f>
        <v>Winter</v>
      </c>
      <c r="K1873" s="15" t="str">
        <f>_xlfn.XLOOKUP(OrderDetails[[#This Row],[ProductID]],Product!A:A,Product!B:B,"Not Found")</f>
        <v>Gumbär Gummibärchen</v>
      </c>
    </row>
    <row r="1874" spans="1:11">
      <c r="A1874" s="1">
        <v>10973</v>
      </c>
      <c r="B1874" s="1">
        <v>41</v>
      </c>
      <c r="C1874" s="1">
        <v>9.65</v>
      </c>
      <c r="D1874" s="1">
        <v>6</v>
      </c>
      <c r="E1874" s="3">
        <v>0</v>
      </c>
      <c r="F1874" s="1" t="str">
        <f>_xlfn.XLOOKUP(A1874,Orders!A:A,Orders!B:B,"not found")</f>
        <v>LACOR</v>
      </c>
      <c r="G1874" s="13">
        <f>_xlfn.XLOOKUP(OrderDetails[[#This Row],[OrderID]],Orders!A:A,Orders!C:C,"Not Found")</f>
        <v>35878</v>
      </c>
      <c r="H1874" s="16">
        <f>(OrderDetails[[#This Row],[UnitPrice]]*OrderDetails[[#This Row],[Quantity]])*(1-OrderDetails[[#This Row],[Discount]])</f>
        <v>57.900000000000006</v>
      </c>
      <c r="I1874" s="15" t="str">
        <f>_xlfn.XLOOKUP(OrderDetails[[#This Row],[ProductID]],Product!A:A,Product!G:G,"Not Found")</f>
        <v>Seafood</v>
      </c>
      <c r="J1874" s="15" t="str">
        <f>LOOKUP(MONTH(G1874),{1,4,7,10},{"Winter","Spring","Summer","Autumn"})</f>
        <v>Winter</v>
      </c>
      <c r="K1874" s="15" t="str">
        <f>_xlfn.XLOOKUP(OrderDetails[[#This Row],[ProductID]],Product!A:A,Product!B:B,"Not Found")</f>
        <v>Jack's New England Clam Chowder</v>
      </c>
    </row>
    <row r="1875" spans="1:11">
      <c r="A1875" s="2">
        <v>10973</v>
      </c>
      <c r="B1875" s="2">
        <v>75</v>
      </c>
      <c r="C1875" s="2">
        <v>7.75</v>
      </c>
      <c r="D1875" s="2">
        <v>10</v>
      </c>
      <c r="E1875" s="4">
        <v>0</v>
      </c>
      <c r="F1875" s="1" t="str">
        <f>_xlfn.XLOOKUP(A1875,Orders!A:A,Orders!B:B,"not found")</f>
        <v>LACOR</v>
      </c>
      <c r="G1875" s="13">
        <f>_xlfn.XLOOKUP(OrderDetails[[#This Row],[OrderID]],Orders!A:A,Orders!C:C,"Not Found")</f>
        <v>35878</v>
      </c>
      <c r="H1875" s="16">
        <f>(OrderDetails[[#This Row],[UnitPrice]]*OrderDetails[[#This Row],[Quantity]])*(1-OrderDetails[[#This Row],[Discount]])</f>
        <v>77.5</v>
      </c>
      <c r="I1875" s="15" t="str">
        <f>_xlfn.XLOOKUP(OrderDetails[[#This Row],[ProductID]],Product!A:A,Product!G:G,"Not Found")</f>
        <v>Beverages</v>
      </c>
      <c r="J1875" s="15" t="str">
        <f>LOOKUP(MONTH(G1875),{1,4,7,10},{"Winter","Spring","Summer","Autumn"})</f>
        <v>Winter</v>
      </c>
      <c r="K1875" s="15" t="str">
        <f>_xlfn.XLOOKUP(OrderDetails[[#This Row],[ProductID]],Product!A:A,Product!B:B,"Not Found")</f>
        <v>Rhönbräu Klosterbier</v>
      </c>
    </row>
    <row r="1876" spans="1:11">
      <c r="A1876" s="1">
        <v>10974</v>
      </c>
      <c r="B1876" s="1">
        <v>63</v>
      </c>
      <c r="C1876" s="1">
        <v>43.9</v>
      </c>
      <c r="D1876" s="1">
        <v>10</v>
      </c>
      <c r="E1876" s="3">
        <v>0</v>
      </c>
      <c r="F1876" s="1" t="str">
        <f>_xlfn.XLOOKUP(A1876,Orders!A:A,Orders!B:B,"not found")</f>
        <v>SPLIR</v>
      </c>
      <c r="G1876" s="13">
        <f>_xlfn.XLOOKUP(OrderDetails[[#This Row],[OrderID]],Orders!A:A,Orders!C:C,"Not Found")</f>
        <v>35879</v>
      </c>
      <c r="H1876" s="16">
        <f>(OrderDetails[[#This Row],[UnitPrice]]*OrderDetails[[#This Row],[Quantity]])*(1-OrderDetails[[#This Row],[Discount]])</f>
        <v>439</v>
      </c>
      <c r="I1876" s="15" t="str">
        <f>_xlfn.XLOOKUP(OrderDetails[[#This Row],[ProductID]],Product!A:A,Product!G:G,"Not Found")</f>
        <v>Condiments</v>
      </c>
      <c r="J1876" s="15" t="str">
        <f>LOOKUP(MONTH(G1876),{1,4,7,10},{"Winter","Spring","Summer","Autumn"})</f>
        <v>Winter</v>
      </c>
      <c r="K1876" s="15" t="str">
        <f>_xlfn.XLOOKUP(OrderDetails[[#This Row],[ProductID]],Product!A:A,Product!B:B,"Not Found")</f>
        <v>Vegie-spread</v>
      </c>
    </row>
    <row r="1877" spans="1:11">
      <c r="A1877" s="2">
        <v>10975</v>
      </c>
      <c r="B1877" s="2">
        <v>8</v>
      </c>
      <c r="C1877" s="2">
        <v>40</v>
      </c>
      <c r="D1877" s="2">
        <v>16</v>
      </c>
      <c r="E1877" s="4">
        <v>0</v>
      </c>
      <c r="F1877" s="1" t="str">
        <f>_xlfn.XLOOKUP(A1877,Orders!A:A,Orders!B:B,"not found")</f>
        <v>BOTTM</v>
      </c>
      <c r="G1877" s="13">
        <f>_xlfn.XLOOKUP(OrderDetails[[#This Row],[OrderID]],Orders!A:A,Orders!C:C,"Not Found")</f>
        <v>35879</v>
      </c>
      <c r="H1877" s="16">
        <f>(OrderDetails[[#This Row],[UnitPrice]]*OrderDetails[[#This Row],[Quantity]])*(1-OrderDetails[[#This Row],[Discount]])</f>
        <v>640</v>
      </c>
      <c r="I1877" s="15" t="str">
        <f>_xlfn.XLOOKUP(OrderDetails[[#This Row],[ProductID]],Product!A:A,Product!G:G,"Not Found")</f>
        <v>Condiments</v>
      </c>
      <c r="J1877" s="15" t="str">
        <f>LOOKUP(MONTH(G1877),{1,4,7,10},{"Winter","Spring","Summer","Autumn"})</f>
        <v>Winter</v>
      </c>
      <c r="K1877" s="15" t="str">
        <f>_xlfn.XLOOKUP(OrderDetails[[#This Row],[ProductID]],Product!A:A,Product!B:B,"Not Found")</f>
        <v>Northwoods Cranberry Sauce</v>
      </c>
    </row>
    <row r="1878" spans="1:11">
      <c r="A1878" s="1">
        <v>10975</v>
      </c>
      <c r="B1878" s="1">
        <v>75</v>
      </c>
      <c r="C1878" s="1">
        <v>7.75</v>
      </c>
      <c r="D1878" s="1">
        <v>10</v>
      </c>
      <c r="E1878" s="3">
        <v>0</v>
      </c>
      <c r="F1878" s="1" t="str">
        <f>_xlfn.XLOOKUP(A1878,Orders!A:A,Orders!B:B,"not found")</f>
        <v>BOTTM</v>
      </c>
      <c r="G1878" s="13">
        <f>_xlfn.XLOOKUP(OrderDetails[[#This Row],[OrderID]],Orders!A:A,Orders!C:C,"Not Found")</f>
        <v>35879</v>
      </c>
      <c r="H1878" s="16">
        <f>(OrderDetails[[#This Row],[UnitPrice]]*OrderDetails[[#This Row],[Quantity]])*(1-OrderDetails[[#This Row],[Discount]])</f>
        <v>77.5</v>
      </c>
      <c r="I1878" s="15" t="str">
        <f>_xlfn.XLOOKUP(OrderDetails[[#This Row],[ProductID]],Product!A:A,Product!G:G,"Not Found")</f>
        <v>Beverages</v>
      </c>
      <c r="J1878" s="15" t="str">
        <f>LOOKUP(MONTH(G1878),{1,4,7,10},{"Winter","Spring","Summer","Autumn"})</f>
        <v>Winter</v>
      </c>
      <c r="K1878" s="15" t="str">
        <f>_xlfn.XLOOKUP(OrderDetails[[#This Row],[ProductID]],Product!A:A,Product!B:B,"Not Found")</f>
        <v>Rhönbräu Klosterbier</v>
      </c>
    </row>
    <row r="1879" spans="1:11">
      <c r="A1879" s="2">
        <v>10976</v>
      </c>
      <c r="B1879" s="2">
        <v>28</v>
      </c>
      <c r="C1879" s="2">
        <v>45.6</v>
      </c>
      <c r="D1879" s="2">
        <v>20</v>
      </c>
      <c r="E1879" s="4">
        <v>0</v>
      </c>
      <c r="F1879" s="1" t="str">
        <f>_xlfn.XLOOKUP(A1879,Orders!A:A,Orders!B:B,"not found")</f>
        <v>HILAA</v>
      </c>
      <c r="G1879" s="13">
        <f>_xlfn.XLOOKUP(OrderDetails[[#This Row],[OrderID]],Orders!A:A,Orders!C:C,"Not Found")</f>
        <v>35879</v>
      </c>
      <c r="H1879" s="16">
        <f>(OrderDetails[[#This Row],[UnitPrice]]*OrderDetails[[#This Row],[Quantity]])*(1-OrderDetails[[#This Row],[Discount]])</f>
        <v>912</v>
      </c>
      <c r="I1879" s="15" t="str">
        <f>_xlfn.XLOOKUP(OrderDetails[[#This Row],[ProductID]],Product!A:A,Product!G:G,"Not Found")</f>
        <v>Produce</v>
      </c>
      <c r="J1879" s="15" t="str">
        <f>LOOKUP(MONTH(G1879),{1,4,7,10},{"Winter","Spring","Summer","Autumn"})</f>
        <v>Winter</v>
      </c>
      <c r="K1879" s="15" t="str">
        <f>_xlfn.XLOOKUP(OrderDetails[[#This Row],[ProductID]],Product!A:A,Product!B:B,"Not Found")</f>
        <v>Rössle Sauerkraut</v>
      </c>
    </row>
    <row r="1880" spans="1:11">
      <c r="A1880" s="1">
        <v>10977</v>
      </c>
      <c r="B1880" s="1">
        <v>39</v>
      </c>
      <c r="C1880" s="1">
        <v>18</v>
      </c>
      <c r="D1880" s="1">
        <v>30</v>
      </c>
      <c r="E1880" s="3">
        <v>0</v>
      </c>
      <c r="F1880" s="1" t="str">
        <f>_xlfn.XLOOKUP(A1880,Orders!A:A,Orders!B:B,"not found")</f>
        <v>FOLKO</v>
      </c>
      <c r="G1880" s="13">
        <f>_xlfn.XLOOKUP(OrderDetails[[#This Row],[OrderID]],Orders!A:A,Orders!C:C,"Not Found")</f>
        <v>35880</v>
      </c>
      <c r="H1880" s="16">
        <f>(OrderDetails[[#This Row],[UnitPrice]]*OrderDetails[[#This Row],[Quantity]])*(1-OrderDetails[[#This Row],[Discount]])</f>
        <v>540</v>
      </c>
      <c r="I1880" s="15" t="str">
        <f>_xlfn.XLOOKUP(OrderDetails[[#This Row],[ProductID]],Product!A:A,Product!G:G,"Not Found")</f>
        <v>Beverages</v>
      </c>
      <c r="J1880" s="15" t="str">
        <f>LOOKUP(MONTH(G1880),{1,4,7,10},{"Winter","Spring","Summer","Autumn"})</f>
        <v>Winter</v>
      </c>
      <c r="K1880" s="15" t="str">
        <f>_xlfn.XLOOKUP(OrderDetails[[#This Row],[ProductID]],Product!A:A,Product!B:B,"Not Found")</f>
        <v>Chartreuse verte</v>
      </c>
    </row>
    <row r="1881" spans="1:11">
      <c r="A1881" s="2">
        <v>10977</v>
      </c>
      <c r="B1881" s="2">
        <v>47</v>
      </c>
      <c r="C1881" s="2">
        <v>9.5</v>
      </c>
      <c r="D1881" s="2">
        <v>30</v>
      </c>
      <c r="E1881" s="4">
        <v>0</v>
      </c>
      <c r="F1881" s="1" t="str">
        <f>_xlfn.XLOOKUP(A1881,Orders!A:A,Orders!B:B,"not found")</f>
        <v>FOLKO</v>
      </c>
      <c r="G1881" s="13">
        <f>_xlfn.XLOOKUP(OrderDetails[[#This Row],[OrderID]],Orders!A:A,Orders!C:C,"Not Found")</f>
        <v>35880</v>
      </c>
      <c r="H1881" s="16">
        <f>(OrderDetails[[#This Row],[UnitPrice]]*OrderDetails[[#This Row],[Quantity]])*(1-OrderDetails[[#This Row],[Discount]])</f>
        <v>285</v>
      </c>
      <c r="I1881" s="15" t="str">
        <f>_xlfn.XLOOKUP(OrderDetails[[#This Row],[ProductID]],Product!A:A,Product!G:G,"Not Found")</f>
        <v>Confections</v>
      </c>
      <c r="J1881" s="15" t="str">
        <f>LOOKUP(MONTH(G1881),{1,4,7,10},{"Winter","Spring","Summer","Autumn"})</f>
        <v>Winter</v>
      </c>
      <c r="K1881" s="15" t="str">
        <f>_xlfn.XLOOKUP(OrderDetails[[#This Row],[ProductID]],Product!A:A,Product!B:B,"Not Found")</f>
        <v>Zaanse koeken</v>
      </c>
    </row>
    <row r="1882" spans="1:11">
      <c r="A1882" s="1">
        <v>10977</v>
      </c>
      <c r="B1882" s="1">
        <v>51</v>
      </c>
      <c r="C1882" s="1">
        <v>53</v>
      </c>
      <c r="D1882" s="1">
        <v>10</v>
      </c>
      <c r="E1882" s="3">
        <v>0</v>
      </c>
      <c r="F1882" s="1" t="str">
        <f>_xlfn.XLOOKUP(A1882,Orders!A:A,Orders!B:B,"not found")</f>
        <v>FOLKO</v>
      </c>
      <c r="G1882" s="13">
        <f>_xlfn.XLOOKUP(OrderDetails[[#This Row],[OrderID]],Orders!A:A,Orders!C:C,"Not Found")</f>
        <v>35880</v>
      </c>
      <c r="H1882" s="16">
        <f>(OrderDetails[[#This Row],[UnitPrice]]*OrderDetails[[#This Row],[Quantity]])*(1-OrderDetails[[#This Row],[Discount]])</f>
        <v>530</v>
      </c>
      <c r="I1882" s="15" t="str">
        <f>_xlfn.XLOOKUP(OrderDetails[[#This Row],[ProductID]],Product!A:A,Product!G:G,"Not Found")</f>
        <v>Produce</v>
      </c>
      <c r="J1882" s="15" t="str">
        <f>LOOKUP(MONTH(G1882),{1,4,7,10},{"Winter","Spring","Summer","Autumn"})</f>
        <v>Winter</v>
      </c>
      <c r="K1882" s="15" t="str">
        <f>_xlfn.XLOOKUP(OrderDetails[[#This Row],[ProductID]],Product!A:A,Product!B:B,"Not Found")</f>
        <v>Manjimup Dried Apples</v>
      </c>
    </row>
    <row r="1883" spans="1:11">
      <c r="A1883" s="2">
        <v>10977</v>
      </c>
      <c r="B1883" s="2">
        <v>63</v>
      </c>
      <c r="C1883" s="2">
        <v>43.9</v>
      </c>
      <c r="D1883" s="2">
        <v>20</v>
      </c>
      <c r="E1883" s="4">
        <v>0</v>
      </c>
      <c r="F1883" s="1" t="str">
        <f>_xlfn.XLOOKUP(A1883,Orders!A:A,Orders!B:B,"not found")</f>
        <v>FOLKO</v>
      </c>
      <c r="G1883" s="13">
        <f>_xlfn.XLOOKUP(OrderDetails[[#This Row],[OrderID]],Orders!A:A,Orders!C:C,"Not Found")</f>
        <v>35880</v>
      </c>
      <c r="H1883" s="16">
        <f>(OrderDetails[[#This Row],[UnitPrice]]*OrderDetails[[#This Row],[Quantity]])*(1-OrderDetails[[#This Row],[Discount]])</f>
        <v>878</v>
      </c>
      <c r="I1883" s="15" t="str">
        <f>_xlfn.XLOOKUP(OrderDetails[[#This Row],[ProductID]],Product!A:A,Product!G:G,"Not Found")</f>
        <v>Condiments</v>
      </c>
      <c r="J1883" s="15" t="str">
        <f>LOOKUP(MONTH(G1883),{1,4,7,10},{"Winter","Spring","Summer","Autumn"})</f>
        <v>Winter</v>
      </c>
      <c r="K1883" s="15" t="str">
        <f>_xlfn.XLOOKUP(OrderDetails[[#This Row],[ProductID]],Product!A:A,Product!B:B,"Not Found")</f>
        <v>Vegie-spread</v>
      </c>
    </row>
    <row r="1884" spans="1:11">
      <c r="A1884" s="1">
        <v>10978</v>
      </c>
      <c r="B1884" s="1">
        <v>8</v>
      </c>
      <c r="C1884" s="1">
        <v>40</v>
      </c>
      <c r="D1884" s="1">
        <v>20</v>
      </c>
      <c r="E1884" s="3">
        <v>0.15000000596046448</v>
      </c>
      <c r="F1884" s="1" t="str">
        <f>_xlfn.XLOOKUP(A1884,Orders!A:A,Orders!B:B,"not found")</f>
        <v>MAISD</v>
      </c>
      <c r="G1884" s="13">
        <f>_xlfn.XLOOKUP(OrderDetails[[#This Row],[OrderID]],Orders!A:A,Orders!C:C,"Not Found")</f>
        <v>35880</v>
      </c>
      <c r="H1884" s="16">
        <f>(OrderDetails[[#This Row],[UnitPrice]]*OrderDetails[[#This Row],[Quantity]])*(1-OrderDetails[[#This Row],[Discount]])</f>
        <v>679.99999523162842</v>
      </c>
      <c r="I1884" s="15" t="str">
        <f>_xlfn.XLOOKUP(OrderDetails[[#This Row],[ProductID]],Product!A:A,Product!G:G,"Not Found")</f>
        <v>Condiments</v>
      </c>
      <c r="J1884" s="15" t="str">
        <f>LOOKUP(MONTH(G1884),{1,4,7,10},{"Winter","Spring","Summer","Autumn"})</f>
        <v>Winter</v>
      </c>
      <c r="K1884" s="15" t="str">
        <f>_xlfn.XLOOKUP(OrderDetails[[#This Row],[ProductID]],Product!A:A,Product!B:B,"Not Found")</f>
        <v>Northwoods Cranberry Sauce</v>
      </c>
    </row>
    <row r="1885" spans="1:11">
      <c r="A1885" s="2">
        <v>10978</v>
      </c>
      <c r="B1885" s="2">
        <v>21</v>
      </c>
      <c r="C1885" s="2">
        <v>10</v>
      </c>
      <c r="D1885" s="2">
        <v>40</v>
      </c>
      <c r="E1885" s="4">
        <v>0.15000000596046448</v>
      </c>
      <c r="F1885" s="1" t="str">
        <f>_xlfn.XLOOKUP(A1885,Orders!A:A,Orders!B:B,"not found")</f>
        <v>MAISD</v>
      </c>
      <c r="G1885" s="13">
        <f>_xlfn.XLOOKUP(OrderDetails[[#This Row],[OrderID]],Orders!A:A,Orders!C:C,"Not Found")</f>
        <v>35880</v>
      </c>
      <c r="H1885" s="16">
        <f>(OrderDetails[[#This Row],[UnitPrice]]*OrderDetails[[#This Row],[Quantity]])*(1-OrderDetails[[#This Row],[Discount]])</f>
        <v>339.99999761581421</v>
      </c>
      <c r="I1885" s="15" t="str">
        <f>_xlfn.XLOOKUP(OrderDetails[[#This Row],[ProductID]],Product!A:A,Product!G:G,"Not Found")</f>
        <v>Confections</v>
      </c>
      <c r="J1885" s="15" t="str">
        <f>LOOKUP(MONTH(G1885),{1,4,7,10},{"Winter","Spring","Summer","Autumn"})</f>
        <v>Winter</v>
      </c>
      <c r="K1885" s="15" t="str">
        <f>_xlfn.XLOOKUP(OrderDetails[[#This Row],[ProductID]],Product!A:A,Product!B:B,"Not Found")</f>
        <v>Sir Rodney's Scones</v>
      </c>
    </row>
    <row r="1886" spans="1:11">
      <c r="A1886" s="1">
        <v>10978</v>
      </c>
      <c r="B1886" s="1">
        <v>40</v>
      </c>
      <c r="C1886" s="1">
        <v>18.399999999999999</v>
      </c>
      <c r="D1886" s="1">
        <v>10</v>
      </c>
      <c r="E1886" s="3">
        <v>0</v>
      </c>
      <c r="F1886" s="1" t="str">
        <f>_xlfn.XLOOKUP(A1886,Orders!A:A,Orders!B:B,"not found")</f>
        <v>MAISD</v>
      </c>
      <c r="G1886" s="13">
        <f>_xlfn.XLOOKUP(OrderDetails[[#This Row],[OrderID]],Orders!A:A,Orders!C:C,"Not Found")</f>
        <v>35880</v>
      </c>
      <c r="H1886" s="16">
        <f>(OrderDetails[[#This Row],[UnitPrice]]*OrderDetails[[#This Row],[Quantity]])*(1-OrderDetails[[#This Row],[Discount]])</f>
        <v>184</v>
      </c>
      <c r="I1886" s="15" t="str">
        <f>_xlfn.XLOOKUP(OrderDetails[[#This Row],[ProductID]],Product!A:A,Product!G:G,"Not Found")</f>
        <v>Seafood</v>
      </c>
      <c r="J1886" s="15" t="str">
        <f>LOOKUP(MONTH(G1886),{1,4,7,10},{"Winter","Spring","Summer","Autumn"})</f>
        <v>Winter</v>
      </c>
      <c r="K1886" s="15" t="str">
        <f>_xlfn.XLOOKUP(OrderDetails[[#This Row],[ProductID]],Product!A:A,Product!B:B,"Not Found")</f>
        <v>Boston Crab Meat</v>
      </c>
    </row>
    <row r="1887" spans="1:11">
      <c r="A1887" s="2">
        <v>10978</v>
      </c>
      <c r="B1887" s="2">
        <v>44</v>
      </c>
      <c r="C1887" s="2">
        <v>19.45</v>
      </c>
      <c r="D1887" s="2">
        <v>6</v>
      </c>
      <c r="E1887" s="4">
        <v>0.15000000596046448</v>
      </c>
      <c r="F1887" s="1" t="str">
        <f>_xlfn.XLOOKUP(A1887,Orders!A:A,Orders!B:B,"not found")</f>
        <v>MAISD</v>
      </c>
      <c r="G1887" s="13">
        <f>_xlfn.XLOOKUP(OrderDetails[[#This Row],[OrderID]],Orders!A:A,Orders!C:C,"Not Found")</f>
        <v>35880</v>
      </c>
      <c r="H1887" s="16">
        <f>(OrderDetails[[#This Row],[UnitPrice]]*OrderDetails[[#This Row],[Quantity]])*(1-OrderDetails[[#This Row],[Discount]])</f>
        <v>99.194999304413784</v>
      </c>
      <c r="I1887" s="15" t="str">
        <f>_xlfn.XLOOKUP(OrderDetails[[#This Row],[ProductID]],Product!A:A,Product!G:G,"Not Found")</f>
        <v>Condiments</v>
      </c>
      <c r="J1887" s="15" t="str">
        <f>LOOKUP(MONTH(G1887),{1,4,7,10},{"Winter","Spring","Summer","Autumn"})</f>
        <v>Winter</v>
      </c>
      <c r="K1887" s="15" t="str">
        <f>_xlfn.XLOOKUP(OrderDetails[[#This Row],[ProductID]],Product!A:A,Product!B:B,"Not Found")</f>
        <v>Gula Malacca</v>
      </c>
    </row>
    <row r="1888" spans="1:11">
      <c r="A1888" s="1">
        <v>10979</v>
      </c>
      <c r="B1888" s="1">
        <v>7</v>
      </c>
      <c r="C1888" s="1">
        <v>30</v>
      </c>
      <c r="D1888" s="1">
        <v>18</v>
      </c>
      <c r="E1888" s="3">
        <v>0</v>
      </c>
      <c r="F1888" s="1" t="str">
        <f>_xlfn.XLOOKUP(A1888,Orders!A:A,Orders!B:B,"not found")</f>
        <v>ERNSH</v>
      </c>
      <c r="G1888" s="13">
        <f>_xlfn.XLOOKUP(OrderDetails[[#This Row],[OrderID]],Orders!A:A,Orders!C:C,"Not Found")</f>
        <v>35880</v>
      </c>
      <c r="H1888" s="16">
        <f>(OrderDetails[[#This Row],[UnitPrice]]*OrderDetails[[#This Row],[Quantity]])*(1-OrderDetails[[#This Row],[Discount]])</f>
        <v>540</v>
      </c>
      <c r="I1888" s="15" t="str">
        <f>_xlfn.XLOOKUP(OrderDetails[[#This Row],[ProductID]],Product!A:A,Product!G:G,"Not Found")</f>
        <v>Produce</v>
      </c>
      <c r="J1888" s="15" t="str">
        <f>LOOKUP(MONTH(G1888),{1,4,7,10},{"Winter","Spring","Summer","Autumn"})</f>
        <v>Winter</v>
      </c>
      <c r="K1888" s="15" t="str">
        <f>_xlfn.XLOOKUP(OrderDetails[[#This Row],[ProductID]],Product!A:A,Product!B:B,"Not Found")</f>
        <v>Uncle Bob's Organic Dried Pears</v>
      </c>
    </row>
    <row r="1889" spans="1:11">
      <c r="A1889" s="2">
        <v>10979</v>
      </c>
      <c r="B1889" s="2">
        <v>12</v>
      </c>
      <c r="C1889" s="2">
        <v>38</v>
      </c>
      <c r="D1889" s="2">
        <v>20</v>
      </c>
      <c r="E1889" s="4">
        <v>0</v>
      </c>
      <c r="F1889" s="1" t="str">
        <f>_xlfn.XLOOKUP(A1889,Orders!A:A,Orders!B:B,"not found")</f>
        <v>ERNSH</v>
      </c>
      <c r="G1889" s="13">
        <f>_xlfn.XLOOKUP(OrderDetails[[#This Row],[OrderID]],Orders!A:A,Orders!C:C,"Not Found")</f>
        <v>35880</v>
      </c>
      <c r="H1889" s="16">
        <f>(OrderDetails[[#This Row],[UnitPrice]]*OrderDetails[[#This Row],[Quantity]])*(1-OrderDetails[[#This Row],[Discount]])</f>
        <v>760</v>
      </c>
      <c r="I1889" s="15" t="str">
        <f>_xlfn.XLOOKUP(OrderDetails[[#This Row],[ProductID]],Product!A:A,Product!G:G,"Not Found")</f>
        <v>Dairy Products</v>
      </c>
      <c r="J1889" s="15" t="str">
        <f>LOOKUP(MONTH(G1889),{1,4,7,10},{"Winter","Spring","Summer","Autumn"})</f>
        <v>Winter</v>
      </c>
      <c r="K1889" s="15" t="str">
        <f>_xlfn.XLOOKUP(OrderDetails[[#This Row],[ProductID]],Product!A:A,Product!B:B,"Not Found")</f>
        <v>Queso Manchego La Pastora</v>
      </c>
    </row>
    <row r="1890" spans="1:11">
      <c r="A1890" s="1">
        <v>10979</v>
      </c>
      <c r="B1890" s="1">
        <v>24</v>
      </c>
      <c r="C1890" s="1">
        <v>4.5</v>
      </c>
      <c r="D1890" s="1">
        <v>80</v>
      </c>
      <c r="E1890" s="3">
        <v>0</v>
      </c>
      <c r="F1890" s="1" t="str">
        <f>_xlfn.XLOOKUP(A1890,Orders!A:A,Orders!B:B,"not found")</f>
        <v>ERNSH</v>
      </c>
      <c r="G1890" s="13">
        <f>_xlfn.XLOOKUP(OrderDetails[[#This Row],[OrderID]],Orders!A:A,Orders!C:C,"Not Found")</f>
        <v>35880</v>
      </c>
      <c r="H1890" s="16">
        <f>(OrderDetails[[#This Row],[UnitPrice]]*OrderDetails[[#This Row],[Quantity]])*(1-OrderDetails[[#This Row],[Discount]])</f>
        <v>360</v>
      </c>
      <c r="I1890" s="15" t="str">
        <f>_xlfn.XLOOKUP(OrderDetails[[#This Row],[ProductID]],Product!A:A,Product!G:G,"Not Found")</f>
        <v>Beverages</v>
      </c>
      <c r="J1890" s="15" t="str">
        <f>LOOKUP(MONTH(G1890),{1,4,7,10},{"Winter","Spring","Summer","Autumn"})</f>
        <v>Winter</v>
      </c>
      <c r="K1890" s="15" t="str">
        <f>_xlfn.XLOOKUP(OrderDetails[[#This Row],[ProductID]],Product!A:A,Product!B:B,"Not Found")</f>
        <v>Guaraná Fantástica</v>
      </c>
    </row>
    <row r="1891" spans="1:11">
      <c r="A1891" s="2">
        <v>10979</v>
      </c>
      <c r="B1891" s="2">
        <v>27</v>
      </c>
      <c r="C1891" s="2">
        <v>43.9</v>
      </c>
      <c r="D1891" s="2">
        <v>30</v>
      </c>
      <c r="E1891" s="4">
        <v>0</v>
      </c>
      <c r="F1891" s="1" t="str">
        <f>_xlfn.XLOOKUP(A1891,Orders!A:A,Orders!B:B,"not found")</f>
        <v>ERNSH</v>
      </c>
      <c r="G1891" s="13">
        <f>_xlfn.XLOOKUP(OrderDetails[[#This Row],[OrderID]],Orders!A:A,Orders!C:C,"Not Found")</f>
        <v>35880</v>
      </c>
      <c r="H1891" s="16">
        <f>(OrderDetails[[#This Row],[UnitPrice]]*OrderDetails[[#This Row],[Quantity]])*(1-OrderDetails[[#This Row],[Discount]])</f>
        <v>1317</v>
      </c>
      <c r="I1891" s="15" t="str">
        <f>_xlfn.XLOOKUP(OrderDetails[[#This Row],[ProductID]],Product!A:A,Product!G:G,"Not Found")</f>
        <v>Confections</v>
      </c>
      <c r="J1891" s="15" t="str">
        <f>LOOKUP(MONTH(G1891),{1,4,7,10},{"Winter","Spring","Summer","Autumn"})</f>
        <v>Winter</v>
      </c>
      <c r="K1891" s="15" t="str">
        <f>_xlfn.XLOOKUP(OrderDetails[[#This Row],[ProductID]],Product!A:A,Product!B:B,"Not Found")</f>
        <v>Schoggi Schokolade</v>
      </c>
    </row>
    <row r="1892" spans="1:11">
      <c r="A1892" s="1">
        <v>10979</v>
      </c>
      <c r="B1892" s="1">
        <v>31</v>
      </c>
      <c r="C1892" s="1">
        <v>12.5</v>
      </c>
      <c r="D1892" s="1">
        <v>24</v>
      </c>
      <c r="E1892" s="3">
        <v>0</v>
      </c>
      <c r="F1892" s="1" t="str">
        <f>_xlfn.XLOOKUP(A1892,Orders!A:A,Orders!B:B,"not found")</f>
        <v>ERNSH</v>
      </c>
      <c r="G1892" s="13">
        <f>_xlfn.XLOOKUP(OrderDetails[[#This Row],[OrderID]],Orders!A:A,Orders!C:C,"Not Found")</f>
        <v>35880</v>
      </c>
      <c r="H1892" s="16">
        <f>(OrderDetails[[#This Row],[UnitPrice]]*OrderDetails[[#This Row],[Quantity]])*(1-OrderDetails[[#This Row],[Discount]])</f>
        <v>300</v>
      </c>
      <c r="I1892" s="15" t="str">
        <f>_xlfn.XLOOKUP(OrderDetails[[#This Row],[ProductID]],Product!A:A,Product!G:G,"Not Found")</f>
        <v>Dairy Products</v>
      </c>
      <c r="J1892" s="15" t="str">
        <f>LOOKUP(MONTH(G1892),{1,4,7,10},{"Winter","Spring","Summer","Autumn"})</f>
        <v>Winter</v>
      </c>
      <c r="K1892" s="15" t="str">
        <f>_xlfn.XLOOKUP(OrderDetails[[#This Row],[ProductID]],Product!A:A,Product!B:B,"Not Found")</f>
        <v>Gorgonzola Telino</v>
      </c>
    </row>
    <row r="1893" spans="1:11">
      <c r="A1893" s="2">
        <v>10979</v>
      </c>
      <c r="B1893" s="2">
        <v>63</v>
      </c>
      <c r="C1893" s="2">
        <v>43.9</v>
      </c>
      <c r="D1893" s="2">
        <v>35</v>
      </c>
      <c r="E1893" s="4">
        <v>0</v>
      </c>
      <c r="F1893" s="1" t="str">
        <f>_xlfn.XLOOKUP(A1893,Orders!A:A,Orders!B:B,"not found")</f>
        <v>ERNSH</v>
      </c>
      <c r="G1893" s="13">
        <f>_xlfn.XLOOKUP(OrderDetails[[#This Row],[OrderID]],Orders!A:A,Orders!C:C,"Not Found")</f>
        <v>35880</v>
      </c>
      <c r="H1893" s="16">
        <f>(OrderDetails[[#This Row],[UnitPrice]]*OrderDetails[[#This Row],[Quantity]])*(1-OrderDetails[[#This Row],[Discount]])</f>
        <v>1536.5</v>
      </c>
      <c r="I1893" s="15" t="str">
        <f>_xlfn.XLOOKUP(OrderDetails[[#This Row],[ProductID]],Product!A:A,Product!G:G,"Not Found")</f>
        <v>Condiments</v>
      </c>
      <c r="J1893" s="15" t="str">
        <f>LOOKUP(MONTH(G1893),{1,4,7,10},{"Winter","Spring","Summer","Autumn"})</f>
        <v>Winter</v>
      </c>
      <c r="K1893" s="15" t="str">
        <f>_xlfn.XLOOKUP(OrderDetails[[#This Row],[ProductID]],Product!A:A,Product!B:B,"Not Found")</f>
        <v>Vegie-spread</v>
      </c>
    </row>
    <row r="1894" spans="1:11">
      <c r="A1894" s="1">
        <v>10980</v>
      </c>
      <c r="B1894" s="1">
        <v>75</v>
      </c>
      <c r="C1894" s="1">
        <v>7.75</v>
      </c>
      <c r="D1894" s="1">
        <v>40</v>
      </c>
      <c r="E1894" s="3">
        <v>0.20000000298023224</v>
      </c>
      <c r="F1894" s="1" t="str">
        <f>_xlfn.XLOOKUP(A1894,Orders!A:A,Orders!B:B,"not found")</f>
        <v>FOLKO</v>
      </c>
      <c r="G1894" s="13">
        <f>_xlfn.XLOOKUP(OrderDetails[[#This Row],[OrderID]],Orders!A:A,Orders!C:C,"Not Found")</f>
        <v>35881</v>
      </c>
      <c r="H1894" s="16">
        <f>(OrderDetails[[#This Row],[UnitPrice]]*OrderDetails[[#This Row],[Quantity]])*(1-OrderDetails[[#This Row],[Discount]])</f>
        <v>247.99999907612801</v>
      </c>
      <c r="I1894" s="15" t="str">
        <f>_xlfn.XLOOKUP(OrderDetails[[#This Row],[ProductID]],Product!A:A,Product!G:G,"Not Found")</f>
        <v>Beverages</v>
      </c>
      <c r="J1894" s="15" t="str">
        <f>LOOKUP(MONTH(G1894),{1,4,7,10},{"Winter","Spring","Summer","Autumn"})</f>
        <v>Winter</v>
      </c>
      <c r="K1894" s="15" t="str">
        <f>_xlfn.XLOOKUP(OrderDetails[[#This Row],[ProductID]],Product!A:A,Product!B:B,"Not Found")</f>
        <v>Rhönbräu Klosterbier</v>
      </c>
    </row>
    <row r="1895" spans="1:11">
      <c r="A1895" s="2">
        <v>10981</v>
      </c>
      <c r="B1895" s="2">
        <v>38</v>
      </c>
      <c r="C1895" s="2">
        <v>263.5</v>
      </c>
      <c r="D1895" s="2">
        <v>60</v>
      </c>
      <c r="E1895" s="4">
        <v>0</v>
      </c>
      <c r="F1895" s="1" t="str">
        <f>_xlfn.XLOOKUP(A1895,Orders!A:A,Orders!B:B,"not found")</f>
        <v>HANAR</v>
      </c>
      <c r="G1895" s="13">
        <f>_xlfn.XLOOKUP(OrderDetails[[#This Row],[OrderID]],Orders!A:A,Orders!C:C,"Not Found")</f>
        <v>35881</v>
      </c>
      <c r="H1895" s="16">
        <f>(OrderDetails[[#This Row],[UnitPrice]]*OrderDetails[[#This Row],[Quantity]])*(1-OrderDetails[[#This Row],[Discount]])</f>
        <v>15810</v>
      </c>
      <c r="I1895" s="15" t="str">
        <f>_xlfn.XLOOKUP(OrderDetails[[#This Row],[ProductID]],Product!A:A,Product!G:G,"Not Found")</f>
        <v>Beverages</v>
      </c>
      <c r="J1895" s="15" t="str">
        <f>LOOKUP(MONTH(G1895),{1,4,7,10},{"Winter","Spring","Summer","Autumn"})</f>
        <v>Winter</v>
      </c>
      <c r="K1895" s="15" t="str">
        <f>_xlfn.XLOOKUP(OrderDetails[[#This Row],[ProductID]],Product!A:A,Product!B:B,"Not Found")</f>
        <v>Côte de Blaye</v>
      </c>
    </row>
    <row r="1896" spans="1:11">
      <c r="A1896" s="1">
        <v>10982</v>
      </c>
      <c r="B1896" s="1">
        <v>7</v>
      </c>
      <c r="C1896" s="1">
        <v>30</v>
      </c>
      <c r="D1896" s="1">
        <v>20</v>
      </c>
      <c r="E1896" s="3">
        <v>0</v>
      </c>
      <c r="F1896" s="1" t="str">
        <f>_xlfn.XLOOKUP(A1896,Orders!A:A,Orders!B:B,"not found")</f>
        <v>BOTTM</v>
      </c>
      <c r="G1896" s="13">
        <f>_xlfn.XLOOKUP(OrderDetails[[#This Row],[OrderID]],Orders!A:A,Orders!C:C,"Not Found")</f>
        <v>35881</v>
      </c>
      <c r="H1896" s="16">
        <f>(OrderDetails[[#This Row],[UnitPrice]]*OrderDetails[[#This Row],[Quantity]])*(1-OrderDetails[[#This Row],[Discount]])</f>
        <v>600</v>
      </c>
      <c r="I1896" s="15" t="str">
        <f>_xlfn.XLOOKUP(OrderDetails[[#This Row],[ProductID]],Product!A:A,Product!G:G,"Not Found")</f>
        <v>Produce</v>
      </c>
      <c r="J1896" s="15" t="str">
        <f>LOOKUP(MONTH(G1896),{1,4,7,10},{"Winter","Spring","Summer","Autumn"})</f>
        <v>Winter</v>
      </c>
      <c r="K1896" s="15" t="str">
        <f>_xlfn.XLOOKUP(OrderDetails[[#This Row],[ProductID]],Product!A:A,Product!B:B,"Not Found")</f>
        <v>Uncle Bob's Organic Dried Pears</v>
      </c>
    </row>
    <row r="1897" spans="1:11">
      <c r="A1897" s="2">
        <v>10982</v>
      </c>
      <c r="B1897" s="2">
        <v>43</v>
      </c>
      <c r="C1897" s="2">
        <v>46</v>
      </c>
      <c r="D1897" s="2">
        <v>9</v>
      </c>
      <c r="E1897" s="4">
        <v>0</v>
      </c>
      <c r="F1897" s="1" t="str">
        <f>_xlfn.XLOOKUP(A1897,Orders!A:A,Orders!B:B,"not found")</f>
        <v>BOTTM</v>
      </c>
      <c r="G1897" s="13">
        <f>_xlfn.XLOOKUP(OrderDetails[[#This Row],[OrderID]],Orders!A:A,Orders!C:C,"Not Found")</f>
        <v>35881</v>
      </c>
      <c r="H1897" s="16">
        <f>(OrderDetails[[#This Row],[UnitPrice]]*OrderDetails[[#This Row],[Quantity]])*(1-OrderDetails[[#This Row],[Discount]])</f>
        <v>414</v>
      </c>
      <c r="I1897" s="15" t="str">
        <f>_xlfn.XLOOKUP(OrderDetails[[#This Row],[ProductID]],Product!A:A,Product!G:G,"Not Found")</f>
        <v>Beverages</v>
      </c>
      <c r="J1897" s="15" t="str">
        <f>LOOKUP(MONTH(G1897),{1,4,7,10},{"Winter","Spring","Summer","Autumn"})</f>
        <v>Winter</v>
      </c>
      <c r="K1897" s="15" t="str">
        <f>_xlfn.XLOOKUP(OrderDetails[[#This Row],[ProductID]],Product!A:A,Product!B:B,"Not Found")</f>
        <v>Ipoh Coffee</v>
      </c>
    </row>
    <row r="1898" spans="1:11">
      <c r="A1898" s="1">
        <v>10983</v>
      </c>
      <c r="B1898" s="1">
        <v>13</v>
      </c>
      <c r="C1898" s="1">
        <v>6</v>
      </c>
      <c r="D1898" s="1">
        <v>84</v>
      </c>
      <c r="E1898" s="3">
        <v>0.15000000596046448</v>
      </c>
      <c r="F1898" s="1" t="str">
        <f>_xlfn.XLOOKUP(A1898,Orders!A:A,Orders!B:B,"not found")</f>
        <v>SAVEA</v>
      </c>
      <c r="G1898" s="13">
        <f>_xlfn.XLOOKUP(OrderDetails[[#This Row],[OrderID]],Orders!A:A,Orders!C:C,"Not Found")</f>
        <v>35881</v>
      </c>
      <c r="H1898" s="16">
        <f>(OrderDetails[[#This Row],[UnitPrice]]*OrderDetails[[#This Row],[Quantity]])*(1-OrderDetails[[#This Row],[Discount]])</f>
        <v>428.3999969959259</v>
      </c>
      <c r="I1898" s="15" t="str">
        <f>_xlfn.XLOOKUP(OrderDetails[[#This Row],[ProductID]],Product!A:A,Product!G:G,"Not Found")</f>
        <v>Seafood</v>
      </c>
      <c r="J1898" s="15" t="str">
        <f>LOOKUP(MONTH(G1898),{1,4,7,10},{"Winter","Spring","Summer","Autumn"})</f>
        <v>Winter</v>
      </c>
      <c r="K1898" s="15" t="str">
        <f>_xlfn.XLOOKUP(OrderDetails[[#This Row],[ProductID]],Product!A:A,Product!B:B,"Not Found")</f>
        <v>Konbu</v>
      </c>
    </row>
    <row r="1899" spans="1:11">
      <c r="A1899" s="2">
        <v>10983</v>
      </c>
      <c r="B1899" s="2">
        <v>57</v>
      </c>
      <c r="C1899" s="2">
        <v>19.5</v>
      </c>
      <c r="D1899" s="2">
        <v>15</v>
      </c>
      <c r="E1899" s="4">
        <v>0</v>
      </c>
      <c r="F1899" s="1" t="str">
        <f>_xlfn.XLOOKUP(A1899,Orders!A:A,Orders!B:B,"not found")</f>
        <v>SAVEA</v>
      </c>
      <c r="G1899" s="13">
        <f>_xlfn.XLOOKUP(OrderDetails[[#This Row],[OrderID]],Orders!A:A,Orders!C:C,"Not Found")</f>
        <v>35881</v>
      </c>
      <c r="H1899" s="16">
        <f>(OrderDetails[[#This Row],[UnitPrice]]*OrderDetails[[#This Row],[Quantity]])*(1-OrderDetails[[#This Row],[Discount]])</f>
        <v>292.5</v>
      </c>
      <c r="I1899" s="15" t="str">
        <f>_xlfn.XLOOKUP(OrderDetails[[#This Row],[ProductID]],Product!A:A,Product!G:G,"Not Found")</f>
        <v>Grains/Cereals</v>
      </c>
      <c r="J1899" s="15" t="str">
        <f>LOOKUP(MONTH(G1899),{1,4,7,10},{"Winter","Spring","Summer","Autumn"})</f>
        <v>Winter</v>
      </c>
      <c r="K1899" s="15" t="str">
        <f>_xlfn.XLOOKUP(OrderDetails[[#This Row],[ProductID]],Product!A:A,Product!B:B,"Not Found")</f>
        <v>Ravioli Angelo</v>
      </c>
    </row>
    <row r="1900" spans="1:11">
      <c r="A1900" s="1">
        <v>10984</v>
      </c>
      <c r="B1900" s="1">
        <v>16</v>
      </c>
      <c r="C1900" s="1">
        <v>17.45</v>
      </c>
      <c r="D1900" s="1">
        <v>55</v>
      </c>
      <c r="E1900" s="3">
        <v>0</v>
      </c>
      <c r="F1900" s="1" t="str">
        <f>_xlfn.XLOOKUP(A1900,Orders!A:A,Orders!B:B,"not found")</f>
        <v>SAVEA</v>
      </c>
      <c r="G1900" s="13">
        <f>_xlfn.XLOOKUP(OrderDetails[[#This Row],[OrderID]],Orders!A:A,Orders!C:C,"Not Found")</f>
        <v>35884</v>
      </c>
      <c r="H1900" s="16">
        <f>(OrderDetails[[#This Row],[UnitPrice]]*OrderDetails[[#This Row],[Quantity]])*(1-OrderDetails[[#This Row],[Discount]])</f>
        <v>959.75</v>
      </c>
      <c r="I1900" s="15" t="str">
        <f>_xlfn.XLOOKUP(OrderDetails[[#This Row],[ProductID]],Product!A:A,Product!G:G,"Not Found")</f>
        <v>Confections</v>
      </c>
      <c r="J1900" s="15" t="str">
        <f>LOOKUP(MONTH(G1900),{1,4,7,10},{"Winter","Spring","Summer","Autumn"})</f>
        <v>Winter</v>
      </c>
      <c r="K1900" s="15" t="str">
        <f>_xlfn.XLOOKUP(OrderDetails[[#This Row],[ProductID]],Product!A:A,Product!B:B,"Not Found")</f>
        <v>Pavlova</v>
      </c>
    </row>
    <row r="1901" spans="1:11">
      <c r="A1901" s="2">
        <v>10984</v>
      </c>
      <c r="B1901" s="2">
        <v>24</v>
      </c>
      <c r="C1901" s="2">
        <v>4.5</v>
      </c>
      <c r="D1901" s="2">
        <v>20</v>
      </c>
      <c r="E1901" s="4">
        <v>0</v>
      </c>
      <c r="F1901" s="1" t="str">
        <f>_xlfn.XLOOKUP(A1901,Orders!A:A,Orders!B:B,"not found")</f>
        <v>SAVEA</v>
      </c>
      <c r="G1901" s="13">
        <f>_xlfn.XLOOKUP(OrderDetails[[#This Row],[OrderID]],Orders!A:A,Orders!C:C,"Not Found")</f>
        <v>35884</v>
      </c>
      <c r="H1901" s="16">
        <f>(OrderDetails[[#This Row],[UnitPrice]]*OrderDetails[[#This Row],[Quantity]])*(1-OrderDetails[[#This Row],[Discount]])</f>
        <v>90</v>
      </c>
      <c r="I1901" s="15" t="str">
        <f>_xlfn.XLOOKUP(OrderDetails[[#This Row],[ProductID]],Product!A:A,Product!G:G,"Not Found")</f>
        <v>Beverages</v>
      </c>
      <c r="J1901" s="15" t="str">
        <f>LOOKUP(MONTH(G1901),{1,4,7,10},{"Winter","Spring","Summer","Autumn"})</f>
        <v>Winter</v>
      </c>
      <c r="K1901" s="15" t="str">
        <f>_xlfn.XLOOKUP(OrderDetails[[#This Row],[ProductID]],Product!A:A,Product!B:B,"Not Found")</f>
        <v>Guaraná Fantástica</v>
      </c>
    </row>
    <row r="1902" spans="1:11">
      <c r="A1902" s="1">
        <v>10984</v>
      </c>
      <c r="B1902" s="1">
        <v>36</v>
      </c>
      <c r="C1902" s="1">
        <v>19</v>
      </c>
      <c r="D1902" s="1">
        <v>40</v>
      </c>
      <c r="E1902" s="3">
        <v>0</v>
      </c>
      <c r="F1902" s="1" t="str">
        <f>_xlfn.XLOOKUP(A1902,Orders!A:A,Orders!B:B,"not found")</f>
        <v>SAVEA</v>
      </c>
      <c r="G1902" s="13">
        <f>_xlfn.XLOOKUP(OrderDetails[[#This Row],[OrderID]],Orders!A:A,Orders!C:C,"Not Found")</f>
        <v>35884</v>
      </c>
      <c r="H1902" s="16">
        <f>(OrderDetails[[#This Row],[UnitPrice]]*OrderDetails[[#This Row],[Quantity]])*(1-OrderDetails[[#This Row],[Discount]])</f>
        <v>760</v>
      </c>
      <c r="I1902" s="15" t="str">
        <f>_xlfn.XLOOKUP(OrderDetails[[#This Row],[ProductID]],Product!A:A,Product!G:G,"Not Found")</f>
        <v>Seafood</v>
      </c>
      <c r="J1902" s="15" t="str">
        <f>LOOKUP(MONTH(G1902),{1,4,7,10},{"Winter","Spring","Summer","Autumn"})</f>
        <v>Winter</v>
      </c>
      <c r="K1902" s="15" t="str">
        <f>_xlfn.XLOOKUP(OrderDetails[[#This Row],[ProductID]],Product!A:A,Product!B:B,"Not Found")</f>
        <v>Inlagd Sill</v>
      </c>
    </row>
    <row r="1903" spans="1:11">
      <c r="A1903" s="2">
        <v>10985</v>
      </c>
      <c r="B1903" s="2">
        <v>16</v>
      </c>
      <c r="C1903" s="2">
        <v>17.45</v>
      </c>
      <c r="D1903" s="2">
        <v>36</v>
      </c>
      <c r="E1903" s="4">
        <v>0.10000000149011612</v>
      </c>
      <c r="F1903" s="1" t="str">
        <f>_xlfn.XLOOKUP(A1903,Orders!A:A,Orders!B:B,"not found")</f>
        <v>HUNGO</v>
      </c>
      <c r="G1903" s="13">
        <f>_xlfn.XLOOKUP(OrderDetails[[#This Row],[OrderID]],Orders!A:A,Orders!C:C,"Not Found")</f>
        <v>35884</v>
      </c>
      <c r="H1903" s="16">
        <f>(OrderDetails[[#This Row],[UnitPrice]]*OrderDetails[[#This Row],[Quantity]])*(1-OrderDetails[[#This Row],[Discount]])</f>
        <v>565.37999906390894</v>
      </c>
      <c r="I1903" s="15" t="str">
        <f>_xlfn.XLOOKUP(OrderDetails[[#This Row],[ProductID]],Product!A:A,Product!G:G,"Not Found")</f>
        <v>Confections</v>
      </c>
      <c r="J1903" s="15" t="str">
        <f>LOOKUP(MONTH(G1903),{1,4,7,10},{"Winter","Spring","Summer","Autumn"})</f>
        <v>Winter</v>
      </c>
      <c r="K1903" s="15" t="str">
        <f>_xlfn.XLOOKUP(OrderDetails[[#This Row],[ProductID]],Product!A:A,Product!B:B,"Not Found")</f>
        <v>Pavlova</v>
      </c>
    </row>
    <row r="1904" spans="1:11">
      <c r="A1904" s="1">
        <v>10985</v>
      </c>
      <c r="B1904" s="1">
        <v>18</v>
      </c>
      <c r="C1904" s="1">
        <v>62.5</v>
      </c>
      <c r="D1904" s="1">
        <v>8</v>
      </c>
      <c r="E1904" s="3">
        <v>0.10000000149011612</v>
      </c>
      <c r="F1904" s="1" t="str">
        <f>_xlfn.XLOOKUP(A1904,Orders!A:A,Orders!B:B,"not found")</f>
        <v>HUNGO</v>
      </c>
      <c r="G1904" s="13">
        <f>_xlfn.XLOOKUP(OrderDetails[[#This Row],[OrderID]],Orders!A:A,Orders!C:C,"Not Found")</f>
        <v>35884</v>
      </c>
      <c r="H1904" s="16">
        <f>(OrderDetails[[#This Row],[UnitPrice]]*OrderDetails[[#This Row],[Quantity]])*(1-OrderDetails[[#This Row],[Discount]])</f>
        <v>449.99999925494194</v>
      </c>
      <c r="I1904" s="15" t="str">
        <f>_xlfn.XLOOKUP(OrderDetails[[#This Row],[ProductID]],Product!A:A,Product!G:G,"Not Found")</f>
        <v>Seafood</v>
      </c>
      <c r="J1904" s="15" t="str">
        <f>LOOKUP(MONTH(G1904),{1,4,7,10},{"Winter","Spring","Summer","Autumn"})</f>
        <v>Winter</v>
      </c>
      <c r="K1904" s="15" t="str">
        <f>_xlfn.XLOOKUP(OrderDetails[[#This Row],[ProductID]],Product!A:A,Product!B:B,"Not Found")</f>
        <v>Carnarvon Tigers</v>
      </c>
    </row>
    <row r="1905" spans="1:11">
      <c r="A1905" s="2">
        <v>10985</v>
      </c>
      <c r="B1905" s="2">
        <v>32</v>
      </c>
      <c r="C1905" s="2">
        <v>32</v>
      </c>
      <c r="D1905" s="2">
        <v>35</v>
      </c>
      <c r="E1905" s="4">
        <v>0.10000000149011612</v>
      </c>
      <c r="F1905" s="1" t="str">
        <f>_xlfn.XLOOKUP(A1905,Orders!A:A,Orders!B:B,"not found")</f>
        <v>HUNGO</v>
      </c>
      <c r="G1905" s="13">
        <f>_xlfn.XLOOKUP(OrderDetails[[#This Row],[OrderID]],Orders!A:A,Orders!C:C,"Not Found")</f>
        <v>35884</v>
      </c>
      <c r="H1905" s="16">
        <f>(OrderDetails[[#This Row],[UnitPrice]]*OrderDetails[[#This Row],[Quantity]])*(1-OrderDetails[[#This Row],[Discount]])</f>
        <v>1007.9999983310699</v>
      </c>
      <c r="I1905" s="15" t="str">
        <f>_xlfn.XLOOKUP(OrderDetails[[#This Row],[ProductID]],Product!A:A,Product!G:G,"Not Found")</f>
        <v>Dairy Products</v>
      </c>
      <c r="J1905" s="15" t="str">
        <f>LOOKUP(MONTH(G1905),{1,4,7,10},{"Winter","Spring","Summer","Autumn"})</f>
        <v>Winter</v>
      </c>
      <c r="K1905" s="15" t="str">
        <f>_xlfn.XLOOKUP(OrderDetails[[#This Row],[ProductID]],Product!A:A,Product!B:B,"Not Found")</f>
        <v>Mascarpone Fabioli</v>
      </c>
    </row>
    <row r="1906" spans="1:11">
      <c r="A1906" s="1">
        <v>10986</v>
      </c>
      <c r="B1906" s="1">
        <v>11</v>
      </c>
      <c r="C1906" s="1">
        <v>21</v>
      </c>
      <c r="D1906" s="1">
        <v>30</v>
      </c>
      <c r="E1906" s="3">
        <v>0</v>
      </c>
      <c r="F1906" s="1" t="str">
        <f>_xlfn.XLOOKUP(A1906,Orders!A:A,Orders!B:B,"not found")</f>
        <v>OCEAN</v>
      </c>
      <c r="G1906" s="13">
        <f>_xlfn.XLOOKUP(OrderDetails[[#This Row],[OrderID]],Orders!A:A,Orders!C:C,"Not Found")</f>
        <v>35884</v>
      </c>
      <c r="H1906" s="16">
        <f>(OrderDetails[[#This Row],[UnitPrice]]*OrderDetails[[#This Row],[Quantity]])*(1-OrderDetails[[#This Row],[Discount]])</f>
        <v>630</v>
      </c>
      <c r="I1906" s="15" t="str">
        <f>_xlfn.XLOOKUP(OrderDetails[[#This Row],[ProductID]],Product!A:A,Product!G:G,"Not Found")</f>
        <v>Dairy Products</v>
      </c>
      <c r="J1906" s="15" t="str">
        <f>LOOKUP(MONTH(G1906),{1,4,7,10},{"Winter","Spring","Summer","Autumn"})</f>
        <v>Winter</v>
      </c>
      <c r="K1906" s="15" t="str">
        <f>_xlfn.XLOOKUP(OrderDetails[[#This Row],[ProductID]],Product!A:A,Product!B:B,"Not Found")</f>
        <v>Queso Cabrales</v>
      </c>
    </row>
    <row r="1907" spans="1:11">
      <c r="A1907" s="2">
        <v>10986</v>
      </c>
      <c r="B1907" s="2">
        <v>20</v>
      </c>
      <c r="C1907" s="2">
        <v>81</v>
      </c>
      <c r="D1907" s="2">
        <v>15</v>
      </c>
      <c r="E1907" s="4">
        <v>0</v>
      </c>
      <c r="F1907" s="1" t="str">
        <f>_xlfn.XLOOKUP(A1907,Orders!A:A,Orders!B:B,"not found")</f>
        <v>OCEAN</v>
      </c>
      <c r="G1907" s="13">
        <f>_xlfn.XLOOKUP(OrderDetails[[#This Row],[OrderID]],Orders!A:A,Orders!C:C,"Not Found")</f>
        <v>35884</v>
      </c>
      <c r="H1907" s="16">
        <f>(OrderDetails[[#This Row],[UnitPrice]]*OrderDetails[[#This Row],[Quantity]])*(1-OrderDetails[[#This Row],[Discount]])</f>
        <v>1215</v>
      </c>
      <c r="I1907" s="15" t="str">
        <f>_xlfn.XLOOKUP(OrderDetails[[#This Row],[ProductID]],Product!A:A,Product!G:G,"Not Found")</f>
        <v>Confections</v>
      </c>
      <c r="J1907" s="15" t="str">
        <f>LOOKUP(MONTH(G1907),{1,4,7,10},{"Winter","Spring","Summer","Autumn"})</f>
        <v>Winter</v>
      </c>
      <c r="K1907" s="15" t="str">
        <f>_xlfn.XLOOKUP(OrderDetails[[#This Row],[ProductID]],Product!A:A,Product!B:B,"Not Found")</f>
        <v>Sir Rodney's Marmalade</v>
      </c>
    </row>
    <row r="1908" spans="1:11">
      <c r="A1908" s="1">
        <v>10986</v>
      </c>
      <c r="B1908" s="1">
        <v>76</v>
      </c>
      <c r="C1908" s="1">
        <v>18</v>
      </c>
      <c r="D1908" s="1">
        <v>10</v>
      </c>
      <c r="E1908" s="3">
        <v>0</v>
      </c>
      <c r="F1908" s="1" t="str">
        <f>_xlfn.XLOOKUP(A1908,Orders!A:A,Orders!B:B,"not found")</f>
        <v>OCEAN</v>
      </c>
      <c r="G1908" s="13">
        <f>_xlfn.XLOOKUP(OrderDetails[[#This Row],[OrderID]],Orders!A:A,Orders!C:C,"Not Found")</f>
        <v>35884</v>
      </c>
      <c r="H1908" s="16">
        <f>(OrderDetails[[#This Row],[UnitPrice]]*OrderDetails[[#This Row],[Quantity]])*(1-OrderDetails[[#This Row],[Discount]])</f>
        <v>180</v>
      </c>
      <c r="I1908" s="15" t="str">
        <f>_xlfn.XLOOKUP(OrderDetails[[#This Row],[ProductID]],Product!A:A,Product!G:G,"Not Found")</f>
        <v>Beverages</v>
      </c>
      <c r="J1908" s="15" t="str">
        <f>LOOKUP(MONTH(G1908),{1,4,7,10},{"Winter","Spring","Summer","Autumn"})</f>
        <v>Winter</v>
      </c>
      <c r="K1908" s="15" t="str">
        <f>_xlfn.XLOOKUP(OrderDetails[[#This Row],[ProductID]],Product!A:A,Product!B:B,"Not Found")</f>
        <v>Lakkalikööri</v>
      </c>
    </row>
    <row r="1909" spans="1:11">
      <c r="A1909" s="2">
        <v>10986</v>
      </c>
      <c r="B1909" s="2">
        <v>77</v>
      </c>
      <c r="C1909" s="2">
        <v>13</v>
      </c>
      <c r="D1909" s="2">
        <v>15</v>
      </c>
      <c r="E1909" s="4">
        <v>0</v>
      </c>
      <c r="F1909" s="1" t="str">
        <f>_xlfn.XLOOKUP(A1909,Orders!A:A,Orders!B:B,"not found")</f>
        <v>OCEAN</v>
      </c>
      <c r="G1909" s="13">
        <f>_xlfn.XLOOKUP(OrderDetails[[#This Row],[OrderID]],Orders!A:A,Orders!C:C,"Not Found")</f>
        <v>35884</v>
      </c>
      <c r="H1909" s="16">
        <f>(OrderDetails[[#This Row],[UnitPrice]]*OrderDetails[[#This Row],[Quantity]])*(1-OrderDetails[[#This Row],[Discount]])</f>
        <v>195</v>
      </c>
      <c r="I1909" s="15" t="str">
        <f>_xlfn.XLOOKUP(OrderDetails[[#This Row],[ProductID]],Product!A:A,Product!G:G,"Not Found")</f>
        <v>Condiments</v>
      </c>
      <c r="J1909" s="15" t="str">
        <f>LOOKUP(MONTH(G1909),{1,4,7,10},{"Winter","Spring","Summer","Autumn"})</f>
        <v>Winter</v>
      </c>
      <c r="K1909" s="15" t="str">
        <f>_xlfn.XLOOKUP(OrderDetails[[#This Row],[ProductID]],Product!A:A,Product!B:B,"Not Found")</f>
        <v>Original Frankfurter grüne Soße</v>
      </c>
    </row>
    <row r="1910" spans="1:11">
      <c r="A1910" s="1">
        <v>10987</v>
      </c>
      <c r="B1910" s="1">
        <v>7</v>
      </c>
      <c r="C1910" s="1">
        <v>30</v>
      </c>
      <c r="D1910" s="1">
        <v>60</v>
      </c>
      <c r="E1910" s="3">
        <v>0</v>
      </c>
      <c r="F1910" s="1" t="str">
        <f>_xlfn.XLOOKUP(A1910,Orders!A:A,Orders!B:B,"not found")</f>
        <v>EASTC</v>
      </c>
      <c r="G1910" s="13">
        <f>_xlfn.XLOOKUP(OrderDetails[[#This Row],[OrderID]],Orders!A:A,Orders!C:C,"Not Found")</f>
        <v>35885</v>
      </c>
      <c r="H1910" s="16">
        <f>(OrderDetails[[#This Row],[UnitPrice]]*OrderDetails[[#This Row],[Quantity]])*(1-OrderDetails[[#This Row],[Discount]])</f>
        <v>1800</v>
      </c>
      <c r="I1910" s="15" t="str">
        <f>_xlfn.XLOOKUP(OrderDetails[[#This Row],[ProductID]],Product!A:A,Product!G:G,"Not Found")</f>
        <v>Produce</v>
      </c>
      <c r="J1910" s="15" t="str">
        <f>LOOKUP(MONTH(G1910),{1,4,7,10},{"Winter","Spring","Summer","Autumn"})</f>
        <v>Winter</v>
      </c>
      <c r="K1910" s="15" t="str">
        <f>_xlfn.XLOOKUP(OrderDetails[[#This Row],[ProductID]],Product!A:A,Product!B:B,"Not Found")</f>
        <v>Uncle Bob's Organic Dried Pears</v>
      </c>
    </row>
    <row r="1911" spans="1:11">
      <c r="A1911" s="2">
        <v>10987</v>
      </c>
      <c r="B1911" s="2">
        <v>43</v>
      </c>
      <c r="C1911" s="2">
        <v>46</v>
      </c>
      <c r="D1911" s="2">
        <v>6</v>
      </c>
      <c r="E1911" s="4">
        <v>0</v>
      </c>
      <c r="F1911" s="1" t="str">
        <f>_xlfn.XLOOKUP(A1911,Orders!A:A,Orders!B:B,"not found")</f>
        <v>EASTC</v>
      </c>
      <c r="G1911" s="13">
        <f>_xlfn.XLOOKUP(OrderDetails[[#This Row],[OrderID]],Orders!A:A,Orders!C:C,"Not Found")</f>
        <v>35885</v>
      </c>
      <c r="H1911" s="16">
        <f>(OrderDetails[[#This Row],[UnitPrice]]*OrderDetails[[#This Row],[Quantity]])*(1-OrderDetails[[#This Row],[Discount]])</f>
        <v>276</v>
      </c>
      <c r="I1911" s="15" t="str">
        <f>_xlfn.XLOOKUP(OrderDetails[[#This Row],[ProductID]],Product!A:A,Product!G:G,"Not Found")</f>
        <v>Beverages</v>
      </c>
      <c r="J1911" s="15" t="str">
        <f>LOOKUP(MONTH(G1911),{1,4,7,10},{"Winter","Spring","Summer","Autumn"})</f>
        <v>Winter</v>
      </c>
      <c r="K1911" s="15" t="str">
        <f>_xlfn.XLOOKUP(OrderDetails[[#This Row],[ProductID]],Product!A:A,Product!B:B,"Not Found")</f>
        <v>Ipoh Coffee</v>
      </c>
    </row>
    <row r="1912" spans="1:11">
      <c r="A1912" s="1">
        <v>10987</v>
      </c>
      <c r="B1912" s="1">
        <v>72</v>
      </c>
      <c r="C1912" s="1">
        <v>34.799999999999997</v>
      </c>
      <c r="D1912" s="1">
        <v>20</v>
      </c>
      <c r="E1912" s="3">
        <v>0</v>
      </c>
      <c r="F1912" s="1" t="str">
        <f>_xlfn.XLOOKUP(A1912,Orders!A:A,Orders!B:B,"not found")</f>
        <v>EASTC</v>
      </c>
      <c r="G1912" s="13">
        <f>_xlfn.XLOOKUP(OrderDetails[[#This Row],[OrderID]],Orders!A:A,Orders!C:C,"Not Found")</f>
        <v>35885</v>
      </c>
      <c r="H1912" s="16">
        <f>(OrderDetails[[#This Row],[UnitPrice]]*OrderDetails[[#This Row],[Quantity]])*(1-OrderDetails[[#This Row],[Discount]])</f>
        <v>696</v>
      </c>
      <c r="I1912" s="15" t="str">
        <f>_xlfn.XLOOKUP(OrderDetails[[#This Row],[ProductID]],Product!A:A,Product!G:G,"Not Found")</f>
        <v>Dairy Products</v>
      </c>
      <c r="J1912" s="15" t="str">
        <f>LOOKUP(MONTH(G1912),{1,4,7,10},{"Winter","Spring","Summer","Autumn"})</f>
        <v>Winter</v>
      </c>
      <c r="K1912" s="15" t="str">
        <f>_xlfn.XLOOKUP(OrderDetails[[#This Row],[ProductID]],Product!A:A,Product!B:B,"Not Found")</f>
        <v>Mozzarella di Giovanni</v>
      </c>
    </row>
    <row r="1913" spans="1:11">
      <c r="A1913" s="2">
        <v>10988</v>
      </c>
      <c r="B1913" s="2">
        <v>7</v>
      </c>
      <c r="C1913" s="2">
        <v>30</v>
      </c>
      <c r="D1913" s="2">
        <v>60</v>
      </c>
      <c r="E1913" s="4">
        <v>0</v>
      </c>
      <c r="F1913" s="1" t="str">
        <f>_xlfn.XLOOKUP(A1913,Orders!A:A,Orders!B:B,"not found")</f>
        <v>RATTC</v>
      </c>
      <c r="G1913" s="13">
        <f>_xlfn.XLOOKUP(OrderDetails[[#This Row],[OrderID]],Orders!A:A,Orders!C:C,"Not Found")</f>
        <v>35885</v>
      </c>
      <c r="H1913" s="16">
        <f>(OrderDetails[[#This Row],[UnitPrice]]*OrderDetails[[#This Row],[Quantity]])*(1-OrderDetails[[#This Row],[Discount]])</f>
        <v>1800</v>
      </c>
      <c r="I1913" s="15" t="str">
        <f>_xlfn.XLOOKUP(OrderDetails[[#This Row],[ProductID]],Product!A:A,Product!G:G,"Not Found")</f>
        <v>Produce</v>
      </c>
      <c r="J1913" s="15" t="str">
        <f>LOOKUP(MONTH(G1913),{1,4,7,10},{"Winter","Spring","Summer","Autumn"})</f>
        <v>Winter</v>
      </c>
      <c r="K1913" s="15" t="str">
        <f>_xlfn.XLOOKUP(OrderDetails[[#This Row],[ProductID]],Product!A:A,Product!B:B,"Not Found")</f>
        <v>Uncle Bob's Organic Dried Pears</v>
      </c>
    </row>
    <row r="1914" spans="1:11">
      <c r="A1914" s="1">
        <v>10988</v>
      </c>
      <c r="B1914" s="1">
        <v>62</v>
      </c>
      <c r="C1914" s="1">
        <v>49.3</v>
      </c>
      <c r="D1914" s="1">
        <v>40</v>
      </c>
      <c r="E1914" s="3">
        <v>0.10000000149011612</v>
      </c>
      <c r="F1914" s="1" t="str">
        <f>_xlfn.XLOOKUP(A1914,Orders!A:A,Orders!B:B,"not found")</f>
        <v>RATTC</v>
      </c>
      <c r="G1914" s="13">
        <f>_xlfn.XLOOKUP(OrderDetails[[#This Row],[OrderID]],Orders!A:A,Orders!C:C,"Not Found")</f>
        <v>35885</v>
      </c>
      <c r="H1914" s="16">
        <f>(OrderDetails[[#This Row],[UnitPrice]]*OrderDetails[[#This Row],[Quantity]])*(1-OrderDetails[[#This Row],[Discount]])</f>
        <v>1774.799997061491</v>
      </c>
      <c r="I1914" s="15" t="str">
        <f>_xlfn.XLOOKUP(OrderDetails[[#This Row],[ProductID]],Product!A:A,Product!G:G,"Not Found")</f>
        <v>Confections</v>
      </c>
      <c r="J1914" s="15" t="str">
        <f>LOOKUP(MONTH(G1914),{1,4,7,10},{"Winter","Spring","Summer","Autumn"})</f>
        <v>Winter</v>
      </c>
      <c r="K1914" s="15" t="str">
        <f>_xlfn.XLOOKUP(OrderDetails[[#This Row],[ProductID]],Product!A:A,Product!B:B,"Not Found")</f>
        <v>Tarte au sucre</v>
      </c>
    </row>
    <row r="1915" spans="1:11">
      <c r="A1915" s="2">
        <v>10989</v>
      </c>
      <c r="B1915" s="2">
        <v>6</v>
      </c>
      <c r="C1915" s="2">
        <v>25</v>
      </c>
      <c r="D1915" s="2">
        <v>40</v>
      </c>
      <c r="E1915" s="4">
        <v>0</v>
      </c>
      <c r="F1915" s="1" t="str">
        <f>_xlfn.XLOOKUP(A1915,Orders!A:A,Orders!B:B,"not found")</f>
        <v>QUEDE</v>
      </c>
      <c r="G1915" s="13">
        <f>_xlfn.XLOOKUP(OrderDetails[[#This Row],[OrderID]],Orders!A:A,Orders!C:C,"Not Found")</f>
        <v>35885</v>
      </c>
      <c r="H1915" s="16">
        <f>(OrderDetails[[#This Row],[UnitPrice]]*OrderDetails[[#This Row],[Quantity]])*(1-OrderDetails[[#This Row],[Discount]])</f>
        <v>1000</v>
      </c>
      <c r="I1915" s="15" t="str">
        <f>_xlfn.XLOOKUP(OrderDetails[[#This Row],[ProductID]],Product!A:A,Product!G:G,"Not Found")</f>
        <v>Condiments</v>
      </c>
      <c r="J1915" s="15" t="str">
        <f>LOOKUP(MONTH(G1915),{1,4,7,10},{"Winter","Spring","Summer","Autumn"})</f>
        <v>Winter</v>
      </c>
      <c r="K1915" s="15" t="str">
        <f>_xlfn.XLOOKUP(OrderDetails[[#This Row],[ProductID]],Product!A:A,Product!B:B,"Not Found")</f>
        <v>Grandma's Boysenberry Spread</v>
      </c>
    </row>
    <row r="1916" spans="1:11">
      <c r="A1916" s="1">
        <v>10989</v>
      </c>
      <c r="B1916" s="1">
        <v>11</v>
      </c>
      <c r="C1916" s="1">
        <v>21</v>
      </c>
      <c r="D1916" s="1">
        <v>15</v>
      </c>
      <c r="E1916" s="3">
        <v>0</v>
      </c>
      <c r="F1916" s="1" t="str">
        <f>_xlfn.XLOOKUP(A1916,Orders!A:A,Orders!B:B,"not found")</f>
        <v>QUEDE</v>
      </c>
      <c r="G1916" s="13">
        <f>_xlfn.XLOOKUP(OrderDetails[[#This Row],[OrderID]],Orders!A:A,Orders!C:C,"Not Found")</f>
        <v>35885</v>
      </c>
      <c r="H1916" s="16">
        <f>(OrderDetails[[#This Row],[UnitPrice]]*OrderDetails[[#This Row],[Quantity]])*(1-OrderDetails[[#This Row],[Discount]])</f>
        <v>315</v>
      </c>
      <c r="I1916" s="15" t="str">
        <f>_xlfn.XLOOKUP(OrderDetails[[#This Row],[ProductID]],Product!A:A,Product!G:G,"Not Found")</f>
        <v>Dairy Products</v>
      </c>
      <c r="J1916" s="15" t="str">
        <f>LOOKUP(MONTH(G1916),{1,4,7,10},{"Winter","Spring","Summer","Autumn"})</f>
        <v>Winter</v>
      </c>
      <c r="K1916" s="15" t="str">
        <f>_xlfn.XLOOKUP(OrderDetails[[#This Row],[ProductID]],Product!A:A,Product!B:B,"Not Found")</f>
        <v>Queso Cabrales</v>
      </c>
    </row>
    <row r="1917" spans="1:11">
      <c r="A1917" s="2">
        <v>10989</v>
      </c>
      <c r="B1917" s="2">
        <v>41</v>
      </c>
      <c r="C1917" s="2">
        <v>9.65</v>
      </c>
      <c r="D1917" s="2">
        <v>4</v>
      </c>
      <c r="E1917" s="4">
        <v>0</v>
      </c>
      <c r="F1917" s="1" t="str">
        <f>_xlfn.XLOOKUP(A1917,Orders!A:A,Orders!B:B,"not found")</f>
        <v>QUEDE</v>
      </c>
      <c r="G1917" s="13">
        <f>_xlfn.XLOOKUP(OrderDetails[[#This Row],[OrderID]],Orders!A:A,Orders!C:C,"Not Found")</f>
        <v>35885</v>
      </c>
      <c r="H1917" s="16">
        <f>(OrderDetails[[#This Row],[UnitPrice]]*OrderDetails[[#This Row],[Quantity]])*(1-OrderDetails[[#This Row],[Discount]])</f>
        <v>38.6</v>
      </c>
      <c r="I1917" s="15" t="str">
        <f>_xlfn.XLOOKUP(OrderDetails[[#This Row],[ProductID]],Product!A:A,Product!G:G,"Not Found")</f>
        <v>Seafood</v>
      </c>
      <c r="J1917" s="15" t="str">
        <f>LOOKUP(MONTH(G1917),{1,4,7,10},{"Winter","Spring","Summer","Autumn"})</f>
        <v>Winter</v>
      </c>
      <c r="K1917" s="15" t="str">
        <f>_xlfn.XLOOKUP(OrderDetails[[#This Row],[ProductID]],Product!A:A,Product!B:B,"Not Found")</f>
        <v>Jack's New England Clam Chowder</v>
      </c>
    </row>
    <row r="1918" spans="1:11">
      <c r="A1918" s="1">
        <v>10990</v>
      </c>
      <c r="B1918" s="1">
        <v>21</v>
      </c>
      <c r="C1918" s="1">
        <v>10</v>
      </c>
      <c r="D1918" s="1">
        <v>65</v>
      </c>
      <c r="E1918" s="3">
        <v>0</v>
      </c>
      <c r="F1918" s="1" t="str">
        <f>_xlfn.XLOOKUP(A1918,Orders!A:A,Orders!B:B,"not found")</f>
        <v>ERNSH</v>
      </c>
      <c r="G1918" s="13">
        <f>_xlfn.XLOOKUP(OrderDetails[[#This Row],[OrderID]],Orders!A:A,Orders!C:C,"Not Found")</f>
        <v>35886</v>
      </c>
      <c r="H1918" s="16">
        <f>(OrderDetails[[#This Row],[UnitPrice]]*OrderDetails[[#This Row],[Quantity]])*(1-OrderDetails[[#This Row],[Discount]])</f>
        <v>650</v>
      </c>
      <c r="I1918" s="15" t="str">
        <f>_xlfn.XLOOKUP(OrderDetails[[#This Row],[ProductID]],Product!A:A,Product!G:G,"Not Found")</f>
        <v>Confections</v>
      </c>
      <c r="J1918" s="15" t="str">
        <f>LOOKUP(MONTH(G1918),{1,4,7,10},{"Winter","Spring","Summer","Autumn"})</f>
        <v>Spring</v>
      </c>
      <c r="K1918" s="15" t="str">
        <f>_xlfn.XLOOKUP(OrderDetails[[#This Row],[ProductID]],Product!A:A,Product!B:B,"Not Found")</f>
        <v>Sir Rodney's Scones</v>
      </c>
    </row>
    <row r="1919" spans="1:11">
      <c r="A1919" s="2">
        <v>10990</v>
      </c>
      <c r="B1919" s="2">
        <v>34</v>
      </c>
      <c r="C1919" s="2">
        <v>14</v>
      </c>
      <c r="D1919" s="2">
        <v>60</v>
      </c>
      <c r="E1919" s="4">
        <v>0.15000000596046448</v>
      </c>
      <c r="F1919" s="1" t="str">
        <f>_xlfn.XLOOKUP(A1919,Orders!A:A,Orders!B:B,"not found")</f>
        <v>ERNSH</v>
      </c>
      <c r="G1919" s="13">
        <f>_xlfn.XLOOKUP(OrderDetails[[#This Row],[OrderID]],Orders!A:A,Orders!C:C,"Not Found")</f>
        <v>35886</v>
      </c>
      <c r="H1919" s="16">
        <f>(OrderDetails[[#This Row],[UnitPrice]]*OrderDetails[[#This Row],[Quantity]])*(1-OrderDetails[[#This Row],[Discount]])</f>
        <v>713.99999499320984</v>
      </c>
      <c r="I1919" s="15" t="str">
        <f>_xlfn.XLOOKUP(OrderDetails[[#This Row],[ProductID]],Product!A:A,Product!G:G,"Not Found")</f>
        <v>Beverages</v>
      </c>
      <c r="J1919" s="15" t="str">
        <f>LOOKUP(MONTH(G1919),{1,4,7,10},{"Winter","Spring","Summer","Autumn"})</f>
        <v>Spring</v>
      </c>
      <c r="K1919" s="15" t="str">
        <f>_xlfn.XLOOKUP(OrderDetails[[#This Row],[ProductID]],Product!A:A,Product!B:B,"Not Found")</f>
        <v>Sasquatch Ale</v>
      </c>
    </row>
    <row r="1920" spans="1:11">
      <c r="A1920" s="1">
        <v>10990</v>
      </c>
      <c r="B1920" s="1">
        <v>55</v>
      </c>
      <c r="C1920" s="1">
        <v>24</v>
      </c>
      <c r="D1920" s="1">
        <v>65</v>
      </c>
      <c r="E1920" s="3">
        <v>0.15000000596046448</v>
      </c>
      <c r="F1920" s="1" t="str">
        <f>_xlfn.XLOOKUP(A1920,Orders!A:A,Orders!B:B,"not found")</f>
        <v>ERNSH</v>
      </c>
      <c r="G1920" s="13">
        <f>_xlfn.XLOOKUP(OrderDetails[[#This Row],[OrderID]],Orders!A:A,Orders!C:C,"Not Found")</f>
        <v>35886</v>
      </c>
      <c r="H1920" s="16">
        <f>(OrderDetails[[#This Row],[UnitPrice]]*OrderDetails[[#This Row],[Quantity]])*(1-OrderDetails[[#This Row],[Discount]])</f>
        <v>1325.9999907016754</v>
      </c>
      <c r="I1920" s="15" t="str">
        <f>_xlfn.XLOOKUP(OrderDetails[[#This Row],[ProductID]],Product!A:A,Product!G:G,"Not Found")</f>
        <v>Meat/Poultry</v>
      </c>
      <c r="J1920" s="15" t="str">
        <f>LOOKUP(MONTH(G1920),{1,4,7,10},{"Winter","Spring","Summer","Autumn"})</f>
        <v>Spring</v>
      </c>
      <c r="K1920" s="15" t="str">
        <f>_xlfn.XLOOKUP(OrderDetails[[#This Row],[ProductID]],Product!A:A,Product!B:B,"Not Found")</f>
        <v>Pâté chinois</v>
      </c>
    </row>
    <row r="1921" spans="1:11">
      <c r="A1921" s="2">
        <v>10990</v>
      </c>
      <c r="B1921" s="2">
        <v>61</v>
      </c>
      <c r="C1921" s="2">
        <v>28.5</v>
      </c>
      <c r="D1921" s="2">
        <v>66</v>
      </c>
      <c r="E1921" s="4">
        <v>0.15000000596046448</v>
      </c>
      <c r="F1921" s="1" t="str">
        <f>_xlfn.XLOOKUP(A1921,Orders!A:A,Orders!B:B,"not found")</f>
        <v>ERNSH</v>
      </c>
      <c r="G1921" s="13">
        <f>_xlfn.XLOOKUP(OrderDetails[[#This Row],[OrderID]],Orders!A:A,Orders!C:C,"Not Found")</f>
        <v>35886</v>
      </c>
      <c r="H1921" s="16">
        <f>(OrderDetails[[#This Row],[UnitPrice]]*OrderDetails[[#This Row],[Quantity]])*(1-OrderDetails[[#This Row],[Discount]])</f>
        <v>1598.8499887883663</v>
      </c>
      <c r="I1921" s="15" t="str">
        <f>_xlfn.XLOOKUP(OrderDetails[[#This Row],[ProductID]],Product!A:A,Product!G:G,"Not Found")</f>
        <v>Condiments</v>
      </c>
      <c r="J1921" s="15" t="str">
        <f>LOOKUP(MONTH(G1921),{1,4,7,10},{"Winter","Spring","Summer","Autumn"})</f>
        <v>Spring</v>
      </c>
      <c r="K1921" s="15" t="str">
        <f>_xlfn.XLOOKUP(OrderDetails[[#This Row],[ProductID]],Product!A:A,Product!B:B,"Not Found")</f>
        <v>Sirop d'érable</v>
      </c>
    </row>
    <row r="1922" spans="1:11">
      <c r="A1922" s="1">
        <v>10991</v>
      </c>
      <c r="B1922" s="1">
        <v>2</v>
      </c>
      <c r="C1922" s="1">
        <v>19</v>
      </c>
      <c r="D1922" s="1">
        <v>50</v>
      </c>
      <c r="E1922" s="3">
        <v>0.20000000298023224</v>
      </c>
      <c r="F1922" s="1" t="str">
        <f>_xlfn.XLOOKUP(A1922,Orders!A:A,Orders!B:B,"not found")</f>
        <v>QUICK</v>
      </c>
      <c r="G1922" s="13">
        <f>_xlfn.XLOOKUP(OrderDetails[[#This Row],[OrderID]],Orders!A:A,Orders!C:C,"Not Found")</f>
        <v>35886</v>
      </c>
      <c r="H1922" s="16">
        <f>(OrderDetails[[#This Row],[UnitPrice]]*OrderDetails[[#This Row],[Quantity]])*(1-OrderDetails[[#This Row],[Discount]])</f>
        <v>759.99999716877937</v>
      </c>
      <c r="I1922" s="15" t="str">
        <f>_xlfn.XLOOKUP(OrderDetails[[#This Row],[ProductID]],Product!A:A,Product!G:G,"Not Found")</f>
        <v>Beverages</v>
      </c>
      <c r="J1922" s="15" t="str">
        <f>LOOKUP(MONTH(G1922),{1,4,7,10},{"Winter","Spring","Summer","Autumn"})</f>
        <v>Spring</v>
      </c>
      <c r="K1922" s="15" t="str">
        <f>_xlfn.XLOOKUP(OrderDetails[[#This Row],[ProductID]],Product!A:A,Product!B:B,"Not Found")</f>
        <v>Chang</v>
      </c>
    </row>
    <row r="1923" spans="1:11">
      <c r="A1923" s="2">
        <v>10991</v>
      </c>
      <c r="B1923" s="2">
        <v>70</v>
      </c>
      <c r="C1923" s="2">
        <v>15</v>
      </c>
      <c r="D1923" s="2">
        <v>20</v>
      </c>
      <c r="E1923" s="4">
        <v>0.20000000298023224</v>
      </c>
      <c r="F1923" s="1" t="str">
        <f>_xlfn.XLOOKUP(A1923,Orders!A:A,Orders!B:B,"not found")</f>
        <v>QUICK</v>
      </c>
      <c r="G1923" s="13">
        <f>_xlfn.XLOOKUP(OrderDetails[[#This Row],[OrderID]],Orders!A:A,Orders!C:C,"Not Found")</f>
        <v>35886</v>
      </c>
      <c r="H1923" s="16">
        <f>(OrderDetails[[#This Row],[UnitPrice]]*OrderDetails[[#This Row],[Quantity]])*(1-OrderDetails[[#This Row],[Discount]])</f>
        <v>239.99999910593033</v>
      </c>
      <c r="I1923" s="15" t="str">
        <f>_xlfn.XLOOKUP(OrderDetails[[#This Row],[ProductID]],Product!A:A,Product!G:G,"Not Found")</f>
        <v>Beverages</v>
      </c>
      <c r="J1923" s="15" t="str">
        <f>LOOKUP(MONTH(G1923),{1,4,7,10},{"Winter","Spring","Summer","Autumn"})</f>
        <v>Spring</v>
      </c>
      <c r="K1923" s="15" t="str">
        <f>_xlfn.XLOOKUP(OrderDetails[[#This Row],[ProductID]],Product!A:A,Product!B:B,"Not Found")</f>
        <v>Outback Lager</v>
      </c>
    </row>
    <row r="1924" spans="1:11">
      <c r="A1924" s="1">
        <v>10991</v>
      </c>
      <c r="B1924" s="1">
        <v>76</v>
      </c>
      <c r="C1924" s="1">
        <v>18</v>
      </c>
      <c r="D1924" s="1">
        <v>90</v>
      </c>
      <c r="E1924" s="3">
        <v>0.20000000298023224</v>
      </c>
      <c r="F1924" s="1" t="str">
        <f>_xlfn.XLOOKUP(A1924,Orders!A:A,Orders!B:B,"not found")</f>
        <v>QUICK</v>
      </c>
      <c r="G1924" s="13">
        <f>_xlfn.XLOOKUP(OrderDetails[[#This Row],[OrderID]],Orders!A:A,Orders!C:C,"Not Found")</f>
        <v>35886</v>
      </c>
      <c r="H1924" s="16">
        <f>(OrderDetails[[#This Row],[UnitPrice]]*OrderDetails[[#This Row],[Quantity]])*(1-OrderDetails[[#This Row],[Discount]])</f>
        <v>1295.9999951720238</v>
      </c>
      <c r="I1924" s="15" t="str">
        <f>_xlfn.XLOOKUP(OrderDetails[[#This Row],[ProductID]],Product!A:A,Product!G:G,"Not Found")</f>
        <v>Beverages</v>
      </c>
      <c r="J1924" s="15" t="str">
        <f>LOOKUP(MONTH(G1924),{1,4,7,10},{"Winter","Spring","Summer","Autumn"})</f>
        <v>Spring</v>
      </c>
      <c r="K1924" s="15" t="str">
        <f>_xlfn.XLOOKUP(OrderDetails[[#This Row],[ProductID]],Product!A:A,Product!B:B,"Not Found")</f>
        <v>Lakkalikööri</v>
      </c>
    </row>
    <row r="1925" spans="1:11">
      <c r="A1925" s="2">
        <v>10992</v>
      </c>
      <c r="B1925" s="2">
        <v>72</v>
      </c>
      <c r="C1925" s="2">
        <v>34.799999999999997</v>
      </c>
      <c r="D1925" s="2">
        <v>2</v>
      </c>
      <c r="E1925" s="4">
        <v>0</v>
      </c>
      <c r="F1925" s="1" t="str">
        <f>_xlfn.XLOOKUP(A1925,Orders!A:A,Orders!B:B,"not found")</f>
        <v>THEBI</v>
      </c>
      <c r="G1925" s="13">
        <f>_xlfn.XLOOKUP(OrderDetails[[#This Row],[OrderID]],Orders!A:A,Orders!C:C,"Not Found")</f>
        <v>35886</v>
      </c>
      <c r="H1925" s="16">
        <f>(OrderDetails[[#This Row],[UnitPrice]]*OrderDetails[[#This Row],[Quantity]])*(1-OrderDetails[[#This Row],[Discount]])</f>
        <v>69.599999999999994</v>
      </c>
      <c r="I1925" s="15" t="str">
        <f>_xlfn.XLOOKUP(OrderDetails[[#This Row],[ProductID]],Product!A:A,Product!G:G,"Not Found")</f>
        <v>Dairy Products</v>
      </c>
      <c r="J1925" s="15" t="str">
        <f>LOOKUP(MONTH(G1925),{1,4,7,10},{"Winter","Spring","Summer","Autumn"})</f>
        <v>Spring</v>
      </c>
      <c r="K1925" s="15" t="str">
        <f>_xlfn.XLOOKUP(OrderDetails[[#This Row],[ProductID]],Product!A:A,Product!B:B,"Not Found")</f>
        <v>Mozzarella di Giovanni</v>
      </c>
    </row>
    <row r="1926" spans="1:11">
      <c r="A1926" s="1">
        <v>10993</v>
      </c>
      <c r="B1926" s="1">
        <v>29</v>
      </c>
      <c r="C1926" s="1">
        <v>123.79</v>
      </c>
      <c r="D1926" s="1">
        <v>50</v>
      </c>
      <c r="E1926" s="3">
        <v>0.25</v>
      </c>
      <c r="F1926" s="1" t="str">
        <f>_xlfn.XLOOKUP(A1926,Orders!A:A,Orders!B:B,"not found")</f>
        <v>FOLKO</v>
      </c>
      <c r="G1926" s="13">
        <f>_xlfn.XLOOKUP(OrderDetails[[#This Row],[OrderID]],Orders!A:A,Orders!C:C,"Not Found")</f>
        <v>35886</v>
      </c>
      <c r="H1926" s="16">
        <f>(OrderDetails[[#This Row],[UnitPrice]]*OrderDetails[[#This Row],[Quantity]])*(1-OrderDetails[[#This Row],[Discount]])</f>
        <v>4642.125</v>
      </c>
      <c r="I1926" s="15" t="str">
        <f>_xlfn.XLOOKUP(OrderDetails[[#This Row],[ProductID]],Product!A:A,Product!G:G,"Not Found")</f>
        <v>Meat/Poultry</v>
      </c>
      <c r="J1926" s="15" t="str">
        <f>LOOKUP(MONTH(G1926),{1,4,7,10},{"Winter","Spring","Summer","Autumn"})</f>
        <v>Spring</v>
      </c>
      <c r="K1926" s="15" t="str">
        <f>_xlfn.XLOOKUP(OrderDetails[[#This Row],[ProductID]],Product!A:A,Product!B:B,"Not Found")</f>
        <v>Thüringer Rostbratwurst</v>
      </c>
    </row>
    <row r="1927" spans="1:11">
      <c r="A1927" s="2">
        <v>10993</v>
      </c>
      <c r="B1927" s="2">
        <v>41</v>
      </c>
      <c r="C1927" s="2">
        <v>9.65</v>
      </c>
      <c r="D1927" s="2">
        <v>35</v>
      </c>
      <c r="E1927" s="4">
        <v>0.25</v>
      </c>
      <c r="F1927" s="1" t="str">
        <f>_xlfn.XLOOKUP(A1927,Orders!A:A,Orders!B:B,"not found")</f>
        <v>FOLKO</v>
      </c>
      <c r="G1927" s="13">
        <f>_xlfn.XLOOKUP(OrderDetails[[#This Row],[OrderID]],Orders!A:A,Orders!C:C,"Not Found")</f>
        <v>35886</v>
      </c>
      <c r="H1927" s="16">
        <f>(OrderDetails[[#This Row],[UnitPrice]]*OrderDetails[[#This Row],[Quantity]])*(1-OrderDetails[[#This Row],[Discount]])</f>
        <v>253.3125</v>
      </c>
      <c r="I1927" s="15" t="str">
        <f>_xlfn.XLOOKUP(OrderDetails[[#This Row],[ProductID]],Product!A:A,Product!G:G,"Not Found")</f>
        <v>Seafood</v>
      </c>
      <c r="J1927" s="15" t="str">
        <f>LOOKUP(MONTH(G1927),{1,4,7,10},{"Winter","Spring","Summer","Autumn"})</f>
        <v>Spring</v>
      </c>
      <c r="K1927" s="15" t="str">
        <f>_xlfn.XLOOKUP(OrderDetails[[#This Row],[ProductID]],Product!A:A,Product!B:B,"Not Found")</f>
        <v>Jack's New England Clam Chowder</v>
      </c>
    </row>
    <row r="1928" spans="1:11">
      <c r="A1928" s="1">
        <v>10994</v>
      </c>
      <c r="B1928" s="1">
        <v>59</v>
      </c>
      <c r="C1928" s="1">
        <v>55</v>
      </c>
      <c r="D1928" s="1">
        <v>18</v>
      </c>
      <c r="E1928" s="3">
        <v>5.000000074505806E-2</v>
      </c>
      <c r="F1928" s="1" t="str">
        <f>_xlfn.XLOOKUP(A1928,Orders!A:A,Orders!B:B,"not found")</f>
        <v>VAFFE</v>
      </c>
      <c r="G1928" s="13">
        <f>_xlfn.XLOOKUP(OrderDetails[[#This Row],[OrderID]],Orders!A:A,Orders!C:C,"Not Found")</f>
        <v>35887</v>
      </c>
      <c r="H1928" s="16">
        <f>(OrderDetails[[#This Row],[UnitPrice]]*OrderDetails[[#This Row],[Quantity]])*(1-OrderDetails[[#This Row],[Discount]])</f>
        <v>940.49999926239252</v>
      </c>
      <c r="I1928" s="15" t="str">
        <f>_xlfn.XLOOKUP(OrderDetails[[#This Row],[ProductID]],Product!A:A,Product!G:G,"Not Found")</f>
        <v>Dairy Products</v>
      </c>
      <c r="J1928" s="15" t="str">
        <f>LOOKUP(MONTH(G1928),{1,4,7,10},{"Winter","Spring","Summer","Autumn"})</f>
        <v>Spring</v>
      </c>
      <c r="K1928" s="15" t="str">
        <f>_xlfn.XLOOKUP(OrderDetails[[#This Row],[ProductID]],Product!A:A,Product!B:B,"Not Found")</f>
        <v>Raclette Courdavault</v>
      </c>
    </row>
    <row r="1929" spans="1:11">
      <c r="A1929" s="2">
        <v>10995</v>
      </c>
      <c r="B1929" s="2">
        <v>51</v>
      </c>
      <c r="C1929" s="2">
        <v>53</v>
      </c>
      <c r="D1929" s="2">
        <v>20</v>
      </c>
      <c r="E1929" s="4">
        <v>0</v>
      </c>
      <c r="F1929" s="1" t="str">
        <f>_xlfn.XLOOKUP(A1929,Orders!A:A,Orders!B:B,"not found")</f>
        <v>PERIC</v>
      </c>
      <c r="G1929" s="13">
        <f>_xlfn.XLOOKUP(OrderDetails[[#This Row],[OrderID]],Orders!A:A,Orders!C:C,"Not Found")</f>
        <v>35887</v>
      </c>
      <c r="H1929" s="16">
        <f>(OrderDetails[[#This Row],[UnitPrice]]*OrderDetails[[#This Row],[Quantity]])*(1-OrderDetails[[#This Row],[Discount]])</f>
        <v>1060</v>
      </c>
      <c r="I1929" s="15" t="str">
        <f>_xlfn.XLOOKUP(OrderDetails[[#This Row],[ProductID]],Product!A:A,Product!G:G,"Not Found")</f>
        <v>Produce</v>
      </c>
      <c r="J1929" s="15" t="str">
        <f>LOOKUP(MONTH(G1929),{1,4,7,10},{"Winter","Spring","Summer","Autumn"})</f>
        <v>Spring</v>
      </c>
      <c r="K1929" s="15" t="str">
        <f>_xlfn.XLOOKUP(OrderDetails[[#This Row],[ProductID]],Product!A:A,Product!B:B,"Not Found")</f>
        <v>Manjimup Dried Apples</v>
      </c>
    </row>
    <row r="1930" spans="1:11">
      <c r="A1930" s="1">
        <v>10995</v>
      </c>
      <c r="B1930" s="1">
        <v>60</v>
      </c>
      <c r="C1930" s="1">
        <v>34</v>
      </c>
      <c r="D1930" s="1">
        <v>4</v>
      </c>
      <c r="E1930" s="3">
        <v>0</v>
      </c>
      <c r="F1930" s="1" t="str">
        <f>_xlfn.XLOOKUP(A1930,Orders!A:A,Orders!B:B,"not found")</f>
        <v>PERIC</v>
      </c>
      <c r="G1930" s="13">
        <f>_xlfn.XLOOKUP(OrderDetails[[#This Row],[OrderID]],Orders!A:A,Orders!C:C,"Not Found")</f>
        <v>35887</v>
      </c>
      <c r="H1930" s="16">
        <f>(OrderDetails[[#This Row],[UnitPrice]]*OrderDetails[[#This Row],[Quantity]])*(1-OrderDetails[[#This Row],[Discount]])</f>
        <v>136</v>
      </c>
      <c r="I1930" s="15" t="str">
        <f>_xlfn.XLOOKUP(OrderDetails[[#This Row],[ProductID]],Product!A:A,Product!G:G,"Not Found")</f>
        <v>Dairy Products</v>
      </c>
      <c r="J1930" s="15" t="str">
        <f>LOOKUP(MONTH(G1930),{1,4,7,10},{"Winter","Spring","Summer","Autumn"})</f>
        <v>Spring</v>
      </c>
      <c r="K1930" s="15" t="str">
        <f>_xlfn.XLOOKUP(OrderDetails[[#This Row],[ProductID]],Product!A:A,Product!B:B,"Not Found")</f>
        <v>Camembert Pierrot</v>
      </c>
    </row>
    <row r="1931" spans="1:11">
      <c r="A1931" s="2">
        <v>10996</v>
      </c>
      <c r="B1931" s="2">
        <v>42</v>
      </c>
      <c r="C1931" s="2">
        <v>14</v>
      </c>
      <c r="D1931" s="2">
        <v>40</v>
      </c>
      <c r="E1931" s="4">
        <v>0</v>
      </c>
      <c r="F1931" s="1" t="str">
        <f>_xlfn.XLOOKUP(A1931,Orders!A:A,Orders!B:B,"not found")</f>
        <v>QUICK</v>
      </c>
      <c r="G1931" s="13">
        <f>_xlfn.XLOOKUP(OrderDetails[[#This Row],[OrderID]],Orders!A:A,Orders!C:C,"Not Found")</f>
        <v>35887</v>
      </c>
      <c r="H1931" s="16">
        <f>(OrderDetails[[#This Row],[UnitPrice]]*OrderDetails[[#This Row],[Quantity]])*(1-OrderDetails[[#This Row],[Discount]])</f>
        <v>560</v>
      </c>
      <c r="I1931" s="15" t="str">
        <f>_xlfn.XLOOKUP(OrderDetails[[#This Row],[ProductID]],Product!A:A,Product!G:G,"Not Found")</f>
        <v>Grains/Cereals</v>
      </c>
      <c r="J1931" s="15" t="str">
        <f>LOOKUP(MONTH(G1931),{1,4,7,10},{"Winter","Spring","Summer","Autumn"})</f>
        <v>Spring</v>
      </c>
      <c r="K1931" s="15" t="str">
        <f>_xlfn.XLOOKUP(OrderDetails[[#This Row],[ProductID]],Product!A:A,Product!B:B,"Not Found")</f>
        <v>Singaporean Hokkien Fried Mee</v>
      </c>
    </row>
    <row r="1932" spans="1:11">
      <c r="A1932" s="1">
        <v>10997</v>
      </c>
      <c r="B1932" s="1">
        <v>32</v>
      </c>
      <c r="C1932" s="1">
        <v>32</v>
      </c>
      <c r="D1932" s="1">
        <v>50</v>
      </c>
      <c r="E1932" s="3">
        <v>0</v>
      </c>
      <c r="F1932" s="1" t="str">
        <f>_xlfn.XLOOKUP(A1932,Orders!A:A,Orders!B:B,"not found")</f>
        <v>LILAS</v>
      </c>
      <c r="G1932" s="13">
        <f>_xlfn.XLOOKUP(OrderDetails[[#This Row],[OrderID]],Orders!A:A,Orders!C:C,"Not Found")</f>
        <v>35888</v>
      </c>
      <c r="H1932" s="16">
        <f>(OrderDetails[[#This Row],[UnitPrice]]*OrderDetails[[#This Row],[Quantity]])*(1-OrderDetails[[#This Row],[Discount]])</f>
        <v>1600</v>
      </c>
      <c r="I1932" s="15" t="str">
        <f>_xlfn.XLOOKUP(OrderDetails[[#This Row],[ProductID]],Product!A:A,Product!G:G,"Not Found")</f>
        <v>Dairy Products</v>
      </c>
      <c r="J1932" s="15" t="str">
        <f>LOOKUP(MONTH(G1932),{1,4,7,10},{"Winter","Spring","Summer","Autumn"})</f>
        <v>Spring</v>
      </c>
      <c r="K1932" s="15" t="str">
        <f>_xlfn.XLOOKUP(OrderDetails[[#This Row],[ProductID]],Product!A:A,Product!B:B,"Not Found")</f>
        <v>Mascarpone Fabioli</v>
      </c>
    </row>
    <row r="1933" spans="1:11">
      <c r="A1933" s="2">
        <v>10997</v>
      </c>
      <c r="B1933" s="2">
        <v>46</v>
      </c>
      <c r="C1933" s="2">
        <v>12</v>
      </c>
      <c r="D1933" s="2">
        <v>20</v>
      </c>
      <c r="E1933" s="4">
        <v>0.25</v>
      </c>
      <c r="F1933" s="1" t="str">
        <f>_xlfn.XLOOKUP(A1933,Orders!A:A,Orders!B:B,"not found")</f>
        <v>LILAS</v>
      </c>
      <c r="G1933" s="13">
        <f>_xlfn.XLOOKUP(OrderDetails[[#This Row],[OrderID]],Orders!A:A,Orders!C:C,"Not Found")</f>
        <v>35888</v>
      </c>
      <c r="H1933" s="16">
        <f>(OrderDetails[[#This Row],[UnitPrice]]*OrderDetails[[#This Row],[Quantity]])*(1-OrderDetails[[#This Row],[Discount]])</f>
        <v>180</v>
      </c>
      <c r="I1933" s="15" t="str">
        <f>_xlfn.XLOOKUP(OrderDetails[[#This Row],[ProductID]],Product!A:A,Product!G:G,"Not Found")</f>
        <v>Seafood</v>
      </c>
      <c r="J1933" s="15" t="str">
        <f>LOOKUP(MONTH(G1933),{1,4,7,10},{"Winter","Spring","Summer","Autumn"})</f>
        <v>Spring</v>
      </c>
      <c r="K1933" s="15" t="str">
        <f>_xlfn.XLOOKUP(OrderDetails[[#This Row],[ProductID]],Product!A:A,Product!B:B,"Not Found")</f>
        <v>Spegesild</v>
      </c>
    </row>
    <row r="1934" spans="1:11">
      <c r="A1934" s="1">
        <v>10997</v>
      </c>
      <c r="B1934" s="1">
        <v>52</v>
      </c>
      <c r="C1934" s="1">
        <v>7</v>
      </c>
      <c r="D1934" s="1">
        <v>20</v>
      </c>
      <c r="E1934" s="3">
        <v>0.25</v>
      </c>
      <c r="F1934" s="1" t="str">
        <f>_xlfn.XLOOKUP(A1934,Orders!A:A,Orders!B:B,"not found")</f>
        <v>LILAS</v>
      </c>
      <c r="G1934" s="13">
        <f>_xlfn.XLOOKUP(OrderDetails[[#This Row],[OrderID]],Orders!A:A,Orders!C:C,"Not Found")</f>
        <v>35888</v>
      </c>
      <c r="H1934" s="16">
        <f>(OrderDetails[[#This Row],[UnitPrice]]*OrderDetails[[#This Row],[Quantity]])*(1-OrderDetails[[#This Row],[Discount]])</f>
        <v>105</v>
      </c>
      <c r="I1934" s="15" t="str">
        <f>_xlfn.XLOOKUP(OrderDetails[[#This Row],[ProductID]],Product!A:A,Product!G:G,"Not Found")</f>
        <v>Grains/Cereals</v>
      </c>
      <c r="J1934" s="15" t="str">
        <f>LOOKUP(MONTH(G1934),{1,4,7,10},{"Winter","Spring","Summer","Autumn"})</f>
        <v>Spring</v>
      </c>
      <c r="K1934" s="15" t="str">
        <f>_xlfn.XLOOKUP(OrderDetails[[#This Row],[ProductID]],Product!A:A,Product!B:B,"Not Found")</f>
        <v>Filo Mix</v>
      </c>
    </row>
    <row r="1935" spans="1:11">
      <c r="A1935" s="2">
        <v>10998</v>
      </c>
      <c r="B1935" s="2">
        <v>24</v>
      </c>
      <c r="C1935" s="2">
        <v>4.5</v>
      </c>
      <c r="D1935" s="2">
        <v>12</v>
      </c>
      <c r="E1935" s="4">
        <v>0</v>
      </c>
      <c r="F1935" s="1" t="str">
        <f>_xlfn.XLOOKUP(A1935,Orders!A:A,Orders!B:B,"not found")</f>
        <v>WOLZA</v>
      </c>
      <c r="G1935" s="13">
        <f>_xlfn.XLOOKUP(OrderDetails[[#This Row],[OrderID]],Orders!A:A,Orders!C:C,"Not Found")</f>
        <v>35888</v>
      </c>
      <c r="H1935" s="16">
        <f>(OrderDetails[[#This Row],[UnitPrice]]*OrderDetails[[#This Row],[Quantity]])*(1-OrderDetails[[#This Row],[Discount]])</f>
        <v>54</v>
      </c>
      <c r="I1935" s="15" t="str">
        <f>_xlfn.XLOOKUP(OrderDetails[[#This Row],[ProductID]],Product!A:A,Product!G:G,"Not Found")</f>
        <v>Beverages</v>
      </c>
      <c r="J1935" s="15" t="str">
        <f>LOOKUP(MONTH(G1935),{1,4,7,10},{"Winter","Spring","Summer","Autumn"})</f>
        <v>Spring</v>
      </c>
      <c r="K1935" s="15" t="str">
        <f>_xlfn.XLOOKUP(OrderDetails[[#This Row],[ProductID]],Product!A:A,Product!B:B,"Not Found")</f>
        <v>Guaraná Fantástica</v>
      </c>
    </row>
    <row r="1936" spans="1:11">
      <c r="A1936" s="1">
        <v>10998</v>
      </c>
      <c r="B1936" s="1">
        <v>61</v>
      </c>
      <c r="C1936" s="1">
        <v>28.5</v>
      </c>
      <c r="D1936" s="1">
        <v>7</v>
      </c>
      <c r="E1936" s="3">
        <v>0</v>
      </c>
      <c r="F1936" s="1" t="str">
        <f>_xlfn.XLOOKUP(A1936,Orders!A:A,Orders!B:B,"not found")</f>
        <v>WOLZA</v>
      </c>
      <c r="G1936" s="13">
        <f>_xlfn.XLOOKUP(OrderDetails[[#This Row],[OrderID]],Orders!A:A,Orders!C:C,"Not Found")</f>
        <v>35888</v>
      </c>
      <c r="H1936" s="16">
        <f>(OrderDetails[[#This Row],[UnitPrice]]*OrderDetails[[#This Row],[Quantity]])*(1-OrderDetails[[#This Row],[Discount]])</f>
        <v>199.5</v>
      </c>
      <c r="I1936" s="15" t="str">
        <f>_xlfn.XLOOKUP(OrderDetails[[#This Row],[ProductID]],Product!A:A,Product!G:G,"Not Found")</f>
        <v>Condiments</v>
      </c>
      <c r="J1936" s="15" t="str">
        <f>LOOKUP(MONTH(G1936),{1,4,7,10},{"Winter","Spring","Summer","Autumn"})</f>
        <v>Spring</v>
      </c>
      <c r="K1936" s="15" t="str">
        <f>_xlfn.XLOOKUP(OrderDetails[[#This Row],[ProductID]],Product!A:A,Product!B:B,"Not Found")</f>
        <v>Sirop d'érable</v>
      </c>
    </row>
    <row r="1937" spans="1:11">
      <c r="A1937" s="2">
        <v>10998</v>
      </c>
      <c r="B1937" s="2">
        <v>74</v>
      </c>
      <c r="C1937" s="2">
        <v>10</v>
      </c>
      <c r="D1937" s="2">
        <v>20</v>
      </c>
      <c r="E1937" s="4">
        <v>0</v>
      </c>
      <c r="F1937" s="1" t="str">
        <f>_xlfn.XLOOKUP(A1937,Orders!A:A,Orders!B:B,"not found")</f>
        <v>WOLZA</v>
      </c>
      <c r="G1937" s="13">
        <f>_xlfn.XLOOKUP(OrderDetails[[#This Row],[OrderID]],Orders!A:A,Orders!C:C,"Not Found")</f>
        <v>35888</v>
      </c>
      <c r="H1937" s="16">
        <f>(OrderDetails[[#This Row],[UnitPrice]]*OrderDetails[[#This Row],[Quantity]])*(1-OrderDetails[[#This Row],[Discount]])</f>
        <v>200</v>
      </c>
      <c r="I1937" s="15" t="str">
        <f>_xlfn.XLOOKUP(OrderDetails[[#This Row],[ProductID]],Product!A:A,Product!G:G,"Not Found")</f>
        <v>Produce</v>
      </c>
      <c r="J1937" s="15" t="str">
        <f>LOOKUP(MONTH(G1937),{1,4,7,10},{"Winter","Spring","Summer","Autumn"})</f>
        <v>Spring</v>
      </c>
      <c r="K1937" s="15" t="str">
        <f>_xlfn.XLOOKUP(OrderDetails[[#This Row],[ProductID]],Product!A:A,Product!B:B,"Not Found")</f>
        <v>Longlife Tofu</v>
      </c>
    </row>
    <row r="1938" spans="1:11">
      <c r="A1938" s="1">
        <v>10998</v>
      </c>
      <c r="B1938" s="1">
        <v>75</v>
      </c>
      <c r="C1938" s="1">
        <v>7.75</v>
      </c>
      <c r="D1938" s="1">
        <v>30</v>
      </c>
      <c r="E1938" s="3">
        <v>0</v>
      </c>
      <c r="F1938" s="1" t="str">
        <f>_xlfn.XLOOKUP(A1938,Orders!A:A,Orders!B:B,"not found")</f>
        <v>WOLZA</v>
      </c>
      <c r="G1938" s="13">
        <f>_xlfn.XLOOKUP(OrderDetails[[#This Row],[OrderID]],Orders!A:A,Orders!C:C,"Not Found")</f>
        <v>35888</v>
      </c>
      <c r="H1938" s="16">
        <f>(OrderDetails[[#This Row],[UnitPrice]]*OrderDetails[[#This Row],[Quantity]])*(1-OrderDetails[[#This Row],[Discount]])</f>
        <v>232.5</v>
      </c>
      <c r="I1938" s="15" t="str">
        <f>_xlfn.XLOOKUP(OrderDetails[[#This Row],[ProductID]],Product!A:A,Product!G:G,"Not Found")</f>
        <v>Beverages</v>
      </c>
      <c r="J1938" s="15" t="str">
        <f>LOOKUP(MONTH(G1938),{1,4,7,10},{"Winter","Spring","Summer","Autumn"})</f>
        <v>Spring</v>
      </c>
      <c r="K1938" s="15" t="str">
        <f>_xlfn.XLOOKUP(OrderDetails[[#This Row],[ProductID]],Product!A:A,Product!B:B,"Not Found")</f>
        <v>Rhönbräu Klosterbier</v>
      </c>
    </row>
    <row r="1939" spans="1:11">
      <c r="A1939" s="2">
        <v>10999</v>
      </c>
      <c r="B1939" s="2">
        <v>41</v>
      </c>
      <c r="C1939" s="2">
        <v>9.65</v>
      </c>
      <c r="D1939" s="2">
        <v>20</v>
      </c>
      <c r="E1939" s="4">
        <v>5.000000074505806E-2</v>
      </c>
      <c r="F1939" s="1" t="str">
        <f>_xlfn.XLOOKUP(A1939,Orders!A:A,Orders!B:B,"not found")</f>
        <v>OTTIK</v>
      </c>
      <c r="G1939" s="13">
        <f>_xlfn.XLOOKUP(OrderDetails[[#This Row],[OrderID]],Orders!A:A,Orders!C:C,"Not Found")</f>
        <v>35888</v>
      </c>
      <c r="H1939" s="16">
        <f>(OrderDetails[[#This Row],[UnitPrice]]*OrderDetails[[#This Row],[Quantity]])*(1-OrderDetails[[#This Row],[Discount]])</f>
        <v>183.34999985620379</v>
      </c>
      <c r="I1939" s="15" t="str">
        <f>_xlfn.XLOOKUP(OrderDetails[[#This Row],[ProductID]],Product!A:A,Product!G:G,"Not Found")</f>
        <v>Seafood</v>
      </c>
      <c r="J1939" s="15" t="str">
        <f>LOOKUP(MONTH(G1939),{1,4,7,10},{"Winter","Spring","Summer","Autumn"})</f>
        <v>Spring</v>
      </c>
      <c r="K1939" s="15" t="str">
        <f>_xlfn.XLOOKUP(OrderDetails[[#This Row],[ProductID]],Product!A:A,Product!B:B,"Not Found")</f>
        <v>Jack's New England Clam Chowder</v>
      </c>
    </row>
    <row r="1940" spans="1:11">
      <c r="A1940" s="1">
        <v>10999</v>
      </c>
      <c r="B1940" s="1">
        <v>51</v>
      </c>
      <c r="C1940" s="1">
        <v>53</v>
      </c>
      <c r="D1940" s="1">
        <v>15</v>
      </c>
      <c r="E1940" s="3">
        <v>5.000000074505806E-2</v>
      </c>
      <c r="F1940" s="1" t="str">
        <f>_xlfn.XLOOKUP(A1940,Orders!A:A,Orders!B:B,"not found")</f>
        <v>OTTIK</v>
      </c>
      <c r="G1940" s="13">
        <f>_xlfn.XLOOKUP(OrderDetails[[#This Row],[OrderID]],Orders!A:A,Orders!C:C,"Not Found")</f>
        <v>35888</v>
      </c>
      <c r="H1940" s="16">
        <f>(OrderDetails[[#This Row],[UnitPrice]]*OrderDetails[[#This Row],[Quantity]])*(1-OrderDetails[[#This Row],[Discount]])</f>
        <v>755.24999940767884</v>
      </c>
      <c r="I1940" s="15" t="str">
        <f>_xlfn.XLOOKUP(OrderDetails[[#This Row],[ProductID]],Product!A:A,Product!G:G,"Not Found")</f>
        <v>Produce</v>
      </c>
      <c r="J1940" s="15" t="str">
        <f>LOOKUP(MONTH(G1940),{1,4,7,10},{"Winter","Spring","Summer","Autumn"})</f>
        <v>Spring</v>
      </c>
      <c r="K1940" s="15" t="str">
        <f>_xlfn.XLOOKUP(OrderDetails[[#This Row],[ProductID]],Product!A:A,Product!B:B,"Not Found")</f>
        <v>Manjimup Dried Apples</v>
      </c>
    </row>
    <row r="1941" spans="1:11">
      <c r="A1941" s="2">
        <v>10999</v>
      </c>
      <c r="B1941" s="2">
        <v>77</v>
      </c>
      <c r="C1941" s="2">
        <v>13</v>
      </c>
      <c r="D1941" s="2">
        <v>21</v>
      </c>
      <c r="E1941" s="4">
        <v>5.000000074505806E-2</v>
      </c>
      <c r="F1941" s="1" t="str">
        <f>_xlfn.XLOOKUP(A1941,Orders!A:A,Orders!B:B,"not found")</f>
        <v>OTTIK</v>
      </c>
      <c r="G1941" s="13">
        <f>_xlfn.XLOOKUP(OrderDetails[[#This Row],[OrderID]],Orders!A:A,Orders!C:C,"Not Found")</f>
        <v>35888</v>
      </c>
      <c r="H1941" s="16">
        <f>(OrderDetails[[#This Row],[UnitPrice]]*OrderDetails[[#This Row],[Quantity]])*(1-OrderDetails[[#This Row],[Discount]])</f>
        <v>259.34999979659915</v>
      </c>
      <c r="I1941" s="15" t="str">
        <f>_xlfn.XLOOKUP(OrderDetails[[#This Row],[ProductID]],Product!A:A,Product!G:G,"Not Found")</f>
        <v>Condiments</v>
      </c>
      <c r="J1941" s="15" t="str">
        <f>LOOKUP(MONTH(G1941),{1,4,7,10},{"Winter","Spring","Summer","Autumn"})</f>
        <v>Spring</v>
      </c>
      <c r="K1941" s="15" t="str">
        <f>_xlfn.XLOOKUP(OrderDetails[[#This Row],[ProductID]],Product!A:A,Product!B:B,"Not Found")</f>
        <v>Original Frankfurter grüne Soße</v>
      </c>
    </row>
    <row r="1942" spans="1:11">
      <c r="A1942" s="1">
        <v>11000</v>
      </c>
      <c r="B1942" s="1">
        <v>4</v>
      </c>
      <c r="C1942" s="1">
        <v>22</v>
      </c>
      <c r="D1942" s="1">
        <v>25</v>
      </c>
      <c r="E1942" s="3">
        <v>0.25</v>
      </c>
      <c r="F1942" s="1" t="str">
        <f>_xlfn.XLOOKUP(A1942,Orders!A:A,Orders!B:B,"not found")</f>
        <v>RATTC</v>
      </c>
      <c r="G1942" s="13">
        <f>_xlfn.XLOOKUP(OrderDetails[[#This Row],[OrderID]],Orders!A:A,Orders!C:C,"Not Found")</f>
        <v>35891</v>
      </c>
      <c r="H1942" s="16">
        <f>(OrderDetails[[#This Row],[UnitPrice]]*OrderDetails[[#This Row],[Quantity]])*(1-OrderDetails[[#This Row],[Discount]])</f>
        <v>412.5</v>
      </c>
      <c r="I1942" s="15" t="str">
        <f>_xlfn.XLOOKUP(OrderDetails[[#This Row],[ProductID]],Product!A:A,Product!G:G,"Not Found")</f>
        <v>Condiments</v>
      </c>
      <c r="J1942" s="15" t="str">
        <f>LOOKUP(MONTH(G1942),{1,4,7,10},{"Winter","Spring","Summer","Autumn"})</f>
        <v>Spring</v>
      </c>
      <c r="K1942" s="15" t="str">
        <f>_xlfn.XLOOKUP(OrderDetails[[#This Row],[ProductID]],Product!A:A,Product!B:B,"Not Found")</f>
        <v>Chef Anton's Cajun Seasoning</v>
      </c>
    </row>
    <row r="1943" spans="1:11">
      <c r="A1943" s="2">
        <v>11000</v>
      </c>
      <c r="B1943" s="2">
        <v>24</v>
      </c>
      <c r="C1943" s="2">
        <v>4.5</v>
      </c>
      <c r="D1943" s="2">
        <v>30</v>
      </c>
      <c r="E1943" s="4">
        <v>0.25</v>
      </c>
      <c r="F1943" s="1" t="str">
        <f>_xlfn.XLOOKUP(A1943,Orders!A:A,Orders!B:B,"not found")</f>
        <v>RATTC</v>
      </c>
      <c r="G1943" s="13">
        <f>_xlfn.XLOOKUP(OrderDetails[[#This Row],[OrderID]],Orders!A:A,Orders!C:C,"Not Found")</f>
        <v>35891</v>
      </c>
      <c r="H1943" s="16">
        <f>(OrderDetails[[#This Row],[UnitPrice]]*OrderDetails[[#This Row],[Quantity]])*(1-OrderDetails[[#This Row],[Discount]])</f>
        <v>101.25</v>
      </c>
      <c r="I1943" s="15" t="str">
        <f>_xlfn.XLOOKUP(OrderDetails[[#This Row],[ProductID]],Product!A:A,Product!G:G,"Not Found")</f>
        <v>Beverages</v>
      </c>
      <c r="J1943" s="15" t="str">
        <f>LOOKUP(MONTH(G1943),{1,4,7,10},{"Winter","Spring","Summer","Autumn"})</f>
        <v>Spring</v>
      </c>
      <c r="K1943" s="15" t="str">
        <f>_xlfn.XLOOKUP(OrderDetails[[#This Row],[ProductID]],Product!A:A,Product!B:B,"Not Found")</f>
        <v>Guaraná Fantástica</v>
      </c>
    </row>
    <row r="1944" spans="1:11">
      <c r="A1944" s="1">
        <v>11000</v>
      </c>
      <c r="B1944" s="1">
        <v>77</v>
      </c>
      <c r="C1944" s="1">
        <v>13</v>
      </c>
      <c r="D1944" s="1">
        <v>30</v>
      </c>
      <c r="E1944" s="3">
        <v>0</v>
      </c>
      <c r="F1944" s="1" t="str">
        <f>_xlfn.XLOOKUP(A1944,Orders!A:A,Orders!B:B,"not found")</f>
        <v>RATTC</v>
      </c>
      <c r="G1944" s="13">
        <f>_xlfn.XLOOKUP(OrderDetails[[#This Row],[OrderID]],Orders!A:A,Orders!C:C,"Not Found")</f>
        <v>35891</v>
      </c>
      <c r="H1944" s="16">
        <f>(OrderDetails[[#This Row],[UnitPrice]]*OrderDetails[[#This Row],[Quantity]])*(1-OrderDetails[[#This Row],[Discount]])</f>
        <v>390</v>
      </c>
      <c r="I1944" s="15" t="str">
        <f>_xlfn.XLOOKUP(OrderDetails[[#This Row],[ProductID]],Product!A:A,Product!G:G,"Not Found")</f>
        <v>Condiments</v>
      </c>
      <c r="J1944" s="15" t="str">
        <f>LOOKUP(MONTH(G1944),{1,4,7,10},{"Winter","Spring","Summer","Autumn"})</f>
        <v>Spring</v>
      </c>
      <c r="K1944" s="15" t="str">
        <f>_xlfn.XLOOKUP(OrderDetails[[#This Row],[ProductID]],Product!A:A,Product!B:B,"Not Found")</f>
        <v>Original Frankfurter grüne Soße</v>
      </c>
    </row>
    <row r="1945" spans="1:11">
      <c r="A1945" s="2">
        <v>11001</v>
      </c>
      <c r="B1945" s="2">
        <v>7</v>
      </c>
      <c r="C1945" s="2">
        <v>30</v>
      </c>
      <c r="D1945" s="2">
        <v>60</v>
      </c>
      <c r="E1945" s="4">
        <v>0</v>
      </c>
      <c r="F1945" s="1" t="str">
        <f>_xlfn.XLOOKUP(A1945,Orders!A:A,Orders!B:B,"not found")</f>
        <v>FOLKO</v>
      </c>
      <c r="G1945" s="13">
        <f>_xlfn.XLOOKUP(OrderDetails[[#This Row],[OrderID]],Orders!A:A,Orders!C:C,"Not Found")</f>
        <v>35891</v>
      </c>
      <c r="H1945" s="16">
        <f>(OrderDetails[[#This Row],[UnitPrice]]*OrderDetails[[#This Row],[Quantity]])*(1-OrderDetails[[#This Row],[Discount]])</f>
        <v>1800</v>
      </c>
      <c r="I1945" s="15" t="str">
        <f>_xlfn.XLOOKUP(OrderDetails[[#This Row],[ProductID]],Product!A:A,Product!G:G,"Not Found")</f>
        <v>Produce</v>
      </c>
      <c r="J1945" s="15" t="str">
        <f>LOOKUP(MONTH(G1945),{1,4,7,10},{"Winter","Spring","Summer","Autumn"})</f>
        <v>Spring</v>
      </c>
      <c r="K1945" s="15" t="str">
        <f>_xlfn.XLOOKUP(OrderDetails[[#This Row],[ProductID]],Product!A:A,Product!B:B,"Not Found")</f>
        <v>Uncle Bob's Organic Dried Pears</v>
      </c>
    </row>
    <row r="1946" spans="1:11">
      <c r="A1946" s="1">
        <v>11001</v>
      </c>
      <c r="B1946" s="1">
        <v>22</v>
      </c>
      <c r="C1946" s="1">
        <v>21</v>
      </c>
      <c r="D1946" s="1">
        <v>25</v>
      </c>
      <c r="E1946" s="3">
        <v>0</v>
      </c>
      <c r="F1946" s="1" t="str">
        <f>_xlfn.XLOOKUP(A1946,Orders!A:A,Orders!B:B,"not found")</f>
        <v>FOLKO</v>
      </c>
      <c r="G1946" s="13">
        <f>_xlfn.XLOOKUP(OrderDetails[[#This Row],[OrderID]],Orders!A:A,Orders!C:C,"Not Found")</f>
        <v>35891</v>
      </c>
      <c r="H1946" s="16">
        <f>(OrderDetails[[#This Row],[UnitPrice]]*OrderDetails[[#This Row],[Quantity]])*(1-OrderDetails[[#This Row],[Discount]])</f>
        <v>525</v>
      </c>
      <c r="I1946" s="15" t="str">
        <f>_xlfn.XLOOKUP(OrderDetails[[#This Row],[ProductID]],Product!A:A,Product!G:G,"Not Found")</f>
        <v>Grains/Cereals</v>
      </c>
      <c r="J1946" s="15" t="str">
        <f>LOOKUP(MONTH(G1946),{1,4,7,10},{"Winter","Spring","Summer","Autumn"})</f>
        <v>Spring</v>
      </c>
      <c r="K1946" s="15" t="str">
        <f>_xlfn.XLOOKUP(OrderDetails[[#This Row],[ProductID]],Product!A:A,Product!B:B,"Not Found")</f>
        <v>Gustaf's Knäckebröd</v>
      </c>
    </row>
    <row r="1947" spans="1:11">
      <c r="A1947" s="2">
        <v>11001</v>
      </c>
      <c r="B1947" s="2">
        <v>46</v>
      </c>
      <c r="C1947" s="2">
        <v>12</v>
      </c>
      <c r="D1947" s="2">
        <v>25</v>
      </c>
      <c r="E1947" s="4">
        <v>0</v>
      </c>
      <c r="F1947" s="1" t="str">
        <f>_xlfn.XLOOKUP(A1947,Orders!A:A,Orders!B:B,"not found")</f>
        <v>FOLKO</v>
      </c>
      <c r="G1947" s="13">
        <f>_xlfn.XLOOKUP(OrderDetails[[#This Row],[OrderID]],Orders!A:A,Orders!C:C,"Not Found")</f>
        <v>35891</v>
      </c>
      <c r="H1947" s="16">
        <f>(OrderDetails[[#This Row],[UnitPrice]]*OrderDetails[[#This Row],[Quantity]])*(1-OrderDetails[[#This Row],[Discount]])</f>
        <v>300</v>
      </c>
      <c r="I1947" s="15" t="str">
        <f>_xlfn.XLOOKUP(OrderDetails[[#This Row],[ProductID]],Product!A:A,Product!G:G,"Not Found")</f>
        <v>Seafood</v>
      </c>
      <c r="J1947" s="15" t="str">
        <f>LOOKUP(MONTH(G1947),{1,4,7,10},{"Winter","Spring","Summer","Autumn"})</f>
        <v>Spring</v>
      </c>
      <c r="K1947" s="15" t="str">
        <f>_xlfn.XLOOKUP(OrderDetails[[#This Row],[ProductID]],Product!A:A,Product!B:B,"Not Found")</f>
        <v>Spegesild</v>
      </c>
    </row>
    <row r="1948" spans="1:11">
      <c r="A1948" s="1">
        <v>11001</v>
      </c>
      <c r="B1948" s="1">
        <v>55</v>
      </c>
      <c r="C1948" s="1">
        <v>24</v>
      </c>
      <c r="D1948" s="1">
        <v>6</v>
      </c>
      <c r="E1948" s="3">
        <v>0</v>
      </c>
      <c r="F1948" s="1" t="str">
        <f>_xlfn.XLOOKUP(A1948,Orders!A:A,Orders!B:B,"not found")</f>
        <v>FOLKO</v>
      </c>
      <c r="G1948" s="13">
        <f>_xlfn.XLOOKUP(OrderDetails[[#This Row],[OrderID]],Orders!A:A,Orders!C:C,"Not Found")</f>
        <v>35891</v>
      </c>
      <c r="H1948" s="16">
        <f>(OrderDetails[[#This Row],[UnitPrice]]*OrderDetails[[#This Row],[Quantity]])*(1-OrderDetails[[#This Row],[Discount]])</f>
        <v>144</v>
      </c>
      <c r="I1948" s="15" t="str">
        <f>_xlfn.XLOOKUP(OrderDetails[[#This Row],[ProductID]],Product!A:A,Product!G:G,"Not Found")</f>
        <v>Meat/Poultry</v>
      </c>
      <c r="J1948" s="15" t="str">
        <f>LOOKUP(MONTH(G1948),{1,4,7,10},{"Winter","Spring","Summer","Autumn"})</f>
        <v>Spring</v>
      </c>
      <c r="K1948" s="15" t="str">
        <f>_xlfn.XLOOKUP(OrderDetails[[#This Row],[ProductID]],Product!A:A,Product!B:B,"Not Found")</f>
        <v>Pâté chinois</v>
      </c>
    </row>
    <row r="1949" spans="1:11">
      <c r="A1949" s="2">
        <v>11002</v>
      </c>
      <c r="B1949" s="2">
        <v>13</v>
      </c>
      <c r="C1949" s="2">
        <v>6</v>
      </c>
      <c r="D1949" s="2">
        <v>56</v>
      </c>
      <c r="E1949" s="4">
        <v>0</v>
      </c>
      <c r="F1949" s="1" t="str">
        <f>_xlfn.XLOOKUP(A1949,Orders!A:A,Orders!B:B,"not found")</f>
        <v>SAVEA</v>
      </c>
      <c r="G1949" s="13">
        <f>_xlfn.XLOOKUP(OrderDetails[[#This Row],[OrderID]],Orders!A:A,Orders!C:C,"Not Found")</f>
        <v>35891</v>
      </c>
      <c r="H1949" s="16">
        <f>(OrderDetails[[#This Row],[UnitPrice]]*OrderDetails[[#This Row],[Quantity]])*(1-OrderDetails[[#This Row],[Discount]])</f>
        <v>336</v>
      </c>
      <c r="I1949" s="15" t="str">
        <f>_xlfn.XLOOKUP(OrderDetails[[#This Row],[ProductID]],Product!A:A,Product!G:G,"Not Found")</f>
        <v>Seafood</v>
      </c>
      <c r="J1949" s="15" t="str">
        <f>LOOKUP(MONTH(G1949),{1,4,7,10},{"Winter","Spring","Summer","Autumn"})</f>
        <v>Spring</v>
      </c>
      <c r="K1949" s="15" t="str">
        <f>_xlfn.XLOOKUP(OrderDetails[[#This Row],[ProductID]],Product!A:A,Product!B:B,"Not Found")</f>
        <v>Konbu</v>
      </c>
    </row>
    <row r="1950" spans="1:11">
      <c r="A1950" s="1">
        <v>11002</v>
      </c>
      <c r="B1950" s="1">
        <v>35</v>
      </c>
      <c r="C1950" s="1">
        <v>18</v>
      </c>
      <c r="D1950" s="1">
        <v>15</v>
      </c>
      <c r="E1950" s="3">
        <v>0.15000000596046448</v>
      </c>
      <c r="F1950" s="1" t="str">
        <f>_xlfn.XLOOKUP(A1950,Orders!A:A,Orders!B:B,"not found")</f>
        <v>SAVEA</v>
      </c>
      <c r="G1950" s="13">
        <f>_xlfn.XLOOKUP(OrderDetails[[#This Row],[OrderID]],Orders!A:A,Orders!C:C,"Not Found")</f>
        <v>35891</v>
      </c>
      <c r="H1950" s="16">
        <f>(OrderDetails[[#This Row],[UnitPrice]]*OrderDetails[[#This Row],[Quantity]])*(1-OrderDetails[[#This Row],[Discount]])</f>
        <v>229.49999839067459</v>
      </c>
      <c r="I1950" s="15" t="str">
        <f>_xlfn.XLOOKUP(OrderDetails[[#This Row],[ProductID]],Product!A:A,Product!G:G,"Not Found")</f>
        <v>Beverages</v>
      </c>
      <c r="J1950" s="15" t="str">
        <f>LOOKUP(MONTH(G1950),{1,4,7,10},{"Winter","Spring","Summer","Autumn"})</f>
        <v>Spring</v>
      </c>
      <c r="K1950" s="15" t="str">
        <f>_xlfn.XLOOKUP(OrderDetails[[#This Row],[ProductID]],Product!A:A,Product!B:B,"Not Found")</f>
        <v>Steeleye Stout</v>
      </c>
    </row>
    <row r="1951" spans="1:11">
      <c r="A1951" s="2">
        <v>11002</v>
      </c>
      <c r="B1951" s="2">
        <v>42</v>
      </c>
      <c r="C1951" s="2">
        <v>14</v>
      </c>
      <c r="D1951" s="2">
        <v>24</v>
      </c>
      <c r="E1951" s="4">
        <v>0.15000000596046448</v>
      </c>
      <c r="F1951" s="1" t="str">
        <f>_xlfn.XLOOKUP(A1951,Orders!A:A,Orders!B:B,"not found")</f>
        <v>SAVEA</v>
      </c>
      <c r="G1951" s="13">
        <f>_xlfn.XLOOKUP(OrderDetails[[#This Row],[OrderID]],Orders!A:A,Orders!C:C,"Not Found")</f>
        <v>35891</v>
      </c>
      <c r="H1951" s="16">
        <f>(OrderDetails[[#This Row],[UnitPrice]]*OrderDetails[[#This Row],[Quantity]])*(1-OrderDetails[[#This Row],[Discount]])</f>
        <v>285.59999799728394</v>
      </c>
      <c r="I1951" s="15" t="str">
        <f>_xlfn.XLOOKUP(OrderDetails[[#This Row],[ProductID]],Product!A:A,Product!G:G,"Not Found")</f>
        <v>Grains/Cereals</v>
      </c>
      <c r="J1951" s="15" t="str">
        <f>LOOKUP(MONTH(G1951),{1,4,7,10},{"Winter","Spring","Summer","Autumn"})</f>
        <v>Spring</v>
      </c>
      <c r="K1951" s="15" t="str">
        <f>_xlfn.XLOOKUP(OrderDetails[[#This Row],[ProductID]],Product!A:A,Product!B:B,"Not Found")</f>
        <v>Singaporean Hokkien Fried Mee</v>
      </c>
    </row>
    <row r="1952" spans="1:11">
      <c r="A1952" s="1">
        <v>11002</v>
      </c>
      <c r="B1952" s="1">
        <v>55</v>
      </c>
      <c r="C1952" s="1">
        <v>24</v>
      </c>
      <c r="D1952" s="1">
        <v>40</v>
      </c>
      <c r="E1952" s="3">
        <v>0</v>
      </c>
      <c r="F1952" s="1" t="str">
        <f>_xlfn.XLOOKUP(A1952,Orders!A:A,Orders!B:B,"not found")</f>
        <v>SAVEA</v>
      </c>
      <c r="G1952" s="13">
        <f>_xlfn.XLOOKUP(OrderDetails[[#This Row],[OrderID]],Orders!A:A,Orders!C:C,"Not Found")</f>
        <v>35891</v>
      </c>
      <c r="H1952" s="16">
        <f>(OrderDetails[[#This Row],[UnitPrice]]*OrderDetails[[#This Row],[Quantity]])*(1-OrderDetails[[#This Row],[Discount]])</f>
        <v>960</v>
      </c>
      <c r="I1952" s="15" t="str">
        <f>_xlfn.XLOOKUP(OrderDetails[[#This Row],[ProductID]],Product!A:A,Product!G:G,"Not Found")</f>
        <v>Meat/Poultry</v>
      </c>
      <c r="J1952" s="15" t="str">
        <f>LOOKUP(MONTH(G1952),{1,4,7,10},{"Winter","Spring","Summer","Autumn"})</f>
        <v>Spring</v>
      </c>
      <c r="K1952" s="15" t="str">
        <f>_xlfn.XLOOKUP(OrderDetails[[#This Row],[ProductID]],Product!A:A,Product!B:B,"Not Found")</f>
        <v>Pâté chinois</v>
      </c>
    </row>
    <row r="1953" spans="1:11">
      <c r="A1953" s="2">
        <v>11003</v>
      </c>
      <c r="B1953" s="2">
        <v>1</v>
      </c>
      <c r="C1953" s="2">
        <v>18</v>
      </c>
      <c r="D1953" s="2">
        <v>4</v>
      </c>
      <c r="E1953" s="4">
        <v>0</v>
      </c>
      <c r="F1953" s="1" t="str">
        <f>_xlfn.XLOOKUP(A1953,Orders!A:A,Orders!B:B,"not found")</f>
        <v>THECR</v>
      </c>
      <c r="G1953" s="13">
        <f>_xlfn.XLOOKUP(OrderDetails[[#This Row],[OrderID]],Orders!A:A,Orders!C:C,"Not Found")</f>
        <v>35891</v>
      </c>
      <c r="H1953" s="16">
        <f>(OrderDetails[[#This Row],[UnitPrice]]*OrderDetails[[#This Row],[Quantity]])*(1-OrderDetails[[#This Row],[Discount]])</f>
        <v>72</v>
      </c>
      <c r="I1953" s="15" t="str">
        <f>_xlfn.XLOOKUP(OrderDetails[[#This Row],[ProductID]],Product!A:A,Product!G:G,"Not Found")</f>
        <v>Beverages</v>
      </c>
      <c r="J1953" s="15" t="str">
        <f>LOOKUP(MONTH(G1953),{1,4,7,10},{"Winter","Spring","Summer","Autumn"})</f>
        <v>Spring</v>
      </c>
      <c r="K1953" s="15" t="str">
        <f>_xlfn.XLOOKUP(OrderDetails[[#This Row],[ProductID]],Product!A:A,Product!B:B,"Not Found")</f>
        <v>Chai</v>
      </c>
    </row>
    <row r="1954" spans="1:11">
      <c r="A1954" s="1">
        <v>11003</v>
      </c>
      <c r="B1954" s="1">
        <v>40</v>
      </c>
      <c r="C1954" s="1">
        <v>18.399999999999999</v>
      </c>
      <c r="D1954" s="1">
        <v>10</v>
      </c>
      <c r="E1954" s="3">
        <v>0</v>
      </c>
      <c r="F1954" s="1" t="str">
        <f>_xlfn.XLOOKUP(A1954,Orders!A:A,Orders!B:B,"not found")</f>
        <v>THECR</v>
      </c>
      <c r="G1954" s="13">
        <f>_xlfn.XLOOKUP(OrderDetails[[#This Row],[OrderID]],Orders!A:A,Orders!C:C,"Not Found")</f>
        <v>35891</v>
      </c>
      <c r="H1954" s="16">
        <f>(OrderDetails[[#This Row],[UnitPrice]]*OrderDetails[[#This Row],[Quantity]])*(1-OrderDetails[[#This Row],[Discount]])</f>
        <v>184</v>
      </c>
      <c r="I1954" s="15" t="str">
        <f>_xlfn.XLOOKUP(OrderDetails[[#This Row],[ProductID]],Product!A:A,Product!G:G,"Not Found")</f>
        <v>Seafood</v>
      </c>
      <c r="J1954" s="15" t="str">
        <f>LOOKUP(MONTH(G1954),{1,4,7,10},{"Winter","Spring","Summer","Autumn"})</f>
        <v>Spring</v>
      </c>
      <c r="K1954" s="15" t="str">
        <f>_xlfn.XLOOKUP(OrderDetails[[#This Row],[ProductID]],Product!A:A,Product!B:B,"Not Found")</f>
        <v>Boston Crab Meat</v>
      </c>
    </row>
    <row r="1955" spans="1:11">
      <c r="A1955" s="2">
        <v>11003</v>
      </c>
      <c r="B1955" s="2">
        <v>52</v>
      </c>
      <c r="C1955" s="2">
        <v>7</v>
      </c>
      <c r="D1955" s="2">
        <v>10</v>
      </c>
      <c r="E1955" s="4">
        <v>0</v>
      </c>
      <c r="F1955" s="1" t="str">
        <f>_xlfn.XLOOKUP(A1955,Orders!A:A,Orders!B:B,"not found")</f>
        <v>THECR</v>
      </c>
      <c r="G1955" s="13">
        <f>_xlfn.XLOOKUP(OrderDetails[[#This Row],[OrderID]],Orders!A:A,Orders!C:C,"Not Found")</f>
        <v>35891</v>
      </c>
      <c r="H1955" s="16">
        <f>(OrderDetails[[#This Row],[UnitPrice]]*OrderDetails[[#This Row],[Quantity]])*(1-OrderDetails[[#This Row],[Discount]])</f>
        <v>70</v>
      </c>
      <c r="I1955" s="15" t="str">
        <f>_xlfn.XLOOKUP(OrderDetails[[#This Row],[ProductID]],Product!A:A,Product!G:G,"Not Found")</f>
        <v>Grains/Cereals</v>
      </c>
      <c r="J1955" s="15" t="str">
        <f>LOOKUP(MONTH(G1955),{1,4,7,10},{"Winter","Spring","Summer","Autumn"})</f>
        <v>Spring</v>
      </c>
      <c r="K1955" s="15" t="str">
        <f>_xlfn.XLOOKUP(OrderDetails[[#This Row],[ProductID]],Product!A:A,Product!B:B,"Not Found")</f>
        <v>Filo Mix</v>
      </c>
    </row>
    <row r="1956" spans="1:11">
      <c r="A1956" s="1">
        <v>11004</v>
      </c>
      <c r="B1956" s="1">
        <v>26</v>
      </c>
      <c r="C1956" s="1">
        <v>31.23</v>
      </c>
      <c r="D1956" s="1">
        <v>6</v>
      </c>
      <c r="E1956" s="3">
        <v>0</v>
      </c>
      <c r="F1956" s="1" t="str">
        <f>_xlfn.XLOOKUP(A1956,Orders!A:A,Orders!B:B,"not found")</f>
        <v>MAISD</v>
      </c>
      <c r="G1956" s="13">
        <f>_xlfn.XLOOKUP(OrderDetails[[#This Row],[OrderID]],Orders!A:A,Orders!C:C,"Not Found")</f>
        <v>35892</v>
      </c>
      <c r="H1956" s="16">
        <f>(OrderDetails[[#This Row],[UnitPrice]]*OrderDetails[[#This Row],[Quantity]])*(1-OrderDetails[[#This Row],[Discount]])</f>
        <v>187.38</v>
      </c>
      <c r="I1956" s="15" t="str">
        <f>_xlfn.XLOOKUP(OrderDetails[[#This Row],[ProductID]],Product!A:A,Product!G:G,"Not Found")</f>
        <v>Confections</v>
      </c>
      <c r="J1956" s="15" t="str">
        <f>LOOKUP(MONTH(G1956),{1,4,7,10},{"Winter","Spring","Summer","Autumn"})</f>
        <v>Spring</v>
      </c>
      <c r="K1956" s="15" t="str">
        <f>_xlfn.XLOOKUP(OrderDetails[[#This Row],[ProductID]],Product!A:A,Product!B:B,"Not Found")</f>
        <v>Gumbär Gummibärchen</v>
      </c>
    </row>
    <row r="1957" spans="1:11">
      <c r="A1957" s="2">
        <v>11004</v>
      </c>
      <c r="B1957" s="2">
        <v>76</v>
      </c>
      <c r="C1957" s="2">
        <v>18</v>
      </c>
      <c r="D1957" s="2">
        <v>6</v>
      </c>
      <c r="E1957" s="4">
        <v>0</v>
      </c>
      <c r="F1957" s="1" t="str">
        <f>_xlfn.XLOOKUP(A1957,Orders!A:A,Orders!B:B,"not found")</f>
        <v>MAISD</v>
      </c>
      <c r="G1957" s="13">
        <f>_xlfn.XLOOKUP(OrderDetails[[#This Row],[OrderID]],Orders!A:A,Orders!C:C,"Not Found")</f>
        <v>35892</v>
      </c>
      <c r="H1957" s="16">
        <f>(OrderDetails[[#This Row],[UnitPrice]]*OrderDetails[[#This Row],[Quantity]])*(1-OrderDetails[[#This Row],[Discount]])</f>
        <v>108</v>
      </c>
      <c r="I1957" s="15" t="str">
        <f>_xlfn.XLOOKUP(OrderDetails[[#This Row],[ProductID]],Product!A:A,Product!G:G,"Not Found")</f>
        <v>Beverages</v>
      </c>
      <c r="J1957" s="15" t="str">
        <f>LOOKUP(MONTH(G1957),{1,4,7,10},{"Winter","Spring","Summer","Autumn"})</f>
        <v>Spring</v>
      </c>
      <c r="K1957" s="15" t="str">
        <f>_xlfn.XLOOKUP(OrderDetails[[#This Row],[ProductID]],Product!A:A,Product!B:B,"Not Found")</f>
        <v>Lakkalikööri</v>
      </c>
    </row>
    <row r="1958" spans="1:11">
      <c r="A1958" s="1">
        <v>11005</v>
      </c>
      <c r="B1958" s="1">
        <v>1</v>
      </c>
      <c r="C1958" s="1">
        <v>18</v>
      </c>
      <c r="D1958" s="1">
        <v>2</v>
      </c>
      <c r="E1958" s="3">
        <v>0</v>
      </c>
      <c r="F1958" s="1" t="str">
        <f>_xlfn.XLOOKUP(A1958,Orders!A:A,Orders!B:B,"not found")</f>
        <v>WILMK</v>
      </c>
      <c r="G1958" s="13">
        <f>_xlfn.XLOOKUP(OrderDetails[[#This Row],[OrderID]],Orders!A:A,Orders!C:C,"Not Found")</f>
        <v>35892</v>
      </c>
      <c r="H1958" s="16">
        <f>(OrderDetails[[#This Row],[UnitPrice]]*OrderDetails[[#This Row],[Quantity]])*(1-OrderDetails[[#This Row],[Discount]])</f>
        <v>36</v>
      </c>
      <c r="I1958" s="15" t="str">
        <f>_xlfn.XLOOKUP(OrderDetails[[#This Row],[ProductID]],Product!A:A,Product!G:G,"Not Found")</f>
        <v>Beverages</v>
      </c>
      <c r="J1958" s="15" t="str">
        <f>LOOKUP(MONTH(G1958),{1,4,7,10},{"Winter","Spring","Summer","Autumn"})</f>
        <v>Spring</v>
      </c>
      <c r="K1958" s="15" t="str">
        <f>_xlfn.XLOOKUP(OrderDetails[[#This Row],[ProductID]],Product!A:A,Product!B:B,"Not Found")</f>
        <v>Chai</v>
      </c>
    </row>
    <row r="1959" spans="1:11">
      <c r="A1959" s="2">
        <v>11005</v>
      </c>
      <c r="B1959" s="2">
        <v>59</v>
      </c>
      <c r="C1959" s="2">
        <v>55</v>
      </c>
      <c r="D1959" s="2">
        <v>10</v>
      </c>
      <c r="E1959" s="4">
        <v>0</v>
      </c>
      <c r="F1959" s="1" t="str">
        <f>_xlfn.XLOOKUP(A1959,Orders!A:A,Orders!B:B,"not found")</f>
        <v>WILMK</v>
      </c>
      <c r="G1959" s="13">
        <f>_xlfn.XLOOKUP(OrderDetails[[#This Row],[OrderID]],Orders!A:A,Orders!C:C,"Not Found")</f>
        <v>35892</v>
      </c>
      <c r="H1959" s="16">
        <f>(OrderDetails[[#This Row],[UnitPrice]]*OrderDetails[[#This Row],[Quantity]])*(1-OrderDetails[[#This Row],[Discount]])</f>
        <v>550</v>
      </c>
      <c r="I1959" s="15" t="str">
        <f>_xlfn.XLOOKUP(OrderDetails[[#This Row],[ProductID]],Product!A:A,Product!G:G,"Not Found")</f>
        <v>Dairy Products</v>
      </c>
      <c r="J1959" s="15" t="str">
        <f>LOOKUP(MONTH(G1959),{1,4,7,10},{"Winter","Spring","Summer","Autumn"})</f>
        <v>Spring</v>
      </c>
      <c r="K1959" s="15" t="str">
        <f>_xlfn.XLOOKUP(OrderDetails[[#This Row],[ProductID]],Product!A:A,Product!B:B,"Not Found")</f>
        <v>Raclette Courdavault</v>
      </c>
    </row>
    <row r="1960" spans="1:11">
      <c r="A1960" s="1">
        <v>11006</v>
      </c>
      <c r="B1960" s="1">
        <v>1</v>
      </c>
      <c r="C1960" s="1">
        <v>18</v>
      </c>
      <c r="D1960" s="1">
        <v>8</v>
      </c>
      <c r="E1960" s="3">
        <v>0</v>
      </c>
      <c r="F1960" s="1" t="str">
        <f>_xlfn.XLOOKUP(A1960,Orders!A:A,Orders!B:B,"not found")</f>
        <v>GREAL</v>
      </c>
      <c r="G1960" s="13">
        <f>_xlfn.XLOOKUP(OrderDetails[[#This Row],[OrderID]],Orders!A:A,Orders!C:C,"Not Found")</f>
        <v>35892</v>
      </c>
      <c r="H1960" s="16">
        <f>(OrderDetails[[#This Row],[UnitPrice]]*OrderDetails[[#This Row],[Quantity]])*(1-OrderDetails[[#This Row],[Discount]])</f>
        <v>144</v>
      </c>
      <c r="I1960" s="15" t="str">
        <f>_xlfn.XLOOKUP(OrderDetails[[#This Row],[ProductID]],Product!A:A,Product!G:G,"Not Found")</f>
        <v>Beverages</v>
      </c>
      <c r="J1960" s="15" t="str">
        <f>LOOKUP(MONTH(G1960),{1,4,7,10},{"Winter","Spring","Summer","Autumn"})</f>
        <v>Spring</v>
      </c>
      <c r="K1960" s="15" t="str">
        <f>_xlfn.XLOOKUP(OrderDetails[[#This Row],[ProductID]],Product!A:A,Product!B:B,"Not Found")</f>
        <v>Chai</v>
      </c>
    </row>
    <row r="1961" spans="1:11">
      <c r="A1961" s="2">
        <v>11006</v>
      </c>
      <c r="B1961" s="2">
        <v>29</v>
      </c>
      <c r="C1961" s="2">
        <v>123.79</v>
      </c>
      <c r="D1961" s="2">
        <v>2</v>
      </c>
      <c r="E1961" s="4">
        <v>0.25</v>
      </c>
      <c r="F1961" s="1" t="str">
        <f>_xlfn.XLOOKUP(A1961,Orders!A:A,Orders!B:B,"not found")</f>
        <v>GREAL</v>
      </c>
      <c r="G1961" s="13">
        <f>_xlfn.XLOOKUP(OrderDetails[[#This Row],[OrderID]],Orders!A:A,Orders!C:C,"Not Found")</f>
        <v>35892</v>
      </c>
      <c r="H1961" s="16">
        <f>(OrderDetails[[#This Row],[UnitPrice]]*OrderDetails[[#This Row],[Quantity]])*(1-OrderDetails[[#This Row],[Discount]])</f>
        <v>185.685</v>
      </c>
      <c r="I1961" s="15" t="str">
        <f>_xlfn.XLOOKUP(OrderDetails[[#This Row],[ProductID]],Product!A:A,Product!G:G,"Not Found")</f>
        <v>Meat/Poultry</v>
      </c>
      <c r="J1961" s="15" t="str">
        <f>LOOKUP(MONTH(G1961),{1,4,7,10},{"Winter","Spring","Summer","Autumn"})</f>
        <v>Spring</v>
      </c>
      <c r="K1961" s="15" t="str">
        <f>_xlfn.XLOOKUP(OrderDetails[[#This Row],[ProductID]],Product!A:A,Product!B:B,"Not Found")</f>
        <v>Thüringer Rostbratwurst</v>
      </c>
    </row>
    <row r="1962" spans="1:11">
      <c r="A1962" s="1">
        <v>11007</v>
      </c>
      <c r="B1962" s="1">
        <v>8</v>
      </c>
      <c r="C1962" s="1">
        <v>40</v>
      </c>
      <c r="D1962" s="1">
        <v>30</v>
      </c>
      <c r="E1962" s="3">
        <v>0</v>
      </c>
      <c r="F1962" s="1" t="str">
        <f>_xlfn.XLOOKUP(A1962,Orders!A:A,Orders!B:B,"not found")</f>
        <v>PRINI</v>
      </c>
      <c r="G1962" s="13">
        <f>_xlfn.XLOOKUP(OrderDetails[[#This Row],[OrderID]],Orders!A:A,Orders!C:C,"Not Found")</f>
        <v>35893</v>
      </c>
      <c r="H1962" s="16">
        <f>(OrderDetails[[#This Row],[UnitPrice]]*OrderDetails[[#This Row],[Quantity]])*(1-OrderDetails[[#This Row],[Discount]])</f>
        <v>1200</v>
      </c>
      <c r="I1962" s="15" t="str">
        <f>_xlfn.XLOOKUP(OrderDetails[[#This Row],[ProductID]],Product!A:A,Product!G:G,"Not Found")</f>
        <v>Condiments</v>
      </c>
      <c r="J1962" s="15" t="str">
        <f>LOOKUP(MONTH(G1962),{1,4,7,10},{"Winter","Spring","Summer","Autumn"})</f>
        <v>Spring</v>
      </c>
      <c r="K1962" s="15" t="str">
        <f>_xlfn.XLOOKUP(OrderDetails[[#This Row],[ProductID]],Product!A:A,Product!B:B,"Not Found")</f>
        <v>Northwoods Cranberry Sauce</v>
      </c>
    </row>
    <row r="1963" spans="1:11">
      <c r="A1963" s="2">
        <v>11007</v>
      </c>
      <c r="B1963" s="2">
        <v>29</v>
      </c>
      <c r="C1963" s="2">
        <v>123.79</v>
      </c>
      <c r="D1963" s="2">
        <v>10</v>
      </c>
      <c r="E1963" s="4">
        <v>0</v>
      </c>
      <c r="F1963" s="1" t="str">
        <f>_xlfn.XLOOKUP(A1963,Orders!A:A,Orders!B:B,"not found")</f>
        <v>PRINI</v>
      </c>
      <c r="G1963" s="13">
        <f>_xlfn.XLOOKUP(OrderDetails[[#This Row],[OrderID]],Orders!A:A,Orders!C:C,"Not Found")</f>
        <v>35893</v>
      </c>
      <c r="H1963" s="16">
        <f>(OrderDetails[[#This Row],[UnitPrice]]*OrderDetails[[#This Row],[Quantity]])*(1-OrderDetails[[#This Row],[Discount]])</f>
        <v>1237.9000000000001</v>
      </c>
      <c r="I1963" s="15" t="str">
        <f>_xlfn.XLOOKUP(OrderDetails[[#This Row],[ProductID]],Product!A:A,Product!G:G,"Not Found")</f>
        <v>Meat/Poultry</v>
      </c>
      <c r="J1963" s="15" t="str">
        <f>LOOKUP(MONTH(G1963),{1,4,7,10},{"Winter","Spring","Summer","Autumn"})</f>
        <v>Spring</v>
      </c>
      <c r="K1963" s="15" t="str">
        <f>_xlfn.XLOOKUP(OrderDetails[[#This Row],[ProductID]],Product!A:A,Product!B:B,"Not Found")</f>
        <v>Thüringer Rostbratwurst</v>
      </c>
    </row>
    <row r="1964" spans="1:11">
      <c r="A1964" s="1">
        <v>11007</v>
      </c>
      <c r="B1964" s="1">
        <v>42</v>
      </c>
      <c r="C1964" s="1">
        <v>14</v>
      </c>
      <c r="D1964" s="1">
        <v>14</v>
      </c>
      <c r="E1964" s="3">
        <v>0</v>
      </c>
      <c r="F1964" s="1" t="str">
        <f>_xlfn.XLOOKUP(A1964,Orders!A:A,Orders!B:B,"not found")</f>
        <v>PRINI</v>
      </c>
      <c r="G1964" s="13">
        <f>_xlfn.XLOOKUP(OrderDetails[[#This Row],[OrderID]],Orders!A:A,Orders!C:C,"Not Found")</f>
        <v>35893</v>
      </c>
      <c r="H1964" s="16">
        <f>(OrderDetails[[#This Row],[UnitPrice]]*OrderDetails[[#This Row],[Quantity]])*(1-OrderDetails[[#This Row],[Discount]])</f>
        <v>196</v>
      </c>
      <c r="I1964" s="15" t="str">
        <f>_xlfn.XLOOKUP(OrderDetails[[#This Row],[ProductID]],Product!A:A,Product!G:G,"Not Found")</f>
        <v>Grains/Cereals</v>
      </c>
      <c r="J1964" s="15" t="str">
        <f>LOOKUP(MONTH(G1964),{1,4,7,10},{"Winter","Spring","Summer","Autumn"})</f>
        <v>Spring</v>
      </c>
      <c r="K1964" s="15" t="str">
        <f>_xlfn.XLOOKUP(OrderDetails[[#This Row],[ProductID]],Product!A:A,Product!B:B,"Not Found")</f>
        <v>Singaporean Hokkien Fried Mee</v>
      </c>
    </row>
    <row r="1965" spans="1:11">
      <c r="A1965" s="2">
        <v>11008</v>
      </c>
      <c r="B1965" s="2">
        <v>28</v>
      </c>
      <c r="C1965" s="2">
        <v>45.6</v>
      </c>
      <c r="D1965" s="2">
        <v>70</v>
      </c>
      <c r="E1965" s="4">
        <v>5.000000074505806E-2</v>
      </c>
      <c r="F1965" s="1" t="str">
        <f>_xlfn.XLOOKUP(A1965,Orders!A:A,Orders!B:B,"not found")</f>
        <v>ERNSH</v>
      </c>
      <c r="G1965" s="13">
        <f>_xlfn.XLOOKUP(OrderDetails[[#This Row],[OrderID]],Orders!A:A,Orders!C:C,"Not Found")</f>
        <v>35893</v>
      </c>
      <c r="H1965" s="16">
        <f>(OrderDetails[[#This Row],[UnitPrice]]*OrderDetails[[#This Row],[Quantity]])*(1-OrderDetails[[#This Row],[Discount]])</f>
        <v>3032.3999976217747</v>
      </c>
      <c r="I1965" s="15" t="str">
        <f>_xlfn.XLOOKUP(OrderDetails[[#This Row],[ProductID]],Product!A:A,Product!G:G,"Not Found")</f>
        <v>Produce</v>
      </c>
      <c r="J1965" s="15" t="str">
        <f>LOOKUP(MONTH(G1965),{1,4,7,10},{"Winter","Spring","Summer","Autumn"})</f>
        <v>Spring</v>
      </c>
      <c r="K1965" s="15" t="str">
        <f>_xlfn.XLOOKUP(OrderDetails[[#This Row],[ProductID]],Product!A:A,Product!B:B,"Not Found")</f>
        <v>Rössle Sauerkraut</v>
      </c>
    </row>
    <row r="1966" spans="1:11">
      <c r="A1966" s="1">
        <v>11008</v>
      </c>
      <c r="B1966" s="1">
        <v>34</v>
      </c>
      <c r="C1966" s="1">
        <v>14</v>
      </c>
      <c r="D1966" s="1">
        <v>90</v>
      </c>
      <c r="E1966" s="3">
        <v>5.000000074505806E-2</v>
      </c>
      <c r="F1966" s="1" t="str">
        <f>_xlfn.XLOOKUP(A1966,Orders!A:A,Orders!B:B,"not found")</f>
        <v>ERNSH</v>
      </c>
      <c r="G1966" s="13">
        <f>_xlfn.XLOOKUP(OrderDetails[[#This Row],[OrderID]],Orders!A:A,Orders!C:C,"Not Found")</f>
        <v>35893</v>
      </c>
      <c r="H1966" s="16">
        <f>(OrderDetails[[#This Row],[UnitPrice]]*OrderDetails[[#This Row],[Quantity]])*(1-OrderDetails[[#This Row],[Discount]])</f>
        <v>1196.9999990612268</v>
      </c>
      <c r="I1966" s="15" t="str">
        <f>_xlfn.XLOOKUP(OrderDetails[[#This Row],[ProductID]],Product!A:A,Product!G:G,"Not Found")</f>
        <v>Beverages</v>
      </c>
      <c r="J1966" s="15" t="str">
        <f>LOOKUP(MONTH(G1966),{1,4,7,10},{"Winter","Spring","Summer","Autumn"})</f>
        <v>Spring</v>
      </c>
      <c r="K1966" s="15" t="str">
        <f>_xlfn.XLOOKUP(OrderDetails[[#This Row],[ProductID]],Product!A:A,Product!B:B,"Not Found")</f>
        <v>Sasquatch Ale</v>
      </c>
    </row>
    <row r="1967" spans="1:11">
      <c r="A1967" s="2">
        <v>11008</v>
      </c>
      <c r="B1967" s="2">
        <v>71</v>
      </c>
      <c r="C1967" s="2">
        <v>21.5</v>
      </c>
      <c r="D1967" s="2">
        <v>21</v>
      </c>
      <c r="E1967" s="4">
        <v>0</v>
      </c>
      <c r="F1967" s="1" t="str">
        <f>_xlfn.XLOOKUP(A1967,Orders!A:A,Orders!B:B,"not found")</f>
        <v>ERNSH</v>
      </c>
      <c r="G1967" s="13">
        <f>_xlfn.XLOOKUP(OrderDetails[[#This Row],[OrderID]],Orders!A:A,Orders!C:C,"Not Found")</f>
        <v>35893</v>
      </c>
      <c r="H1967" s="16">
        <f>(OrderDetails[[#This Row],[UnitPrice]]*OrderDetails[[#This Row],[Quantity]])*(1-OrderDetails[[#This Row],[Discount]])</f>
        <v>451.5</v>
      </c>
      <c r="I1967" s="15" t="str">
        <f>_xlfn.XLOOKUP(OrderDetails[[#This Row],[ProductID]],Product!A:A,Product!G:G,"Not Found")</f>
        <v>Dairy Products</v>
      </c>
      <c r="J1967" s="15" t="str">
        <f>LOOKUP(MONTH(G1967),{1,4,7,10},{"Winter","Spring","Summer","Autumn"})</f>
        <v>Spring</v>
      </c>
      <c r="K1967" s="15" t="str">
        <f>_xlfn.XLOOKUP(OrderDetails[[#This Row],[ProductID]],Product!A:A,Product!B:B,"Not Found")</f>
        <v>Flotemysost</v>
      </c>
    </row>
    <row r="1968" spans="1:11">
      <c r="A1968" s="1">
        <v>11009</v>
      </c>
      <c r="B1968" s="1">
        <v>24</v>
      </c>
      <c r="C1968" s="1">
        <v>4.5</v>
      </c>
      <c r="D1968" s="1">
        <v>12</v>
      </c>
      <c r="E1968" s="3">
        <v>0</v>
      </c>
      <c r="F1968" s="1" t="str">
        <f>_xlfn.XLOOKUP(A1968,Orders!A:A,Orders!B:B,"not found")</f>
        <v>GODOS</v>
      </c>
      <c r="G1968" s="13">
        <f>_xlfn.XLOOKUP(OrderDetails[[#This Row],[OrderID]],Orders!A:A,Orders!C:C,"Not Found")</f>
        <v>35893</v>
      </c>
      <c r="H1968" s="16">
        <f>(OrderDetails[[#This Row],[UnitPrice]]*OrderDetails[[#This Row],[Quantity]])*(1-OrderDetails[[#This Row],[Discount]])</f>
        <v>54</v>
      </c>
      <c r="I1968" s="15" t="str">
        <f>_xlfn.XLOOKUP(OrderDetails[[#This Row],[ProductID]],Product!A:A,Product!G:G,"Not Found")</f>
        <v>Beverages</v>
      </c>
      <c r="J1968" s="15" t="str">
        <f>LOOKUP(MONTH(G1968),{1,4,7,10},{"Winter","Spring","Summer","Autumn"})</f>
        <v>Spring</v>
      </c>
      <c r="K1968" s="15" t="str">
        <f>_xlfn.XLOOKUP(OrderDetails[[#This Row],[ProductID]],Product!A:A,Product!B:B,"Not Found")</f>
        <v>Guaraná Fantástica</v>
      </c>
    </row>
    <row r="1969" spans="1:11">
      <c r="A1969" s="2">
        <v>11009</v>
      </c>
      <c r="B1969" s="2">
        <v>36</v>
      </c>
      <c r="C1969" s="2">
        <v>19</v>
      </c>
      <c r="D1969" s="2">
        <v>18</v>
      </c>
      <c r="E1969" s="4">
        <v>0.25</v>
      </c>
      <c r="F1969" s="1" t="str">
        <f>_xlfn.XLOOKUP(A1969,Orders!A:A,Orders!B:B,"not found")</f>
        <v>GODOS</v>
      </c>
      <c r="G1969" s="13">
        <f>_xlfn.XLOOKUP(OrderDetails[[#This Row],[OrderID]],Orders!A:A,Orders!C:C,"Not Found")</f>
        <v>35893</v>
      </c>
      <c r="H1969" s="16">
        <f>(OrderDetails[[#This Row],[UnitPrice]]*OrderDetails[[#This Row],[Quantity]])*(1-OrderDetails[[#This Row],[Discount]])</f>
        <v>256.5</v>
      </c>
      <c r="I1969" s="15" t="str">
        <f>_xlfn.XLOOKUP(OrderDetails[[#This Row],[ProductID]],Product!A:A,Product!G:G,"Not Found")</f>
        <v>Seafood</v>
      </c>
      <c r="J1969" s="15" t="str">
        <f>LOOKUP(MONTH(G1969),{1,4,7,10},{"Winter","Spring","Summer","Autumn"})</f>
        <v>Spring</v>
      </c>
      <c r="K1969" s="15" t="str">
        <f>_xlfn.XLOOKUP(OrderDetails[[#This Row],[ProductID]],Product!A:A,Product!B:B,"Not Found")</f>
        <v>Inlagd Sill</v>
      </c>
    </row>
    <row r="1970" spans="1:11">
      <c r="A1970" s="1">
        <v>11009</v>
      </c>
      <c r="B1970" s="1">
        <v>60</v>
      </c>
      <c r="C1970" s="1">
        <v>34</v>
      </c>
      <c r="D1970" s="1">
        <v>9</v>
      </c>
      <c r="E1970" s="3">
        <v>0</v>
      </c>
      <c r="F1970" s="1" t="str">
        <f>_xlfn.XLOOKUP(A1970,Orders!A:A,Orders!B:B,"not found")</f>
        <v>GODOS</v>
      </c>
      <c r="G1970" s="13">
        <f>_xlfn.XLOOKUP(OrderDetails[[#This Row],[OrderID]],Orders!A:A,Orders!C:C,"Not Found")</f>
        <v>35893</v>
      </c>
      <c r="H1970" s="16">
        <f>(OrderDetails[[#This Row],[UnitPrice]]*OrderDetails[[#This Row],[Quantity]])*(1-OrderDetails[[#This Row],[Discount]])</f>
        <v>306</v>
      </c>
      <c r="I1970" s="15" t="str">
        <f>_xlfn.XLOOKUP(OrderDetails[[#This Row],[ProductID]],Product!A:A,Product!G:G,"Not Found")</f>
        <v>Dairy Products</v>
      </c>
      <c r="J1970" s="15" t="str">
        <f>LOOKUP(MONTH(G1970),{1,4,7,10},{"Winter","Spring","Summer","Autumn"})</f>
        <v>Spring</v>
      </c>
      <c r="K1970" s="15" t="str">
        <f>_xlfn.XLOOKUP(OrderDetails[[#This Row],[ProductID]],Product!A:A,Product!B:B,"Not Found")</f>
        <v>Camembert Pierrot</v>
      </c>
    </row>
    <row r="1971" spans="1:11">
      <c r="A1971" s="2">
        <v>11010</v>
      </c>
      <c r="B1971" s="2">
        <v>7</v>
      </c>
      <c r="C1971" s="2">
        <v>30</v>
      </c>
      <c r="D1971" s="2">
        <v>20</v>
      </c>
      <c r="E1971" s="4">
        <v>0</v>
      </c>
      <c r="F1971" s="1" t="str">
        <f>_xlfn.XLOOKUP(A1971,Orders!A:A,Orders!B:B,"not found")</f>
        <v>REGGC</v>
      </c>
      <c r="G1971" s="13">
        <f>_xlfn.XLOOKUP(OrderDetails[[#This Row],[OrderID]],Orders!A:A,Orders!C:C,"Not Found")</f>
        <v>35894</v>
      </c>
      <c r="H1971" s="16">
        <f>(OrderDetails[[#This Row],[UnitPrice]]*OrderDetails[[#This Row],[Quantity]])*(1-OrderDetails[[#This Row],[Discount]])</f>
        <v>600</v>
      </c>
      <c r="I1971" s="15" t="str">
        <f>_xlfn.XLOOKUP(OrderDetails[[#This Row],[ProductID]],Product!A:A,Product!G:G,"Not Found")</f>
        <v>Produce</v>
      </c>
      <c r="J1971" s="15" t="str">
        <f>LOOKUP(MONTH(G1971),{1,4,7,10},{"Winter","Spring","Summer","Autumn"})</f>
        <v>Spring</v>
      </c>
      <c r="K1971" s="15" t="str">
        <f>_xlfn.XLOOKUP(OrderDetails[[#This Row],[ProductID]],Product!A:A,Product!B:B,"Not Found")</f>
        <v>Uncle Bob's Organic Dried Pears</v>
      </c>
    </row>
    <row r="1972" spans="1:11">
      <c r="A1972" s="1">
        <v>11010</v>
      </c>
      <c r="B1972" s="1">
        <v>24</v>
      </c>
      <c r="C1972" s="1">
        <v>4.5</v>
      </c>
      <c r="D1972" s="1">
        <v>10</v>
      </c>
      <c r="E1972" s="3">
        <v>0</v>
      </c>
      <c r="F1972" s="1" t="str">
        <f>_xlfn.XLOOKUP(A1972,Orders!A:A,Orders!B:B,"not found")</f>
        <v>REGGC</v>
      </c>
      <c r="G1972" s="13">
        <f>_xlfn.XLOOKUP(OrderDetails[[#This Row],[OrderID]],Orders!A:A,Orders!C:C,"Not Found")</f>
        <v>35894</v>
      </c>
      <c r="H1972" s="16">
        <f>(OrderDetails[[#This Row],[UnitPrice]]*OrderDetails[[#This Row],[Quantity]])*(1-OrderDetails[[#This Row],[Discount]])</f>
        <v>45</v>
      </c>
      <c r="I1972" s="15" t="str">
        <f>_xlfn.XLOOKUP(OrderDetails[[#This Row],[ProductID]],Product!A:A,Product!G:G,"Not Found")</f>
        <v>Beverages</v>
      </c>
      <c r="J1972" s="15" t="str">
        <f>LOOKUP(MONTH(G1972),{1,4,7,10},{"Winter","Spring","Summer","Autumn"})</f>
        <v>Spring</v>
      </c>
      <c r="K1972" s="15" t="str">
        <f>_xlfn.XLOOKUP(OrderDetails[[#This Row],[ProductID]],Product!A:A,Product!B:B,"Not Found")</f>
        <v>Guaraná Fantástica</v>
      </c>
    </row>
    <row r="1973" spans="1:11">
      <c r="A1973" s="2">
        <v>11011</v>
      </c>
      <c r="B1973" s="2">
        <v>58</v>
      </c>
      <c r="C1973" s="2">
        <v>13.25</v>
      </c>
      <c r="D1973" s="2">
        <v>40</v>
      </c>
      <c r="E1973" s="4">
        <v>5.000000074505806E-2</v>
      </c>
      <c r="F1973" s="1" t="str">
        <f>_xlfn.XLOOKUP(A1973,Orders!A:A,Orders!B:B,"not found")</f>
        <v>ALFKI</v>
      </c>
      <c r="G1973" s="13">
        <f>_xlfn.XLOOKUP(OrderDetails[[#This Row],[OrderID]],Orders!A:A,Orders!C:C,"Not Found")</f>
        <v>35894</v>
      </c>
      <c r="H1973" s="16">
        <f>(OrderDetails[[#This Row],[UnitPrice]]*OrderDetails[[#This Row],[Quantity]])*(1-OrderDetails[[#This Row],[Discount]])</f>
        <v>503.49999960511923</v>
      </c>
      <c r="I1973" s="15" t="str">
        <f>_xlfn.XLOOKUP(OrderDetails[[#This Row],[ProductID]],Product!A:A,Product!G:G,"Not Found")</f>
        <v>Seafood</v>
      </c>
      <c r="J1973" s="15" t="str">
        <f>LOOKUP(MONTH(G1973),{1,4,7,10},{"Winter","Spring","Summer","Autumn"})</f>
        <v>Spring</v>
      </c>
      <c r="K1973" s="15" t="str">
        <f>_xlfn.XLOOKUP(OrderDetails[[#This Row],[ProductID]],Product!A:A,Product!B:B,"Not Found")</f>
        <v>Escargots de Bourgogne</v>
      </c>
    </row>
    <row r="1974" spans="1:11">
      <c r="A1974" s="1">
        <v>11011</v>
      </c>
      <c r="B1974" s="1">
        <v>71</v>
      </c>
      <c r="C1974" s="1">
        <v>21.5</v>
      </c>
      <c r="D1974" s="1">
        <v>20</v>
      </c>
      <c r="E1974" s="3">
        <v>0</v>
      </c>
      <c r="F1974" s="1" t="str">
        <f>_xlfn.XLOOKUP(A1974,Orders!A:A,Orders!B:B,"not found")</f>
        <v>ALFKI</v>
      </c>
      <c r="G1974" s="13">
        <f>_xlfn.XLOOKUP(OrderDetails[[#This Row],[OrderID]],Orders!A:A,Orders!C:C,"Not Found")</f>
        <v>35894</v>
      </c>
      <c r="H1974" s="16">
        <f>(OrderDetails[[#This Row],[UnitPrice]]*OrderDetails[[#This Row],[Quantity]])*(1-OrderDetails[[#This Row],[Discount]])</f>
        <v>430</v>
      </c>
      <c r="I1974" s="15" t="str">
        <f>_xlfn.XLOOKUP(OrderDetails[[#This Row],[ProductID]],Product!A:A,Product!G:G,"Not Found")</f>
        <v>Dairy Products</v>
      </c>
      <c r="J1974" s="15" t="str">
        <f>LOOKUP(MONTH(G1974),{1,4,7,10},{"Winter","Spring","Summer","Autumn"})</f>
        <v>Spring</v>
      </c>
      <c r="K1974" s="15" t="str">
        <f>_xlfn.XLOOKUP(OrderDetails[[#This Row],[ProductID]],Product!A:A,Product!B:B,"Not Found")</f>
        <v>Flotemysost</v>
      </c>
    </row>
    <row r="1975" spans="1:11">
      <c r="A1975" s="2">
        <v>11012</v>
      </c>
      <c r="B1975" s="2">
        <v>19</v>
      </c>
      <c r="C1975" s="2">
        <v>9.1999999999999993</v>
      </c>
      <c r="D1975" s="2">
        <v>50</v>
      </c>
      <c r="E1975" s="4">
        <v>5.000000074505806E-2</v>
      </c>
      <c r="F1975" s="1" t="str">
        <f>_xlfn.XLOOKUP(A1975,Orders!A:A,Orders!B:B,"not found")</f>
        <v>FRANK</v>
      </c>
      <c r="G1975" s="13">
        <f>_xlfn.XLOOKUP(OrderDetails[[#This Row],[OrderID]],Orders!A:A,Orders!C:C,"Not Found")</f>
        <v>35894</v>
      </c>
      <c r="H1975" s="16">
        <f>(OrderDetails[[#This Row],[UnitPrice]]*OrderDetails[[#This Row],[Quantity]])*(1-OrderDetails[[#This Row],[Discount]])</f>
        <v>436.99999965727324</v>
      </c>
      <c r="I1975" s="15" t="str">
        <f>_xlfn.XLOOKUP(OrderDetails[[#This Row],[ProductID]],Product!A:A,Product!G:G,"Not Found")</f>
        <v>Confections</v>
      </c>
      <c r="J1975" s="15" t="str">
        <f>LOOKUP(MONTH(G1975),{1,4,7,10},{"Winter","Spring","Summer","Autumn"})</f>
        <v>Spring</v>
      </c>
      <c r="K1975" s="15" t="str">
        <f>_xlfn.XLOOKUP(OrderDetails[[#This Row],[ProductID]],Product!A:A,Product!B:B,"Not Found")</f>
        <v>Teatime Chocolate Biscuits</v>
      </c>
    </row>
    <row r="1976" spans="1:11">
      <c r="A1976" s="1">
        <v>11012</v>
      </c>
      <c r="B1976" s="1">
        <v>60</v>
      </c>
      <c r="C1976" s="1">
        <v>34</v>
      </c>
      <c r="D1976" s="1">
        <v>36</v>
      </c>
      <c r="E1976" s="3">
        <v>5.000000074505806E-2</v>
      </c>
      <c r="F1976" s="1" t="str">
        <f>_xlfn.XLOOKUP(A1976,Orders!A:A,Orders!B:B,"not found")</f>
        <v>FRANK</v>
      </c>
      <c r="G1976" s="13">
        <f>_xlfn.XLOOKUP(OrderDetails[[#This Row],[OrderID]],Orders!A:A,Orders!C:C,"Not Found")</f>
        <v>35894</v>
      </c>
      <c r="H1976" s="16">
        <f>(OrderDetails[[#This Row],[UnitPrice]]*OrderDetails[[#This Row],[Quantity]])*(1-OrderDetails[[#This Row],[Discount]])</f>
        <v>1162.7999990880489</v>
      </c>
      <c r="I1976" s="15" t="str">
        <f>_xlfn.XLOOKUP(OrderDetails[[#This Row],[ProductID]],Product!A:A,Product!G:G,"Not Found")</f>
        <v>Dairy Products</v>
      </c>
      <c r="J1976" s="15" t="str">
        <f>LOOKUP(MONTH(G1976),{1,4,7,10},{"Winter","Spring","Summer","Autumn"})</f>
        <v>Spring</v>
      </c>
      <c r="K1976" s="15" t="str">
        <f>_xlfn.XLOOKUP(OrderDetails[[#This Row],[ProductID]],Product!A:A,Product!B:B,"Not Found")</f>
        <v>Camembert Pierrot</v>
      </c>
    </row>
    <row r="1977" spans="1:11">
      <c r="A1977" s="2">
        <v>11012</v>
      </c>
      <c r="B1977" s="2">
        <v>71</v>
      </c>
      <c r="C1977" s="2">
        <v>21.5</v>
      </c>
      <c r="D1977" s="2">
        <v>60</v>
      </c>
      <c r="E1977" s="4">
        <v>5.000000074505806E-2</v>
      </c>
      <c r="F1977" s="1" t="str">
        <f>_xlfn.XLOOKUP(A1977,Orders!A:A,Orders!B:B,"not found")</f>
        <v>FRANK</v>
      </c>
      <c r="G1977" s="13">
        <f>_xlfn.XLOOKUP(OrderDetails[[#This Row],[OrderID]],Orders!A:A,Orders!C:C,"Not Found")</f>
        <v>35894</v>
      </c>
      <c r="H1977" s="16">
        <f>(OrderDetails[[#This Row],[UnitPrice]]*OrderDetails[[#This Row],[Quantity]])*(1-OrderDetails[[#This Row],[Discount]])</f>
        <v>1225.4999990388751</v>
      </c>
      <c r="I1977" s="15" t="str">
        <f>_xlfn.XLOOKUP(OrderDetails[[#This Row],[ProductID]],Product!A:A,Product!G:G,"Not Found")</f>
        <v>Dairy Products</v>
      </c>
      <c r="J1977" s="15" t="str">
        <f>LOOKUP(MONTH(G1977),{1,4,7,10},{"Winter","Spring","Summer","Autumn"})</f>
        <v>Spring</v>
      </c>
      <c r="K1977" s="15" t="str">
        <f>_xlfn.XLOOKUP(OrderDetails[[#This Row],[ProductID]],Product!A:A,Product!B:B,"Not Found")</f>
        <v>Flotemysost</v>
      </c>
    </row>
    <row r="1978" spans="1:11">
      <c r="A1978" s="1">
        <v>11013</v>
      </c>
      <c r="B1978" s="1">
        <v>23</v>
      </c>
      <c r="C1978" s="1">
        <v>9</v>
      </c>
      <c r="D1978" s="1">
        <v>10</v>
      </c>
      <c r="E1978" s="3">
        <v>0</v>
      </c>
      <c r="F1978" s="1" t="str">
        <f>_xlfn.XLOOKUP(A1978,Orders!A:A,Orders!B:B,"not found")</f>
        <v>ROMEY</v>
      </c>
      <c r="G1978" s="13">
        <f>_xlfn.XLOOKUP(OrderDetails[[#This Row],[OrderID]],Orders!A:A,Orders!C:C,"Not Found")</f>
        <v>35894</v>
      </c>
      <c r="H1978" s="16">
        <f>(OrderDetails[[#This Row],[UnitPrice]]*OrderDetails[[#This Row],[Quantity]])*(1-OrderDetails[[#This Row],[Discount]])</f>
        <v>90</v>
      </c>
      <c r="I1978" s="15" t="str">
        <f>_xlfn.XLOOKUP(OrderDetails[[#This Row],[ProductID]],Product!A:A,Product!G:G,"Not Found")</f>
        <v>Grains/Cereals</v>
      </c>
      <c r="J1978" s="15" t="str">
        <f>LOOKUP(MONTH(G1978),{1,4,7,10},{"Winter","Spring","Summer","Autumn"})</f>
        <v>Spring</v>
      </c>
      <c r="K1978" s="15" t="str">
        <f>_xlfn.XLOOKUP(OrderDetails[[#This Row],[ProductID]],Product!A:A,Product!B:B,"Not Found")</f>
        <v>Tunnbröd</v>
      </c>
    </row>
    <row r="1979" spans="1:11">
      <c r="A1979" s="2">
        <v>11013</v>
      </c>
      <c r="B1979" s="2">
        <v>42</v>
      </c>
      <c r="C1979" s="2">
        <v>14</v>
      </c>
      <c r="D1979" s="2">
        <v>4</v>
      </c>
      <c r="E1979" s="4">
        <v>0</v>
      </c>
      <c r="F1979" s="1" t="str">
        <f>_xlfn.XLOOKUP(A1979,Orders!A:A,Orders!B:B,"not found")</f>
        <v>ROMEY</v>
      </c>
      <c r="G1979" s="13">
        <f>_xlfn.XLOOKUP(OrderDetails[[#This Row],[OrderID]],Orders!A:A,Orders!C:C,"Not Found")</f>
        <v>35894</v>
      </c>
      <c r="H1979" s="16">
        <f>(OrderDetails[[#This Row],[UnitPrice]]*OrderDetails[[#This Row],[Quantity]])*(1-OrderDetails[[#This Row],[Discount]])</f>
        <v>56</v>
      </c>
      <c r="I1979" s="15" t="str">
        <f>_xlfn.XLOOKUP(OrderDetails[[#This Row],[ProductID]],Product!A:A,Product!G:G,"Not Found")</f>
        <v>Grains/Cereals</v>
      </c>
      <c r="J1979" s="15" t="str">
        <f>LOOKUP(MONTH(G1979),{1,4,7,10},{"Winter","Spring","Summer","Autumn"})</f>
        <v>Spring</v>
      </c>
      <c r="K1979" s="15" t="str">
        <f>_xlfn.XLOOKUP(OrderDetails[[#This Row],[ProductID]],Product!A:A,Product!B:B,"Not Found")</f>
        <v>Singaporean Hokkien Fried Mee</v>
      </c>
    </row>
    <row r="1980" spans="1:11">
      <c r="A1980" s="1">
        <v>11013</v>
      </c>
      <c r="B1980" s="1">
        <v>45</v>
      </c>
      <c r="C1980" s="1">
        <v>9.5</v>
      </c>
      <c r="D1980" s="1">
        <v>20</v>
      </c>
      <c r="E1980" s="3">
        <v>0</v>
      </c>
      <c r="F1980" s="1" t="str">
        <f>_xlfn.XLOOKUP(A1980,Orders!A:A,Orders!B:B,"not found")</f>
        <v>ROMEY</v>
      </c>
      <c r="G1980" s="13">
        <f>_xlfn.XLOOKUP(OrderDetails[[#This Row],[OrderID]],Orders!A:A,Orders!C:C,"Not Found")</f>
        <v>35894</v>
      </c>
      <c r="H1980" s="16">
        <f>(OrderDetails[[#This Row],[UnitPrice]]*OrderDetails[[#This Row],[Quantity]])*(1-OrderDetails[[#This Row],[Discount]])</f>
        <v>190</v>
      </c>
      <c r="I1980" s="15" t="str">
        <f>_xlfn.XLOOKUP(OrderDetails[[#This Row],[ProductID]],Product!A:A,Product!G:G,"Not Found")</f>
        <v>Seafood</v>
      </c>
      <c r="J1980" s="15" t="str">
        <f>LOOKUP(MONTH(G1980),{1,4,7,10},{"Winter","Spring","Summer","Autumn"})</f>
        <v>Spring</v>
      </c>
      <c r="K1980" s="15" t="str">
        <f>_xlfn.XLOOKUP(OrderDetails[[#This Row],[ProductID]],Product!A:A,Product!B:B,"Not Found")</f>
        <v>Rogede sild</v>
      </c>
    </row>
    <row r="1981" spans="1:11">
      <c r="A1981" s="2">
        <v>11013</v>
      </c>
      <c r="B1981" s="2">
        <v>68</v>
      </c>
      <c r="C1981" s="2">
        <v>12.5</v>
      </c>
      <c r="D1981" s="2">
        <v>2</v>
      </c>
      <c r="E1981" s="4">
        <v>0</v>
      </c>
      <c r="F1981" s="1" t="str">
        <f>_xlfn.XLOOKUP(A1981,Orders!A:A,Orders!B:B,"not found")</f>
        <v>ROMEY</v>
      </c>
      <c r="G1981" s="13">
        <f>_xlfn.XLOOKUP(OrderDetails[[#This Row],[OrderID]],Orders!A:A,Orders!C:C,"Not Found")</f>
        <v>35894</v>
      </c>
      <c r="H1981" s="16">
        <f>(OrderDetails[[#This Row],[UnitPrice]]*OrderDetails[[#This Row],[Quantity]])*(1-OrderDetails[[#This Row],[Discount]])</f>
        <v>25</v>
      </c>
      <c r="I1981" s="15" t="str">
        <f>_xlfn.XLOOKUP(OrderDetails[[#This Row],[ProductID]],Product!A:A,Product!G:G,"Not Found")</f>
        <v>Confections</v>
      </c>
      <c r="J1981" s="15" t="str">
        <f>LOOKUP(MONTH(G1981),{1,4,7,10},{"Winter","Spring","Summer","Autumn"})</f>
        <v>Spring</v>
      </c>
      <c r="K1981" s="15" t="str">
        <f>_xlfn.XLOOKUP(OrderDetails[[#This Row],[ProductID]],Product!A:A,Product!B:B,"Not Found")</f>
        <v>Scottish Longbreads</v>
      </c>
    </row>
    <row r="1982" spans="1:11">
      <c r="A1982" s="1">
        <v>11014</v>
      </c>
      <c r="B1982" s="1">
        <v>41</v>
      </c>
      <c r="C1982" s="1">
        <v>9.65</v>
      </c>
      <c r="D1982" s="1">
        <v>28</v>
      </c>
      <c r="E1982" s="3">
        <v>0.10000000149011612</v>
      </c>
      <c r="F1982" s="1" t="str">
        <f>_xlfn.XLOOKUP(A1982,Orders!A:A,Orders!B:B,"not found")</f>
        <v>LINOD</v>
      </c>
      <c r="G1982" s="13">
        <f>_xlfn.XLOOKUP(OrderDetails[[#This Row],[OrderID]],Orders!A:A,Orders!C:C,"Not Found")</f>
        <v>35895</v>
      </c>
      <c r="H1982" s="16">
        <f>(OrderDetails[[#This Row],[UnitPrice]]*OrderDetails[[#This Row],[Quantity]])*(1-OrderDetails[[#This Row],[Discount]])</f>
        <v>243.17999959737062</v>
      </c>
      <c r="I1982" s="15" t="str">
        <f>_xlfn.XLOOKUP(OrderDetails[[#This Row],[ProductID]],Product!A:A,Product!G:G,"Not Found")</f>
        <v>Seafood</v>
      </c>
      <c r="J1982" s="15" t="str">
        <f>LOOKUP(MONTH(G1982),{1,4,7,10},{"Winter","Spring","Summer","Autumn"})</f>
        <v>Spring</v>
      </c>
      <c r="K1982" s="15" t="str">
        <f>_xlfn.XLOOKUP(OrderDetails[[#This Row],[ProductID]],Product!A:A,Product!B:B,"Not Found")</f>
        <v>Jack's New England Clam Chowder</v>
      </c>
    </row>
    <row r="1983" spans="1:11">
      <c r="A1983" s="2">
        <v>11015</v>
      </c>
      <c r="B1983" s="2">
        <v>30</v>
      </c>
      <c r="C1983" s="2">
        <v>25.89</v>
      </c>
      <c r="D1983" s="2">
        <v>15</v>
      </c>
      <c r="E1983" s="4">
        <v>0</v>
      </c>
      <c r="F1983" s="1" t="str">
        <f>_xlfn.XLOOKUP(A1983,Orders!A:A,Orders!B:B,"not found")</f>
        <v>SANTG</v>
      </c>
      <c r="G1983" s="13">
        <f>_xlfn.XLOOKUP(OrderDetails[[#This Row],[OrderID]],Orders!A:A,Orders!C:C,"Not Found")</f>
        <v>35895</v>
      </c>
      <c r="H1983" s="16">
        <f>(OrderDetails[[#This Row],[UnitPrice]]*OrderDetails[[#This Row],[Quantity]])*(1-OrderDetails[[#This Row],[Discount]])</f>
        <v>388.35</v>
      </c>
      <c r="I1983" s="15" t="str">
        <f>_xlfn.XLOOKUP(OrderDetails[[#This Row],[ProductID]],Product!A:A,Product!G:G,"Not Found")</f>
        <v>Seafood</v>
      </c>
      <c r="J1983" s="15" t="str">
        <f>LOOKUP(MONTH(G1983),{1,4,7,10},{"Winter","Spring","Summer","Autumn"})</f>
        <v>Spring</v>
      </c>
      <c r="K1983" s="15" t="str">
        <f>_xlfn.XLOOKUP(OrderDetails[[#This Row],[ProductID]],Product!A:A,Product!B:B,"Not Found")</f>
        <v>Nord-Ost Matjeshering</v>
      </c>
    </row>
    <row r="1984" spans="1:11">
      <c r="A1984" s="1">
        <v>11015</v>
      </c>
      <c r="B1984" s="1">
        <v>77</v>
      </c>
      <c r="C1984" s="1">
        <v>13</v>
      </c>
      <c r="D1984" s="1">
        <v>18</v>
      </c>
      <c r="E1984" s="3">
        <v>0</v>
      </c>
      <c r="F1984" s="1" t="str">
        <f>_xlfn.XLOOKUP(A1984,Orders!A:A,Orders!B:B,"not found")</f>
        <v>SANTG</v>
      </c>
      <c r="G1984" s="13">
        <f>_xlfn.XLOOKUP(OrderDetails[[#This Row],[OrderID]],Orders!A:A,Orders!C:C,"Not Found")</f>
        <v>35895</v>
      </c>
      <c r="H1984" s="16">
        <f>(OrderDetails[[#This Row],[UnitPrice]]*OrderDetails[[#This Row],[Quantity]])*(1-OrderDetails[[#This Row],[Discount]])</f>
        <v>234</v>
      </c>
      <c r="I1984" s="15" t="str">
        <f>_xlfn.XLOOKUP(OrderDetails[[#This Row],[ProductID]],Product!A:A,Product!G:G,"Not Found")</f>
        <v>Condiments</v>
      </c>
      <c r="J1984" s="15" t="str">
        <f>LOOKUP(MONTH(G1984),{1,4,7,10},{"Winter","Spring","Summer","Autumn"})</f>
        <v>Spring</v>
      </c>
      <c r="K1984" s="15" t="str">
        <f>_xlfn.XLOOKUP(OrderDetails[[#This Row],[ProductID]],Product!A:A,Product!B:B,"Not Found")</f>
        <v>Original Frankfurter grüne Soße</v>
      </c>
    </row>
    <row r="1985" spans="1:11">
      <c r="A1985" s="2">
        <v>11016</v>
      </c>
      <c r="B1985" s="2">
        <v>31</v>
      </c>
      <c r="C1985" s="2">
        <v>12.5</v>
      </c>
      <c r="D1985" s="2">
        <v>15</v>
      </c>
      <c r="E1985" s="4">
        <v>0</v>
      </c>
      <c r="F1985" s="1" t="str">
        <f>_xlfn.XLOOKUP(A1985,Orders!A:A,Orders!B:B,"not found")</f>
        <v>AROUT</v>
      </c>
      <c r="G1985" s="13">
        <f>_xlfn.XLOOKUP(OrderDetails[[#This Row],[OrderID]],Orders!A:A,Orders!C:C,"Not Found")</f>
        <v>35895</v>
      </c>
      <c r="H1985" s="16">
        <f>(OrderDetails[[#This Row],[UnitPrice]]*OrderDetails[[#This Row],[Quantity]])*(1-OrderDetails[[#This Row],[Discount]])</f>
        <v>187.5</v>
      </c>
      <c r="I1985" s="15" t="str">
        <f>_xlfn.XLOOKUP(OrderDetails[[#This Row],[ProductID]],Product!A:A,Product!G:G,"Not Found")</f>
        <v>Dairy Products</v>
      </c>
      <c r="J1985" s="15" t="str">
        <f>LOOKUP(MONTH(G1985),{1,4,7,10},{"Winter","Spring","Summer","Autumn"})</f>
        <v>Spring</v>
      </c>
      <c r="K1985" s="15" t="str">
        <f>_xlfn.XLOOKUP(OrderDetails[[#This Row],[ProductID]],Product!A:A,Product!B:B,"Not Found")</f>
        <v>Gorgonzola Telino</v>
      </c>
    </row>
    <row r="1986" spans="1:11">
      <c r="A1986" s="1">
        <v>11016</v>
      </c>
      <c r="B1986" s="1">
        <v>36</v>
      </c>
      <c r="C1986" s="1">
        <v>19</v>
      </c>
      <c r="D1986" s="1">
        <v>16</v>
      </c>
      <c r="E1986" s="3">
        <v>0</v>
      </c>
      <c r="F1986" s="1" t="str">
        <f>_xlfn.XLOOKUP(A1986,Orders!A:A,Orders!B:B,"not found")</f>
        <v>AROUT</v>
      </c>
      <c r="G1986" s="13">
        <f>_xlfn.XLOOKUP(OrderDetails[[#This Row],[OrderID]],Orders!A:A,Orders!C:C,"Not Found")</f>
        <v>35895</v>
      </c>
      <c r="H1986" s="16">
        <f>(OrderDetails[[#This Row],[UnitPrice]]*OrderDetails[[#This Row],[Quantity]])*(1-OrderDetails[[#This Row],[Discount]])</f>
        <v>304</v>
      </c>
      <c r="I1986" s="15" t="str">
        <f>_xlfn.XLOOKUP(OrderDetails[[#This Row],[ProductID]],Product!A:A,Product!G:G,"Not Found")</f>
        <v>Seafood</v>
      </c>
      <c r="J1986" s="15" t="str">
        <f>LOOKUP(MONTH(G1986),{1,4,7,10},{"Winter","Spring","Summer","Autumn"})</f>
        <v>Spring</v>
      </c>
      <c r="K1986" s="15" t="str">
        <f>_xlfn.XLOOKUP(OrderDetails[[#This Row],[ProductID]],Product!A:A,Product!B:B,"Not Found")</f>
        <v>Inlagd Sill</v>
      </c>
    </row>
    <row r="1987" spans="1:11">
      <c r="A1987" s="2">
        <v>11017</v>
      </c>
      <c r="B1987" s="2">
        <v>3</v>
      </c>
      <c r="C1987" s="2">
        <v>10</v>
      </c>
      <c r="D1987" s="2">
        <v>25</v>
      </c>
      <c r="E1987" s="4">
        <v>0</v>
      </c>
      <c r="F1987" s="1" t="str">
        <f>_xlfn.XLOOKUP(A1987,Orders!A:A,Orders!B:B,"not found")</f>
        <v>ERNSH</v>
      </c>
      <c r="G1987" s="13">
        <f>_xlfn.XLOOKUP(OrderDetails[[#This Row],[OrderID]],Orders!A:A,Orders!C:C,"Not Found")</f>
        <v>35898</v>
      </c>
      <c r="H1987" s="16">
        <f>(OrderDetails[[#This Row],[UnitPrice]]*OrderDetails[[#This Row],[Quantity]])*(1-OrderDetails[[#This Row],[Discount]])</f>
        <v>250</v>
      </c>
      <c r="I1987" s="15" t="str">
        <f>_xlfn.XLOOKUP(OrderDetails[[#This Row],[ProductID]],Product!A:A,Product!G:G,"Not Found")</f>
        <v>Condiments</v>
      </c>
      <c r="J1987" s="15" t="str">
        <f>LOOKUP(MONTH(G1987),{1,4,7,10},{"Winter","Spring","Summer","Autumn"})</f>
        <v>Spring</v>
      </c>
      <c r="K1987" s="15" t="str">
        <f>_xlfn.XLOOKUP(OrderDetails[[#This Row],[ProductID]],Product!A:A,Product!B:B,"Not Found")</f>
        <v>Aniseed Syrup</v>
      </c>
    </row>
    <row r="1988" spans="1:11">
      <c r="A1988" s="1">
        <v>11017</v>
      </c>
      <c r="B1988" s="1">
        <v>59</v>
      </c>
      <c r="C1988" s="1">
        <v>55</v>
      </c>
      <c r="D1988" s="1">
        <v>110</v>
      </c>
      <c r="E1988" s="3">
        <v>0</v>
      </c>
      <c r="F1988" s="1" t="str">
        <f>_xlfn.XLOOKUP(A1988,Orders!A:A,Orders!B:B,"not found")</f>
        <v>ERNSH</v>
      </c>
      <c r="G1988" s="13">
        <f>_xlfn.XLOOKUP(OrderDetails[[#This Row],[OrderID]],Orders!A:A,Orders!C:C,"Not Found")</f>
        <v>35898</v>
      </c>
      <c r="H1988" s="16">
        <f>(OrderDetails[[#This Row],[UnitPrice]]*OrderDetails[[#This Row],[Quantity]])*(1-OrderDetails[[#This Row],[Discount]])</f>
        <v>6050</v>
      </c>
      <c r="I1988" s="15" t="str">
        <f>_xlfn.XLOOKUP(OrderDetails[[#This Row],[ProductID]],Product!A:A,Product!G:G,"Not Found")</f>
        <v>Dairy Products</v>
      </c>
      <c r="J1988" s="15" t="str">
        <f>LOOKUP(MONTH(G1988),{1,4,7,10},{"Winter","Spring","Summer","Autumn"})</f>
        <v>Spring</v>
      </c>
      <c r="K1988" s="15" t="str">
        <f>_xlfn.XLOOKUP(OrderDetails[[#This Row],[ProductID]],Product!A:A,Product!B:B,"Not Found")</f>
        <v>Raclette Courdavault</v>
      </c>
    </row>
    <row r="1989" spans="1:11">
      <c r="A1989" s="2">
        <v>11017</v>
      </c>
      <c r="B1989" s="2">
        <v>70</v>
      </c>
      <c r="C1989" s="2">
        <v>15</v>
      </c>
      <c r="D1989" s="2">
        <v>30</v>
      </c>
      <c r="E1989" s="4">
        <v>0</v>
      </c>
      <c r="F1989" s="1" t="str">
        <f>_xlfn.XLOOKUP(A1989,Orders!A:A,Orders!B:B,"not found")</f>
        <v>ERNSH</v>
      </c>
      <c r="G1989" s="13">
        <f>_xlfn.XLOOKUP(OrderDetails[[#This Row],[OrderID]],Orders!A:A,Orders!C:C,"Not Found")</f>
        <v>35898</v>
      </c>
      <c r="H1989" s="16">
        <f>(OrderDetails[[#This Row],[UnitPrice]]*OrderDetails[[#This Row],[Quantity]])*(1-OrderDetails[[#This Row],[Discount]])</f>
        <v>450</v>
      </c>
      <c r="I1989" s="15" t="str">
        <f>_xlfn.XLOOKUP(OrderDetails[[#This Row],[ProductID]],Product!A:A,Product!G:G,"Not Found")</f>
        <v>Beverages</v>
      </c>
      <c r="J1989" s="15" t="str">
        <f>LOOKUP(MONTH(G1989),{1,4,7,10},{"Winter","Spring","Summer","Autumn"})</f>
        <v>Spring</v>
      </c>
      <c r="K1989" s="15" t="str">
        <f>_xlfn.XLOOKUP(OrderDetails[[#This Row],[ProductID]],Product!A:A,Product!B:B,"Not Found")</f>
        <v>Outback Lager</v>
      </c>
    </row>
    <row r="1990" spans="1:11">
      <c r="A1990" s="1">
        <v>11018</v>
      </c>
      <c r="B1990" s="1">
        <v>12</v>
      </c>
      <c r="C1990" s="1">
        <v>38</v>
      </c>
      <c r="D1990" s="1">
        <v>20</v>
      </c>
      <c r="E1990" s="3">
        <v>0</v>
      </c>
      <c r="F1990" s="1" t="str">
        <f>_xlfn.XLOOKUP(A1990,Orders!A:A,Orders!B:B,"not found")</f>
        <v>LONEP</v>
      </c>
      <c r="G1990" s="13">
        <f>_xlfn.XLOOKUP(OrderDetails[[#This Row],[OrderID]],Orders!A:A,Orders!C:C,"Not Found")</f>
        <v>35898</v>
      </c>
      <c r="H1990" s="16">
        <f>(OrderDetails[[#This Row],[UnitPrice]]*OrderDetails[[#This Row],[Quantity]])*(1-OrderDetails[[#This Row],[Discount]])</f>
        <v>760</v>
      </c>
      <c r="I1990" s="15" t="str">
        <f>_xlfn.XLOOKUP(OrderDetails[[#This Row],[ProductID]],Product!A:A,Product!G:G,"Not Found")</f>
        <v>Dairy Products</v>
      </c>
      <c r="J1990" s="15" t="str">
        <f>LOOKUP(MONTH(G1990),{1,4,7,10},{"Winter","Spring","Summer","Autumn"})</f>
        <v>Spring</v>
      </c>
      <c r="K1990" s="15" t="str">
        <f>_xlfn.XLOOKUP(OrderDetails[[#This Row],[ProductID]],Product!A:A,Product!B:B,"Not Found")</f>
        <v>Queso Manchego La Pastora</v>
      </c>
    </row>
    <row r="1991" spans="1:11">
      <c r="A1991" s="2">
        <v>11018</v>
      </c>
      <c r="B1991" s="2">
        <v>18</v>
      </c>
      <c r="C1991" s="2">
        <v>62.5</v>
      </c>
      <c r="D1991" s="2">
        <v>10</v>
      </c>
      <c r="E1991" s="4">
        <v>0</v>
      </c>
      <c r="F1991" s="1" t="str">
        <f>_xlfn.XLOOKUP(A1991,Orders!A:A,Orders!B:B,"not found")</f>
        <v>LONEP</v>
      </c>
      <c r="G1991" s="13">
        <f>_xlfn.XLOOKUP(OrderDetails[[#This Row],[OrderID]],Orders!A:A,Orders!C:C,"Not Found")</f>
        <v>35898</v>
      </c>
      <c r="H1991" s="16">
        <f>(OrderDetails[[#This Row],[UnitPrice]]*OrderDetails[[#This Row],[Quantity]])*(1-OrderDetails[[#This Row],[Discount]])</f>
        <v>625</v>
      </c>
      <c r="I1991" s="15" t="str">
        <f>_xlfn.XLOOKUP(OrderDetails[[#This Row],[ProductID]],Product!A:A,Product!G:G,"Not Found")</f>
        <v>Seafood</v>
      </c>
      <c r="J1991" s="15" t="str">
        <f>LOOKUP(MONTH(G1991),{1,4,7,10},{"Winter","Spring","Summer","Autumn"})</f>
        <v>Spring</v>
      </c>
      <c r="K1991" s="15" t="str">
        <f>_xlfn.XLOOKUP(OrderDetails[[#This Row],[ProductID]],Product!A:A,Product!B:B,"Not Found")</f>
        <v>Carnarvon Tigers</v>
      </c>
    </row>
    <row r="1992" spans="1:11">
      <c r="A1992" s="1">
        <v>11018</v>
      </c>
      <c r="B1992" s="1">
        <v>56</v>
      </c>
      <c r="C1992" s="1">
        <v>38</v>
      </c>
      <c r="D1992" s="1">
        <v>5</v>
      </c>
      <c r="E1992" s="3">
        <v>0</v>
      </c>
      <c r="F1992" s="1" t="str">
        <f>_xlfn.XLOOKUP(A1992,Orders!A:A,Orders!B:B,"not found")</f>
        <v>LONEP</v>
      </c>
      <c r="G1992" s="13">
        <f>_xlfn.XLOOKUP(OrderDetails[[#This Row],[OrderID]],Orders!A:A,Orders!C:C,"Not Found")</f>
        <v>35898</v>
      </c>
      <c r="H1992" s="16">
        <f>(OrderDetails[[#This Row],[UnitPrice]]*OrderDetails[[#This Row],[Quantity]])*(1-OrderDetails[[#This Row],[Discount]])</f>
        <v>190</v>
      </c>
      <c r="I1992" s="15" t="str">
        <f>_xlfn.XLOOKUP(OrderDetails[[#This Row],[ProductID]],Product!A:A,Product!G:G,"Not Found")</f>
        <v>Grains/Cereals</v>
      </c>
      <c r="J1992" s="15" t="str">
        <f>LOOKUP(MONTH(G1992),{1,4,7,10},{"Winter","Spring","Summer","Autumn"})</f>
        <v>Spring</v>
      </c>
      <c r="K1992" s="15" t="str">
        <f>_xlfn.XLOOKUP(OrderDetails[[#This Row],[ProductID]],Product!A:A,Product!B:B,"Not Found")</f>
        <v>Gnocchi di nonna Alice</v>
      </c>
    </row>
    <row r="1993" spans="1:11">
      <c r="A1993" s="2">
        <v>11019</v>
      </c>
      <c r="B1993" s="2">
        <v>46</v>
      </c>
      <c r="C1993" s="2">
        <v>12</v>
      </c>
      <c r="D1993" s="2">
        <v>3</v>
      </c>
      <c r="E1993" s="4">
        <v>0</v>
      </c>
      <c r="F1993" s="1" t="str">
        <f>_xlfn.XLOOKUP(A1993,Orders!A:A,Orders!B:B,"not found")</f>
        <v>RANCH</v>
      </c>
      <c r="G1993" s="13">
        <f>_xlfn.XLOOKUP(OrderDetails[[#This Row],[OrderID]],Orders!A:A,Orders!C:C,"Not Found")</f>
        <v>35898</v>
      </c>
      <c r="H1993" s="16">
        <f>(OrderDetails[[#This Row],[UnitPrice]]*OrderDetails[[#This Row],[Quantity]])*(1-OrderDetails[[#This Row],[Discount]])</f>
        <v>36</v>
      </c>
      <c r="I1993" s="15" t="str">
        <f>_xlfn.XLOOKUP(OrderDetails[[#This Row],[ProductID]],Product!A:A,Product!G:G,"Not Found")</f>
        <v>Seafood</v>
      </c>
      <c r="J1993" s="15" t="str">
        <f>LOOKUP(MONTH(G1993),{1,4,7,10},{"Winter","Spring","Summer","Autumn"})</f>
        <v>Spring</v>
      </c>
      <c r="K1993" s="15" t="str">
        <f>_xlfn.XLOOKUP(OrderDetails[[#This Row],[ProductID]],Product!A:A,Product!B:B,"Not Found")</f>
        <v>Spegesild</v>
      </c>
    </row>
    <row r="1994" spans="1:11">
      <c r="A1994" s="1">
        <v>11019</v>
      </c>
      <c r="B1994" s="1">
        <v>49</v>
      </c>
      <c r="C1994" s="1">
        <v>20</v>
      </c>
      <c r="D1994" s="1">
        <v>2</v>
      </c>
      <c r="E1994" s="3">
        <v>0</v>
      </c>
      <c r="F1994" s="1" t="str">
        <f>_xlfn.XLOOKUP(A1994,Orders!A:A,Orders!B:B,"not found")</f>
        <v>RANCH</v>
      </c>
      <c r="G1994" s="13">
        <f>_xlfn.XLOOKUP(OrderDetails[[#This Row],[OrderID]],Orders!A:A,Orders!C:C,"Not Found")</f>
        <v>35898</v>
      </c>
      <c r="H1994" s="16">
        <f>(OrderDetails[[#This Row],[UnitPrice]]*OrderDetails[[#This Row],[Quantity]])*(1-OrderDetails[[#This Row],[Discount]])</f>
        <v>40</v>
      </c>
      <c r="I1994" s="15" t="str">
        <f>_xlfn.XLOOKUP(OrderDetails[[#This Row],[ProductID]],Product!A:A,Product!G:G,"Not Found")</f>
        <v>Confections</v>
      </c>
      <c r="J1994" s="15" t="str">
        <f>LOOKUP(MONTH(G1994),{1,4,7,10},{"Winter","Spring","Summer","Autumn"})</f>
        <v>Spring</v>
      </c>
      <c r="K1994" s="15" t="str">
        <f>_xlfn.XLOOKUP(OrderDetails[[#This Row],[ProductID]],Product!A:A,Product!B:B,"Not Found")</f>
        <v>Maxilaku</v>
      </c>
    </row>
    <row r="1995" spans="1:11">
      <c r="A1995" s="2">
        <v>11020</v>
      </c>
      <c r="B1995" s="2">
        <v>10</v>
      </c>
      <c r="C1995" s="2">
        <v>31</v>
      </c>
      <c r="D1995" s="2">
        <v>24</v>
      </c>
      <c r="E1995" s="4">
        <v>0.15000000596046448</v>
      </c>
      <c r="F1995" s="1" t="str">
        <f>_xlfn.XLOOKUP(A1995,Orders!A:A,Orders!B:B,"not found")</f>
        <v>OTTIK</v>
      </c>
      <c r="G1995" s="13">
        <f>_xlfn.XLOOKUP(OrderDetails[[#This Row],[OrderID]],Orders!A:A,Orders!C:C,"Not Found")</f>
        <v>35899</v>
      </c>
      <c r="H1995" s="16">
        <f>(OrderDetails[[#This Row],[UnitPrice]]*OrderDetails[[#This Row],[Quantity]])*(1-OrderDetails[[#This Row],[Discount]])</f>
        <v>632.39999556541443</v>
      </c>
      <c r="I1995" s="15" t="str">
        <f>_xlfn.XLOOKUP(OrderDetails[[#This Row],[ProductID]],Product!A:A,Product!G:G,"Not Found")</f>
        <v>Seafood</v>
      </c>
      <c r="J1995" s="15" t="str">
        <f>LOOKUP(MONTH(G1995),{1,4,7,10},{"Winter","Spring","Summer","Autumn"})</f>
        <v>Spring</v>
      </c>
      <c r="K1995" s="15" t="str">
        <f>_xlfn.XLOOKUP(OrderDetails[[#This Row],[ProductID]],Product!A:A,Product!B:B,"Not Found")</f>
        <v>Ikura</v>
      </c>
    </row>
    <row r="1996" spans="1:11">
      <c r="A1996" s="1">
        <v>11021</v>
      </c>
      <c r="B1996" s="1">
        <v>2</v>
      </c>
      <c r="C1996" s="1">
        <v>19</v>
      </c>
      <c r="D1996" s="1">
        <v>11</v>
      </c>
      <c r="E1996" s="3">
        <v>0.25</v>
      </c>
      <c r="F1996" s="1" t="str">
        <f>_xlfn.XLOOKUP(A1996,Orders!A:A,Orders!B:B,"not found")</f>
        <v>QUICK</v>
      </c>
      <c r="G1996" s="13">
        <f>_xlfn.XLOOKUP(OrderDetails[[#This Row],[OrderID]],Orders!A:A,Orders!C:C,"Not Found")</f>
        <v>35899</v>
      </c>
      <c r="H1996" s="16">
        <f>(OrderDetails[[#This Row],[UnitPrice]]*OrderDetails[[#This Row],[Quantity]])*(1-OrderDetails[[#This Row],[Discount]])</f>
        <v>156.75</v>
      </c>
      <c r="I1996" s="15" t="str">
        <f>_xlfn.XLOOKUP(OrderDetails[[#This Row],[ProductID]],Product!A:A,Product!G:G,"Not Found")</f>
        <v>Beverages</v>
      </c>
      <c r="J1996" s="15" t="str">
        <f>LOOKUP(MONTH(G1996),{1,4,7,10},{"Winter","Spring","Summer","Autumn"})</f>
        <v>Spring</v>
      </c>
      <c r="K1996" s="15" t="str">
        <f>_xlfn.XLOOKUP(OrderDetails[[#This Row],[ProductID]],Product!A:A,Product!B:B,"Not Found")</f>
        <v>Chang</v>
      </c>
    </row>
    <row r="1997" spans="1:11">
      <c r="A1997" s="2">
        <v>11021</v>
      </c>
      <c r="B1997" s="2">
        <v>20</v>
      </c>
      <c r="C1997" s="2">
        <v>81</v>
      </c>
      <c r="D1997" s="2">
        <v>15</v>
      </c>
      <c r="E1997" s="4">
        <v>0</v>
      </c>
      <c r="F1997" s="1" t="str">
        <f>_xlfn.XLOOKUP(A1997,Orders!A:A,Orders!B:B,"not found")</f>
        <v>QUICK</v>
      </c>
      <c r="G1997" s="13">
        <f>_xlfn.XLOOKUP(OrderDetails[[#This Row],[OrderID]],Orders!A:A,Orders!C:C,"Not Found")</f>
        <v>35899</v>
      </c>
      <c r="H1997" s="16">
        <f>(OrderDetails[[#This Row],[UnitPrice]]*OrderDetails[[#This Row],[Quantity]])*(1-OrderDetails[[#This Row],[Discount]])</f>
        <v>1215</v>
      </c>
      <c r="I1997" s="15" t="str">
        <f>_xlfn.XLOOKUP(OrderDetails[[#This Row],[ProductID]],Product!A:A,Product!G:G,"Not Found")</f>
        <v>Confections</v>
      </c>
      <c r="J1997" s="15" t="str">
        <f>LOOKUP(MONTH(G1997),{1,4,7,10},{"Winter","Spring","Summer","Autumn"})</f>
        <v>Spring</v>
      </c>
      <c r="K1997" s="15" t="str">
        <f>_xlfn.XLOOKUP(OrderDetails[[#This Row],[ProductID]],Product!A:A,Product!B:B,"Not Found")</f>
        <v>Sir Rodney's Marmalade</v>
      </c>
    </row>
    <row r="1998" spans="1:11">
      <c r="A1998" s="1">
        <v>11021</v>
      </c>
      <c r="B1998" s="1">
        <v>26</v>
      </c>
      <c r="C1998" s="1">
        <v>31.23</v>
      </c>
      <c r="D1998" s="1">
        <v>63</v>
      </c>
      <c r="E1998" s="3">
        <v>0</v>
      </c>
      <c r="F1998" s="1" t="str">
        <f>_xlfn.XLOOKUP(A1998,Orders!A:A,Orders!B:B,"not found")</f>
        <v>QUICK</v>
      </c>
      <c r="G1998" s="13">
        <f>_xlfn.XLOOKUP(OrderDetails[[#This Row],[OrderID]],Orders!A:A,Orders!C:C,"Not Found")</f>
        <v>35899</v>
      </c>
      <c r="H1998" s="16">
        <f>(OrderDetails[[#This Row],[UnitPrice]]*OrderDetails[[#This Row],[Quantity]])*(1-OrderDetails[[#This Row],[Discount]])</f>
        <v>1967.49</v>
      </c>
      <c r="I1998" s="15" t="str">
        <f>_xlfn.XLOOKUP(OrderDetails[[#This Row],[ProductID]],Product!A:A,Product!G:G,"Not Found")</f>
        <v>Confections</v>
      </c>
      <c r="J1998" s="15" t="str">
        <f>LOOKUP(MONTH(G1998),{1,4,7,10},{"Winter","Spring","Summer","Autumn"})</f>
        <v>Spring</v>
      </c>
      <c r="K1998" s="15" t="str">
        <f>_xlfn.XLOOKUP(OrderDetails[[#This Row],[ProductID]],Product!A:A,Product!B:B,"Not Found")</f>
        <v>Gumbär Gummibärchen</v>
      </c>
    </row>
    <row r="1999" spans="1:11">
      <c r="A1999" s="2">
        <v>11021</v>
      </c>
      <c r="B1999" s="2">
        <v>51</v>
      </c>
      <c r="C1999" s="2">
        <v>53</v>
      </c>
      <c r="D1999" s="2">
        <v>44</v>
      </c>
      <c r="E1999" s="4">
        <v>0.25</v>
      </c>
      <c r="F1999" s="1" t="str">
        <f>_xlfn.XLOOKUP(A1999,Orders!A:A,Orders!B:B,"not found")</f>
        <v>QUICK</v>
      </c>
      <c r="G1999" s="13">
        <f>_xlfn.XLOOKUP(OrderDetails[[#This Row],[OrderID]],Orders!A:A,Orders!C:C,"Not Found")</f>
        <v>35899</v>
      </c>
      <c r="H1999" s="16">
        <f>(OrderDetails[[#This Row],[UnitPrice]]*OrderDetails[[#This Row],[Quantity]])*(1-OrderDetails[[#This Row],[Discount]])</f>
        <v>1749</v>
      </c>
      <c r="I1999" s="15" t="str">
        <f>_xlfn.XLOOKUP(OrderDetails[[#This Row],[ProductID]],Product!A:A,Product!G:G,"Not Found")</f>
        <v>Produce</v>
      </c>
      <c r="J1999" s="15" t="str">
        <f>LOOKUP(MONTH(G1999),{1,4,7,10},{"Winter","Spring","Summer","Autumn"})</f>
        <v>Spring</v>
      </c>
      <c r="K1999" s="15" t="str">
        <f>_xlfn.XLOOKUP(OrderDetails[[#This Row],[ProductID]],Product!A:A,Product!B:B,"Not Found")</f>
        <v>Manjimup Dried Apples</v>
      </c>
    </row>
    <row r="2000" spans="1:11">
      <c r="A2000" s="1">
        <v>11021</v>
      </c>
      <c r="B2000" s="1">
        <v>72</v>
      </c>
      <c r="C2000" s="1">
        <v>34.799999999999997</v>
      </c>
      <c r="D2000" s="1">
        <v>35</v>
      </c>
      <c r="E2000" s="3">
        <v>0</v>
      </c>
      <c r="F2000" s="1" t="str">
        <f>_xlfn.XLOOKUP(A2000,Orders!A:A,Orders!B:B,"not found")</f>
        <v>QUICK</v>
      </c>
      <c r="G2000" s="13">
        <f>_xlfn.XLOOKUP(OrderDetails[[#This Row],[OrderID]],Orders!A:A,Orders!C:C,"Not Found")</f>
        <v>35899</v>
      </c>
      <c r="H2000" s="16">
        <f>(OrderDetails[[#This Row],[UnitPrice]]*OrderDetails[[#This Row],[Quantity]])*(1-OrderDetails[[#This Row],[Discount]])</f>
        <v>1218</v>
      </c>
      <c r="I2000" s="15" t="str">
        <f>_xlfn.XLOOKUP(OrderDetails[[#This Row],[ProductID]],Product!A:A,Product!G:G,"Not Found")</f>
        <v>Dairy Products</v>
      </c>
      <c r="J2000" s="15" t="str">
        <f>LOOKUP(MONTH(G2000),{1,4,7,10},{"Winter","Spring","Summer","Autumn"})</f>
        <v>Spring</v>
      </c>
      <c r="K2000" s="15" t="str">
        <f>_xlfn.XLOOKUP(OrderDetails[[#This Row],[ProductID]],Product!A:A,Product!B:B,"Not Found")</f>
        <v>Mozzarella di Giovanni</v>
      </c>
    </row>
    <row r="2001" spans="1:11">
      <c r="A2001" s="2">
        <v>11022</v>
      </c>
      <c r="B2001" s="2">
        <v>19</v>
      </c>
      <c r="C2001" s="2">
        <v>9.1999999999999993</v>
      </c>
      <c r="D2001" s="2">
        <v>35</v>
      </c>
      <c r="E2001" s="4">
        <v>0</v>
      </c>
      <c r="F2001" s="1" t="str">
        <f>_xlfn.XLOOKUP(A2001,Orders!A:A,Orders!B:B,"not found")</f>
        <v>HANAR</v>
      </c>
      <c r="G2001" s="13">
        <f>_xlfn.XLOOKUP(OrderDetails[[#This Row],[OrderID]],Orders!A:A,Orders!C:C,"Not Found")</f>
        <v>35899</v>
      </c>
      <c r="H2001" s="16">
        <f>(OrderDetails[[#This Row],[UnitPrice]]*OrderDetails[[#This Row],[Quantity]])*(1-OrderDetails[[#This Row],[Discount]])</f>
        <v>322</v>
      </c>
      <c r="I2001" s="15" t="str">
        <f>_xlfn.XLOOKUP(OrderDetails[[#This Row],[ProductID]],Product!A:A,Product!G:G,"Not Found")</f>
        <v>Confections</v>
      </c>
      <c r="J2001" s="15" t="str">
        <f>LOOKUP(MONTH(G2001),{1,4,7,10},{"Winter","Spring","Summer","Autumn"})</f>
        <v>Spring</v>
      </c>
      <c r="K2001" s="15" t="str">
        <f>_xlfn.XLOOKUP(OrderDetails[[#This Row],[ProductID]],Product!A:A,Product!B:B,"Not Found")</f>
        <v>Teatime Chocolate Biscuits</v>
      </c>
    </row>
    <row r="2002" spans="1:11">
      <c r="A2002" s="1">
        <v>11022</v>
      </c>
      <c r="B2002" s="1">
        <v>69</v>
      </c>
      <c r="C2002" s="1">
        <v>36</v>
      </c>
      <c r="D2002" s="1">
        <v>30</v>
      </c>
      <c r="E2002" s="3">
        <v>0</v>
      </c>
      <c r="F2002" s="1" t="str">
        <f>_xlfn.XLOOKUP(A2002,Orders!A:A,Orders!B:B,"not found")</f>
        <v>HANAR</v>
      </c>
      <c r="G2002" s="13">
        <f>_xlfn.XLOOKUP(OrderDetails[[#This Row],[OrderID]],Orders!A:A,Orders!C:C,"Not Found")</f>
        <v>35899</v>
      </c>
      <c r="H2002" s="16">
        <f>(OrderDetails[[#This Row],[UnitPrice]]*OrderDetails[[#This Row],[Quantity]])*(1-OrderDetails[[#This Row],[Discount]])</f>
        <v>1080</v>
      </c>
      <c r="I2002" s="15" t="str">
        <f>_xlfn.XLOOKUP(OrderDetails[[#This Row],[ProductID]],Product!A:A,Product!G:G,"Not Found")</f>
        <v>Dairy Products</v>
      </c>
      <c r="J2002" s="15" t="str">
        <f>LOOKUP(MONTH(G2002),{1,4,7,10},{"Winter","Spring","Summer","Autumn"})</f>
        <v>Spring</v>
      </c>
      <c r="K2002" s="15" t="str">
        <f>_xlfn.XLOOKUP(OrderDetails[[#This Row],[ProductID]],Product!A:A,Product!B:B,"Not Found")</f>
        <v>Gudbrandsdalsost</v>
      </c>
    </row>
    <row r="2003" spans="1:11">
      <c r="A2003" s="2">
        <v>11023</v>
      </c>
      <c r="B2003" s="2">
        <v>7</v>
      </c>
      <c r="C2003" s="2">
        <v>30</v>
      </c>
      <c r="D2003" s="2">
        <v>4</v>
      </c>
      <c r="E2003" s="4">
        <v>0</v>
      </c>
      <c r="F2003" s="1" t="str">
        <f>_xlfn.XLOOKUP(A2003,Orders!A:A,Orders!B:B,"not found")</f>
        <v>BSBEV</v>
      </c>
      <c r="G2003" s="13">
        <f>_xlfn.XLOOKUP(OrderDetails[[#This Row],[OrderID]],Orders!A:A,Orders!C:C,"Not Found")</f>
        <v>35899</v>
      </c>
      <c r="H2003" s="16">
        <f>(OrderDetails[[#This Row],[UnitPrice]]*OrderDetails[[#This Row],[Quantity]])*(1-OrderDetails[[#This Row],[Discount]])</f>
        <v>120</v>
      </c>
      <c r="I2003" s="15" t="str">
        <f>_xlfn.XLOOKUP(OrderDetails[[#This Row],[ProductID]],Product!A:A,Product!G:G,"Not Found")</f>
        <v>Produce</v>
      </c>
      <c r="J2003" s="15" t="str">
        <f>LOOKUP(MONTH(G2003),{1,4,7,10},{"Winter","Spring","Summer","Autumn"})</f>
        <v>Spring</v>
      </c>
      <c r="K2003" s="15" t="str">
        <f>_xlfn.XLOOKUP(OrderDetails[[#This Row],[ProductID]],Product!A:A,Product!B:B,"Not Found")</f>
        <v>Uncle Bob's Organic Dried Pears</v>
      </c>
    </row>
    <row r="2004" spans="1:11">
      <c r="A2004" s="1">
        <v>11023</v>
      </c>
      <c r="B2004" s="1">
        <v>43</v>
      </c>
      <c r="C2004" s="1">
        <v>46</v>
      </c>
      <c r="D2004" s="1">
        <v>30</v>
      </c>
      <c r="E2004" s="3">
        <v>0</v>
      </c>
      <c r="F2004" s="1" t="str">
        <f>_xlfn.XLOOKUP(A2004,Orders!A:A,Orders!B:B,"not found")</f>
        <v>BSBEV</v>
      </c>
      <c r="G2004" s="13">
        <f>_xlfn.XLOOKUP(OrderDetails[[#This Row],[OrderID]],Orders!A:A,Orders!C:C,"Not Found")</f>
        <v>35899</v>
      </c>
      <c r="H2004" s="16">
        <f>(OrderDetails[[#This Row],[UnitPrice]]*OrderDetails[[#This Row],[Quantity]])*(1-OrderDetails[[#This Row],[Discount]])</f>
        <v>1380</v>
      </c>
      <c r="I2004" s="15" t="str">
        <f>_xlfn.XLOOKUP(OrderDetails[[#This Row],[ProductID]],Product!A:A,Product!G:G,"Not Found")</f>
        <v>Beverages</v>
      </c>
      <c r="J2004" s="15" t="str">
        <f>LOOKUP(MONTH(G2004),{1,4,7,10},{"Winter","Spring","Summer","Autumn"})</f>
        <v>Spring</v>
      </c>
      <c r="K2004" s="15" t="str">
        <f>_xlfn.XLOOKUP(OrderDetails[[#This Row],[ProductID]],Product!A:A,Product!B:B,"Not Found")</f>
        <v>Ipoh Coffee</v>
      </c>
    </row>
    <row r="2005" spans="1:11">
      <c r="A2005" s="2">
        <v>11024</v>
      </c>
      <c r="B2005" s="2">
        <v>26</v>
      </c>
      <c r="C2005" s="2">
        <v>31.23</v>
      </c>
      <c r="D2005" s="2">
        <v>12</v>
      </c>
      <c r="E2005" s="4">
        <v>0</v>
      </c>
      <c r="F2005" s="1" t="str">
        <f>_xlfn.XLOOKUP(A2005,Orders!A:A,Orders!B:B,"not found")</f>
        <v>EASTC</v>
      </c>
      <c r="G2005" s="13">
        <f>_xlfn.XLOOKUP(OrderDetails[[#This Row],[OrderID]],Orders!A:A,Orders!C:C,"Not Found")</f>
        <v>35900</v>
      </c>
      <c r="H2005" s="16">
        <f>(OrderDetails[[#This Row],[UnitPrice]]*OrderDetails[[#This Row],[Quantity]])*(1-OrderDetails[[#This Row],[Discount]])</f>
        <v>374.76</v>
      </c>
      <c r="I2005" s="15" t="str">
        <f>_xlfn.XLOOKUP(OrderDetails[[#This Row],[ProductID]],Product!A:A,Product!G:G,"Not Found")</f>
        <v>Confections</v>
      </c>
      <c r="J2005" s="15" t="str">
        <f>LOOKUP(MONTH(G2005),{1,4,7,10},{"Winter","Spring","Summer","Autumn"})</f>
        <v>Spring</v>
      </c>
      <c r="K2005" s="15" t="str">
        <f>_xlfn.XLOOKUP(OrderDetails[[#This Row],[ProductID]],Product!A:A,Product!B:B,"Not Found")</f>
        <v>Gumbär Gummibärchen</v>
      </c>
    </row>
    <row r="2006" spans="1:11">
      <c r="A2006" s="1">
        <v>11024</v>
      </c>
      <c r="B2006" s="1">
        <v>33</v>
      </c>
      <c r="C2006" s="1">
        <v>2.5</v>
      </c>
      <c r="D2006" s="1">
        <v>30</v>
      </c>
      <c r="E2006" s="3">
        <v>0</v>
      </c>
      <c r="F2006" s="1" t="str">
        <f>_xlfn.XLOOKUP(A2006,Orders!A:A,Orders!B:B,"not found")</f>
        <v>EASTC</v>
      </c>
      <c r="G2006" s="13">
        <f>_xlfn.XLOOKUP(OrderDetails[[#This Row],[OrderID]],Orders!A:A,Orders!C:C,"Not Found")</f>
        <v>35900</v>
      </c>
      <c r="H2006" s="16">
        <f>(OrderDetails[[#This Row],[UnitPrice]]*OrderDetails[[#This Row],[Quantity]])*(1-OrderDetails[[#This Row],[Discount]])</f>
        <v>75</v>
      </c>
      <c r="I2006" s="15" t="str">
        <f>_xlfn.XLOOKUP(OrderDetails[[#This Row],[ProductID]],Product!A:A,Product!G:G,"Not Found")</f>
        <v>Dairy Products</v>
      </c>
      <c r="J2006" s="15" t="str">
        <f>LOOKUP(MONTH(G2006),{1,4,7,10},{"Winter","Spring","Summer","Autumn"})</f>
        <v>Spring</v>
      </c>
      <c r="K2006" s="15" t="str">
        <f>_xlfn.XLOOKUP(OrderDetails[[#This Row],[ProductID]],Product!A:A,Product!B:B,"Not Found")</f>
        <v>Geitost</v>
      </c>
    </row>
    <row r="2007" spans="1:11">
      <c r="A2007" s="2">
        <v>11024</v>
      </c>
      <c r="B2007" s="2">
        <v>65</v>
      </c>
      <c r="C2007" s="2">
        <v>21.05</v>
      </c>
      <c r="D2007" s="2">
        <v>21</v>
      </c>
      <c r="E2007" s="4">
        <v>0</v>
      </c>
      <c r="F2007" s="1" t="str">
        <f>_xlfn.XLOOKUP(A2007,Orders!A:A,Orders!B:B,"not found")</f>
        <v>EASTC</v>
      </c>
      <c r="G2007" s="13">
        <f>_xlfn.XLOOKUP(OrderDetails[[#This Row],[OrderID]],Orders!A:A,Orders!C:C,"Not Found")</f>
        <v>35900</v>
      </c>
      <c r="H2007" s="16">
        <f>(OrderDetails[[#This Row],[UnitPrice]]*OrderDetails[[#This Row],[Quantity]])*(1-OrderDetails[[#This Row],[Discount]])</f>
        <v>442.05</v>
      </c>
      <c r="I2007" s="15" t="str">
        <f>_xlfn.XLOOKUP(OrderDetails[[#This Row],[ProductID]],Product!A:A,Product!G:G,"Not Found")</f>
        <v>Condiments</v>
      </c>
      <c r="J2007" s="15" t="str">
        <f>LOOKUP(MONTH(G2007),{1,4,7,10},{"Winter","Spring","Summer","Autumn"})</f>
        <v>Spring</v>
      </c>
      <c r="K2007" s="15" t="str">
        <f>_xlfn.XLOOKUP(OrderDetails[[#This Row],[ProductID]],Product!A:A,Product!B:B,"Not Found")</f>
        <v>Louisiana Fiery Hot Pepper Sauce</v>
      </c>
    </row>
    <row r="2008" spans="1:11">
      <c r="A2008" s="1">
        <v>11024</v>
      </c>
      <c r="B2008" s="1">
        <v>71</v>
      </c>
      <c r="C2008" s="1">
        <v>21.5</v>
      </c>
      <c r="D2008" s="1">
        <v>50</v>
      </c>
      <c r="E2008" s="3">
        <v>0</v>
      </c>
      <c r="F2008" s="1" t="str">
        <f>_xlfn.XLOOKUP(A2008,Orders!A:A,Orders!B:B,"not found")</f>
        <v>EASTC</v>
      </c>
      <c r="G2008" s="13">
        <f>_xlfn.XLOOKUP(OrderDetails[[#This Row],[OrderID]],Orders!A:A,Orders!C:C,"Not Found")</f>
        <v>35900</v>
      </c>
      <c r="H2008" s="16">
        <f>(OrderDetails[[#This Row],[UnitPrice]]*OrderDetails[[#This Row],[Quantity]])*(1-OrderDetails[[#This Row],[Discount]])</f>
        <v>1075</v>
      </c>
      <c r="I2008" s="15" t="str">
        <f>_xlfn.XLOOKUP(OrderDetails[[#This Row],[ProductID]],Product!A:A,Product!G:G,"Not Found")</f>
        <v>Dairy Products</v>
      </c>
      <c r="J2008" s="15" t="str">
        <f>LOOKUP(MONTH(G2008),{1,4,7,10},{"Winter","Spring","Summer","Autumn"})</f>
        <v>Spring</v>
      </c>
      <c r="K2008" s="15" t="str">
        <f>_xlfn.XLOOKUP(OrderDetails[[#This Row],[ProductID]],Product!A:A,Product!B:B,"Not Found")</f>
        <v>Flotemysost</v>
      </c>
    </row>
    <row r="2009" spans="1:11">
      <c r="A2009" s="2">
        <v>11025</v>
      </c>
      <c r="B2009" s="2">
        <v>1</v>
      </c>
      <c r="C2009" s="2">
        <v>18</v>
      </c>
      <c r="D2009" s="2">
        <v>10</v>
      </c>
      <c r="E2009" s="4">
        <v>0.10000000149011612</v>
      </c>
      <c r="F2009" s="1" t="str">
        <f>_xlfn.XLOOKUP(A2009,Orders!A:A,Orders!B:B,"not found")</f>
        <v>WARTH</v>
      </c>
      <c r="G2009" s="13">
        <f>_xlfn.XLOOKUP(OrderDetails[[#This Row],[OrderID]],Orders!A:A,Orders!C:C,"Not Found")</f>
        <v>35900</v>
      </c>
      <c r="H2009" s="16">
        <f>(OrderDetails[[#This Row],[UnitPrice]]*OrderDetails[[#This Row],[Quantity]])*(1-OrderDetails[[#This Row],[Discount]])</f>
        <v>161.9999997317791</v>
      </c>
      <c r="I2009" s="15" t="str">
        <f>_xlfn.XLOOKUP(OrderDetails[[#This Row],[ProductID]],Product!A:A,Product!G:G,"Not Found")</f>
        <v>Beverages</v>
      </c>
      <c r="J2009" s="15" t="str">
        <f>LOOKUP(MONTH(G2009),{1,4,7,10},{"Winter","Spring","Summer","Autumn"})</f>
        <v>Spring</v>
      </c>
      <c r="K2009" s="15" t="str">
        <f>_xlfn.XLOOKUP(OrderDetails[[#This Row],[ProductID]],Product!A:A,Product!B:B,"Not Found")</f>
        <v>Chai</v>
      </c>
    </row>
    <row r="2010" spans="1:11">
      <c r="A2010" s="1">
        <v>11025</v>
      </c>
      <c r="B2010" s="1">
        <v>13</v>
      </c>
      <c r="C2010" s="1">
        <v>6</v>
      </c>
      <c r="D2010" s="1">
        <v>20</v>
      </c>
      <c r="E2010" s="3">
        <v>0.10000000149011612</v>
      </c>
      <c r="F2010" s="1" t="str">
        <f>_xlfn.XLOOKUP(A2010,Orders!A:A,Orders!B:B,"not found")</f>
        <v>WARTH</v>
      </c>
      <c r="G2010" s="13">
        <f>_xlfn.XLOOKUP(OrderDetails[[#This Row],[OrderID]],Orders!A:A,Orders!C:C,"Not Found")</f>
        <v>35900</v>
      </c>
      <c r="H2010" s="16">
        <f>(OrderDetails[[#This Row],[UnitPrice]]*OrderDetails[[#This Row],[Quantity]])*(1-OrderDetails[[#This Row],[Discount]])</f>
        <v>107.99999982118607</v>
      </c>
      <c r="I2010" s="15" t="str">
        <f>_xlfn.XLOOKUP(OrderDetails[[#This Row],[ProductID]],Product!A:A,Product!G:G,"Not Found")</f>
        <v>Seafood</v>
      </c>
      <c r="J2010" s="15" t="str">
        <f>LOOKUP(MONTH(G2010),{1,4,7,10},{"Winter","Spring","Summer","Autumn"})</f>
        <v>Spring</v>
      </c>
      <c r="K2010" s="15" t="str">
        <f>_xlfn.XLOOKUP(OrderDetails[[#This Row],[ProductID]],Product!A:A,Product!B:B,"Not Found")</f>
        <v>Konbu</v>
      </c>
    </row>
    <row r="2011" spans="1:11">
      <c r="A2011" s="2">
        <v>11026</v>
      </c>
      <c r="B2011" s="2">
        <v>18</v>
      </c>
      <c r="C2011" s="2">
        <v>62.5</v>
      </c>
      <c r="D2011" s="2">
        <v>8</v>
      </c>
      <c r="E2011" s="4">
        <v>0</v>
      </c>
      <c r="F2011" s="1" t="str">
        <f>_xlfn.XLOOKUP(A2011,Orders!A:A,Orders!B:B,"not found")</f>
        <v>FRANS</v>
      </c>
      <c r="G2011" s="13">
        <f>_xlfn.XLOOKUP(OrderDetails[[#This Row],[OrderID]],Orders!A:A,Orders!C:C,"Not Found")</f>
        <v>35900</v>
      </c>
      <c r="H2011" s="16">
        <f>(OrderDetails[[#This Row],[UnitPrice]]*OrderDetails[[#This Row],[Quantity]])*(1-OrderDetails[[#This Row],[Discount]])</f>
        <v>500</v>
      </c>
      <c r="I2011" s="15" t="str">
        <f>_xlfn.XLOOKUP(OrderDetails[[#This Row],[ProductID]],Product!A:A,Product!G:G,"Not Found")</f>
        <v>Seafood</v>
      </c>
      <c r="J2011" s="15" t="str">
        <f>LOOKUP(MONTH(G2011),{1,4,7,10},{"Winter","Spring","Summer","Autumn"})</f>
        <v>Spring</v>
      </c>
      <c r="K2011" s="15" t="str">
        <f>_xlfn.XLOOKUP(OrderDetails[[#This Row],[ProductID]],Product!A:A,Product!B:B,"Not Found")</f>
        <v>Carnarvon Tigers</v>
      </c>
    </row>
    <row r="2012" spans="1:11">
      <c r="A2012" s="1">
        <v>11026</v>
      </c>
      <c r="B2012" s="1">
        <v>51</v>
      </c>
      <c r="C2012" s="1">
        <v>53</v>
      </c>
      <c r="D2012" s="1">
        <v>10</v>
      </c>
      <c r="E2012" s="3">
        <v>0</v>
      </c>
      <c r="F2012" s="1" t="str">
        <f>_xlfn.XLOOKUP(A2012,Orders!A:A,Orders!B:B,"not found")</f>
        <v>FRANS</v>
      </c>
      <c r="G2012" s="13">
        <f>_xlfn.XLOOKUP(OrderDetails[[#This Row],[OrderID]],Orders!A:A,Orders!C:C,"Not Found")</f>
        <v>35900</v>
      </c>
      <c r="H2012" s="16">
        <f>(OrderDetails[[#This Row],[UnitPrice]]*OrderDetails[[#This Row],[Quantity]])*(1-OrderDetails[[#This Row],[Discount]])</f>
        <v>530</v>
      </c>
      <c r="I2012" s="15" t="str">
        <f>_xlfn.XLOOKUP(OrderDetails[[#This Row],[ProductID]],Product!A:A,Product!G:G,"Not Found")</f>
        <v>Produce</v>
      </c>
      <c r="J2012" s="15" t="str">
        <f>LOOKUP(MONTH(G2012),{1,4,7,10},{"Winter","Spring","Summer","Autumn"})</f>
        <v>Spring</v>
      </c>
      <c r="K2012" s="15" t="str">
        <f>_xlfn.XLOOKUP(OrderDetails[[#This Row],[ProductID]],Product!A:A,Product!B:B,"Not Found")</f>
        <v>Manjimup Dried Apples</v>
      </c>
    </row>
    <row r="2013" spans="1:11">
      <c r="A2013" s="2">
        <v>11027</v>
      </c>
      <c r="B2013" s="2">
        <v>24</v>
      </c>
      <c r="C2013" s="2">
        <v>4.5</v>
      </c>
      <c r="D2013" s="2">
        <v>30</v>
      </c>
      <c r="E2013" s="4">
        <v>0.25</v>
      </c>
      <c r="F2013" s="1" t="str">
        <f>_xlfn.XLOOKUP(A2013,Orders!A:A,Orders!B:B,"not found")</f>
        <v>BOTTM</v>
      </c>
      <c r="G2013" s="13">
        <f>_xlfn.XLOOKUP(OrderDetails[[#This Row],[OrderID]],Orders!A:A,Orders!C:C,"Not Found")</f>
        <v>35901</v>
      </c>
      <c r="H2013" s="16">
        <f>(OrderDetails[[#This Row],[UnitPrice]]*OrderDetails[[#This Row],[Quantity]])*(1-OrderDetails[[#This Row],[Discount]])</f>
        <v>101.25</v>
      </c>
      <c r="I2013" s="15" t="str">
        <f>_xlfn.XLOOKUP(OrderDetails[[#This Row],[ProductID]],Product!A:A,Product!G:G,"Not Found")</f>
        <v>Beverages</v>
      </c>
      <c r="J2013" s="15" t="str">
        <f>LOOKUP(MONTH(G2013),{1,4,7,10},{"Winter","Spring","Summer","Autumn"})</f>
        <v>Spring</v>
      </c>
      <c r="K2013" s="15" t="str">
        <f>_xlfn.XLOOKUP(OrderDetails[[#This Row],[ProductID]],Product!A:A,Product!B:B,"Not Found")</f>
        <v>Guaraná Fantástica</v>
      </c>
    </row>
    <row r="2014" spans="1:11">
      <c r="A2014" s="1">
        <v>11027</v>
      </c>
      <c r="B2014" s="1">
        <v>62</v>
      </c>
      <c r="C2014" s="1">
        <v>49.3</v>
      </c>
      <c r="D2014" s="1">
        <v>21</v>
      </c>
      <c r="E2014" s="3">
        <v>0.25</v>
      </c>
      <c r="F2014" s="1" t="str">
        <f>_xlfn.XLOOKUP(A2014,Orders!A:A,Orders!B:B,"not found")</f>
        <v>BOTTM</v>
      </c>
      <c r="G2014" s="13">
        <f>_xlfn.XLOOKUP(OrderDetails[[#This Row],[OrderID]],Orders!A:A,Orders!C:C,"Not Found")</f>
        <v>35901</v>
      </c>
      <c r="H2014" s="16">
        <f>(OrderDetails[[#This Row],[UnitPrice]]*OrderDetails[[#This Row],[Quantity]])*(1-OrderDetails[[#This Row],[Discount]])</f>
        <v>776.47499999999991</v>
      </c>
      <c r="I2014" s="15" t="str">
        <f>_xlfn.XLOOKUP(OrderDetails[[#This Row],[ProductID]],Product!A:A,Product!G:G,"Not Found")</f>
        <v>Confections</v>
      </c>
      <c r="J2014" s="15" t="str">
        <f>LOOKUP(MONTH(G2014),{1,4,7,10},{"Winter","Spring","Summer","Autumn"})</f>
        <v>Spring</v>
      </c>
      <c r="K2014" s="15" t="str">
        <f>_xlfn.XLOOKUP(OrderDetails[[#This Row],[ProductID]],Product!A:A,Product!B:B,"Not Found")</f>
        <v>Tarte au sucre</v>
      </c>
    </row>
    <row r="2015" spans="1:11">
      <c r="A2015" s="2">
        <v>11028</v>
      </c>
      <c r="B2015" s="2">
        <v>55</v>
      </c>
      <c r="C2015" s="2">
        <v>24</v>
      </c>
      <c r="D2015" s="2">
        <v>35</v>
      </c>
      <c r="E2015" s="4">
        <v>0</v>
      </c>
      <c r="F2015" s="1" t="str">
        <f>_xlfn.XLOOKUP(A2015,Orders!A:A,Orders!B:B,"not found")</f>
        <v>KOENE</v>
      </c>
      <c r="G2015" s="13">
        <f>_xlfn.XLOOKUP(OrderDetails[[#This Row],[OrderID]],Orders!A:A,Orders!C:C,"Not Found")</f>
        <v>35901</v>
      </c>
      <c r="H2015" s="16">
        <f>(OrderDetails[[#This Row],[UnitPrice]]*OrderDetails[[#This Row],[Quantity]])*(1-OrderDetails[[#This Row],[Discount]])</f>
        <v>840</v>
      </c>
      <c r="I2015" s="15" t="str">
        <f>_xlfn.XLOOKUP(OrderDetails[[#This Row],[ProductID]],Product!A:A,Product!G:G,"Not Found")</f>
        <v>Meat/Poultry</v>
      </c>
      <c r="J2015" s="15" t="str">
        <f>LOOKUP(MONTH(G2015),{1,4,7,10},{"Winter","Spring","Summer","Autumn"})</f>
        <v>Spring</v>
      </c>
      <c r="K2015" s="15" t="str">
        <f>_xlfn.XLOOKUP(OrderDetails[[#This Row],[ProductID]],Product!A:A,Product!B:B,"Not Found")</f>
        <v>Pâté chinois</v>
      </c>
    </row>
    <row r="2016" spans="1:11">
      <c r="A2016" s="1">
        <v>11028</v>
      </c>
      <c r="B2016" s="1">
        <v>59</v>
      </c>
      <c r="C2016" s="1">
        <v>55</v>
      </c>
      <c r="D2016" s="1">
        <v>24</v>
      </c>
      <c r="E2016" s="3">
        <v>0</v>
      </c>
      <c r="F2016" s="1" t="str">
        <f>_xlfn.XLOOKUP(A2016,Orders!A:A,Orders!B:B,"not found")</f>
        <v>KOENE</v>
      </c>
      <c r="G2016" s="13">
        <f>_xlfn.XLOOKUP(OrderDetails[[#This Row],[OrderID]],Orders!A:A,Orders!C:C,"Not Found")</f>
        <v>35901</v>
      </c>
      <c r="H2016" s="16">
        <f>(OrderDetails[[#This Row],[UnitPrice]]*OrderDetails[[#This Row],[Quantity]])*(1-OrderDetails[[#This Row],[Discount]])</f>
        <v>1320</v>
      </c>
      <c r="I2016" s="15" t="str">
        <f>_xlfn.XLOOKUP(OrderDetails[[#This Row],[ProductID]],Product!A:A,Product!G:G,"Not Found")</f>
        <v>Dairy Products</v>
      </c>
      <c r="J2016" s="15" t="str">
        <f>LOOKUP(MONTH(G2016),{1,4,7,10},{"Winter","Spring","Summer","Autumn"})</f>
        <v>Spring</v>
      </c>
      <c r="K2016" s="15" t="str">
        <f>_xlfn.XLOOKUP(OrderDetails[[#This Row],[ProductID]],Product!A:A,Product!B:B,"Not Found")</f>
        <v>Raclette Courdavault</v>
      </c>
    </row>
    <row r="2017" spans="1:11">
      <c r="A2017" s="2">
        <v>11029</v>
      </c>
      <c r="B2017" s="2">
        <v>56</v>
      </c>
      <c r="C2017" s="2">
        <v>38</v>
      </c>
      <c r="D2017" s="2">
        <v>20</v>
      </c>
      <c r="E2017" s="4">
        <v>0</v>
      </c>
      <c r="F2017" s="1" t="str">
        <f>_xlfn.XLOOKUP(A2017,Orders!A:A,Orders!B:B,"not found")</f>
        <v>CHOPS</v>
      </c>
      <c r="G2017" s="13">
        <f>_xlfn.XLOOKUP(OrderDetails[[#This Row],[OrderID]],Orders!A:A,Orders!C:C,"Not Found")</f>
        <v>35901</v>
      </c>
      <c r="H2017" s="16">
        <f>(OrderDetails[[#This Row],[UnitPrice]]*OrderDetails[[#This Row],[Quantity]])*(1-OrderDetails[[#This Row],[Discount]])</f>
        <v>760</v>
      </c>
      <c r="I2017" s="15" t="str">
        <f>_xlfn.XLOOKUP(OrderDetails[[#This Row],[ProductID]],Product!A:A,Product!G:G,"Not Found")</f>
        <v>Grains/Cereals</v>
      </c>
      <c r="J2017" s="15" t="str">
        <f>LOOKUP(MONTH(G2017),{1,4,7,10},{"Winter","Spring","Summer","Autumn"})</f>
        <v>Spring</v>
      </c>
      <c r="K2017" s="15" t="str">
        <f>_xlfn.XLOOKUP(OrderDetails[[#This Row],[ProductID]],Product!A:A,Product!B:B,"Not Found")</f>
        <v>Gnocchi di nonna Alice</v>
      </c>
    </row>
    <row r="2018" spans="1:11">
      <c r="A2018" s="1">
        <v>11029</v>
      </c>
      <c r="B2018" s="1">
        <v>63</v>
      </c>
      <c r="C2018" s="1">
        <v>43.9</v>
      </c>
      <c r="D2018" s="1">
        <v>12</v>
      </c>
      <c r="E2018" s="3">
        <v>0</v>
      </c>
      <c r="F2018" s="1" t="str">
        <f>_xlfn.XLOOKUP(A2018,Orders!A:A,Orders!B:B,"not found")</f>
        <v>CHOPS</v>
      </c>
      <c r="G2018" s="13">
        <f>_xlfn.XLOOKUP(OrderDetails[[#This Row],[OrderID]],Orders!A:A,Orders!C:C,"Not Found")</f>
        <v>35901</v>
      </c>
      <c r="H2018" s="16">
        <f>(OrderDetails[[#This Row],[UnitPrice]]*OrderDetails[[#This Row],[Quantity]])*(1-OrderDetails[[#This Row],[Discount]])</f>
        <v>526.79999999999995</v>
      </c>
      <c r="I2018" s="15" t="str">
        <f>_xlfn.XLOOKUP(OrderDetails[[#This Row],[ProductID]],Product!A:A,Product!G:G,"Not Found")</f>
        <v>Condiments</v>
      </c>
      <c r="J2018" s="15" t="str">
        <f>LOOKUP(MONTH(G2018),{1,4,7,10},{"Winter","Spring","Summer","Autumn"})</f>
        <v>Spring</v>
      </c>
      <c r="K2018" s="15" t="str">
        <f>_xlfn.XLOOKUP(OrderDetails[[#This Row],[ProductID]],Product!A:A,Product!B:B,"Not Found")</f>
        <v>Vegie-spread</v>
      </c>
    </row>
    <row r="2019" spans="1:11">
      <c r="A2019" s="2">
        <v>11030</v>
      </c>
      <c r="B2019" s="2">
        <v>2</v>
      </c>
      <c r="C2019" s="2">
        <v>19</v>
      </c>
      <c r="D2019" s="2">
        <v>100</v>
      </c>
      <c r="E2019" s="4">
        <v>0.25</v>
      </c>
      <c r="F2019" s="1" t="str">
        <f>_xlfn.XLOOKUP(A2019,Orders!A:A,Orders!B:B,"not found")</f>
        <v>SAVEA</v>
      </c>
      <c r="G2019" s="13">
        <f>_xlfn.XLOOKUP(OrderDetails[[#This Row],[OrderID]],Orders!A:A,Orders!C:C,"Not Found")</f>
        <v>35902</v>
      </c>
      <c r="H2019" s="16">
        <f>(OrderDetails[[#This Row],[UnitPrice]]*OrderDetails[[#This Row],[Quantity]])*(1-OrderDetails[[#This Row],[Discount]])</f>
        <v>1425</v>
      </c>
      <c r="I2019" s="15" t="str">
        <f>_xlfn.XLOOKUP(OrderDetails[[#This Row],[ProductID]],Product!A:A,Product!G:G,"Not Found")</f>
        <v>Beverages</v>
      </c>
      <c r="J2019" s="15" t="str">
        <f>LOOKUP(MONTH(G2019),{1,4,7,10},{"Winter","Spring","Summer","Autumn"})</f>
        <v>Spring</v>
      </c>
      <c r="K2019" s="15" t="str">
        <f>_xlfn.XLOOKUP(OrderDetails[[#This Row],[ProductID]],Product!A:A,Product!B:B,"Not Found")</f>
        <v>Chang</v>
      </c>
    </row>
    <row r="2020" spans="1:11">
      <c r="A2020" s="1">
        <v>11030</v>
      </c>
      <c r="B2020" s="1">
        <v>5</v>
      </c>
      <c r="C2020" s="1">
        <v>21.35</v>
      </c>
      <c r="D2020" s="1">
        <v>70</v>
      </c>
      <c r="E2020" s="3">
        <v>0</v>
      </c>
      <c r="F2020" s="1" t="str">
        <f>_xlfn.XLOOKUP(A2020,Orders!A:A,Orders!B:B,"not found")</f>
        <v>SAVEA</v>
      </c>
      <c r="G2020" s="13">
        <f>_xlfn.XLOOKUP(OrderDetails[[#This Row],[OrderID]],Orders!A:A,Orders!C:C,"Not Found")</f>
        <v>35902</v>
      </c>
      <c r="H2020" s="16">
        <f>(OrderDetails[[#This Row],[UnitPrice]]*OrderDetails[[#This Row],[Quantity]])*(1-OrderDetails[[#This Row],[Discount]])</f>
        <v>1494.5</v>
      </c>
      <c r="I2020" s="15" t="str">
        <f>_xlfn.XLOOKUP(OrderDetails[[#This Row],[ProductID]],Product!A:A,Product!G:G,"Not Found")</f>
        <v>Condiments</v>
      </c>
      <c r="J2020" s="15" t="str">
        <f>LOOKUP(MONTH(G2020),{1,4,7,10},{"Winter","Spring","Summer","Autumn"})</f>
        <v>Spring</v>
      </c>
      <c r="K2020" s="15" t="str">
        <f>_xlfn.XLOOKUP(OrderDetails[[#This Row],[ProductID]],Product!A:A,Product!B:B,"Not Found")</f>
        <v>Chef Anton's Gumbo Mix</v>
      </c>
    </row>
    <row r="2021" spans="1:11">
      <c r="A2021" s="2">
        <v>11030</v>
      </c>
      <c r="B2021" s="2">
        <v>29</v>
      </c>
      <c r="C2021" s="2">
        <v>123.79</v>
      </c>
      <c r="D2021" s="2">
        <v>60</v>
      </c>
      <c r="E2021" s="4">
        <v>0.25</v>
      </c>
      <c r="F2021" s="1" t="str">
        <f>_xlfn.XLOOKUP(A2021,Orders!A:A,Orders!B:B,"not found")</f>
        <v>SAVEA</v>
      </c>
      <c r="G2021" s="13">
        <f>_xlfn.XLOOKUP(OrderDetails[[#This Row],[OrderID]],Orders!A:A,Orders!C:C,"Not Found")</f>
        <v>35902</v>
      </c>
      <c r="H2021" s="16">
        <f>(OrderDetails[[#This Row],[UnitPrice]]*OrderDetails[[#This Row],[Quantity]])*(1-OrderDetails[[#This Row],[Discount]])</f>
        <v>5570.55</v>
      </c>
      <c r="I2021" s="15" t="str">
        <f>_xlfn.XLOOKUP(OrderDetails[[#This Row],[ProductID]],Product!A:A,Product!G:G,"Not Found")</f>
        <v>Meat/Poultry</v>
      </c>
      <c r="J2021" s="15" t="str">
        <f>LOOKUP(MONTH(G2021),{1,4,7,10},{"Winter","Spring","Summer","Autumn"})</f>
        <v>Spring</v>
      </c>
      <c r="K2021" s="15" t="str">
        <f>_xlfn.XLOOKUP(OrderDetails[[#This Row],[ProductID]],Product!A:A,Product!B:B,"Not Found")</f>
        <v>Thüringer Rostbratwurst</v>
      </c>
    </row>
    <row r="2022" spans="1:11">
      <c r="A2022" s="1">
        <v>11030</v>
      </c>
      <c r="B2022" s="1">
        <v>59</v>
      </c>
      <c r="C2022" s="1">
        <v>55</v>
      </c>
      <c r="D2022" s="1">
        <v>100</v>
      </c>
      <c r="E2022" s="3">
        <v>0.25</v>
      </c>
      <c r="F2022" s="1" t="str">
        <f>_xlfn.XLOOKUP(A2022,Orders!A:A,Orders!B:B,"not found")</f>
        <v>SAVEA</v>
      </c>
      <c r="G2022" s="13">
        <f>_xlfn.XLOOKUP(OrderDetails[[#This Row],[OrderID]],Orders!A:A,Orders!C:C,"Not Found")</f>
        <v>35902</v>
      </c>
      <c r="H2022" s="16">
        <f>(OrderDetails[[#This Row],[UnitPrice]]*OrderDetails[[#This Row],[Quantity]])*(1-OrderDetails[[#This Row],[Discount]])</f>
        <v>4125</v>
      </c>
      <c r="I2022" s="15" t="str">
        <f>_xlfn.XLOOKUP(OrderDetails[[#This Row],[ProductID]],Product!A:A,Product!G:G,"Not Found")</f>
        <v>Dairy Products</v>
      </c>
      <c r="J2022" s="15" t="str">
        <f>LOOKUP(MONTH(G2022),{1,4,7,10},{"Winter","Spring","Summer","Autumn"})</f>
        <v>Spring</v>
      </c>
      <c r="K2022" s="15" t="str">
        <f>_xlfn.XLOOKUP(OrderDetails[[#This Row],[ProductID]],Product!A:A,Product!B:B,"Not Found")</f>
        <v>Raclette Courdavault</v>
      </c>
    </row>
    <row r="2023" spans="1:11">
      <c r="A2023" s="2">
        <v>11031</v>
      </c>
      <c r="B2023" s="2">
        <v>1</v>
      </c>
      <c r="C2023" s="2">
        <v>18</v>
      </c>
      <c r="D2023" s="2">
        <v>45</v>
      </c>
      <c r="E2023" s="4">
        <v>0</v>
      </c>
      <c r="F2023" s="1" t="str">
        <f>_xlfn.XLOOKUP(A2023,Orders!A:A,Orders!B:B,"not found")</f>
        <v>SAVEA</v>
      </c>
      <c r="G2023" s="13">
        <f>_xlfn.XLOOKUP(OrderDetails[[#This Row],[OrderID]],Orders!A:A,Orders!C:C,"Not Found")</f>
        <v>35902</v>
      </c>
      <c r="H2023" s="16">
        <f>(OrderDetails[[#This Row],[UnitPrice]]*OrderDetails[[#This Row],[Quantity]])*(1-OrderDetails[[#This Row],[Discount]])</f>
        <v>810</v>
      </c>
      <c r="I2023" s="15" t="str">
        <f>_xlfn.XLOOKUP(OrderDetails[[#This Row],[ProductID]],Product!A:A,Product!G:G,"Not Found")</f>
        <v>Beverages</v>
      </c>
      <c r="J2023" s="15" t="str">
        <f>LOOKUP(MONTH(G2023),{1,4,7,10},{"Winter","Spring","Summer","Autumn"})</f>
        <v>Spring</v>
      </c>
      <c r="K2023" s="15" t="str">
        <f>_xlfn.XLOOKUP(OrderDetails[[#This Row],[ProductID]],Product!A:A,Product!B:B,"Not Found")</f>
        <v>Chai</v>
      </c>
    </row>
    <row r="2024" spans="1:11">
      <c r="A2024" s="1">
        <v>11031</v>
      </c>
      <c r="B2024" s="1">
        <v>13</v>
      </c>
      <c r="C2024" s="1">
        <v>6</v>
      </c>
      <c r="D2024" s="1">
        <v>80</v>
      </c>
      <c r="E2024" s="3">
        <v>0</v>
      </c>
      <c r="F2024" s="1" t="str">
        <f>_xlfn.XLOOKUP(A2024,Orders!A:A,Orders!B:B,"not found")</f>
        <v>SAVEA</v>
      </c>
      <c r="G2024" s="13">
        <f>_xlfn.XLOOKUP(OrderDetails[[#This Row],[OrderID]],Orders!A:A,Orders!C:C,"Not Found")</f>
        <v>35902</v>
      </c>
      <c r="H2024" s="16">
        <f>(OrderDetails[[#This Row],[UnitPrice]]*OrderDetails[[#This Row],[Quantity]])*(1-OrderDetails[[#This Row],[Discount]])</f>
        <v>480</v>
      </c>
      <c r="I2024" s="15" t="str">
        <f>_xlfn.XLOOKUP(OrderDetails[[#This Row],[ProductID]],Product!A:A,Product!G:G,"Not Found")</f>
        <v>Seafood</v>
      </c>
      <c r="J2024" s="15" t="str">
        <f>LOOKUP(MONTH(G2024),{1,4,7,10},{"Winter","Spring","Summer","Autumn"})</f>
        <v>Spring</v>
      </c>
      <c r="K2024" s="15" t="str">
        <f>_xlfn.XLOOKUP(OrderDetails[[#This Row],[ProductID]],Product!A:A,Product!B:B,"Not Found")</f>
        <v>Konbu</v>
      </c>
    </row>
    <row r="2025" spans="1:11">
      <c r="A2025" s="2">
        <v>11031</v>
      </c>
      <c r="B2025" s="2">
        <v>24</v>
      </c>
      <c r="C2025" s="2">
        <v>4.5</v>
      </c>
      <c r="D2025" s="2">
        <v>21</v>
      </c>
      <c r="E2025" s="4">
        <v>0</v>
      </c>
      <c r="F2025" s="1" t="str">
        <f>_xlfn.XLOOKUP(A2025,Orders!A:A,Orders!B:B,"not found")</f>
        <v>SAVEA</v>
      </c>
      <c r="G2025" s="13">
        <f>_xlfn.XLOOKUP(OrderDetails[[#This Row],[OrderID]],Orders!A:A,Orders!C:C,"Not Found")</f>
        <v>35902</v>
      </c>
      <c r="H2025" s="16">
        <f>(OrderDetails[[#This Row],[UnitPrice]]*OrderDetails[[#This Row],[Quantity]])*(1-OrderDetails[[#This Row],[Discount]])</f>
        <v>94.5</v>
      </c>
      <c r="I2025" s="15" t="str">
        <f>_xlfn.XLOOKUP(OrderDetails[[#This Row],[ProductID]],Product!A:A,Product!G:G,"Not Found")</f>
        <v>Beverages</v>
      </c>
      <c r="J2025" s="15" t="str">
        <f>LOOKUP(MONTH(G2025),{1,4,7,10},{"Winter","Spring","Summer","Autumn"})</f>
        <v>Spring</v>
      </c>
      <c r="K2025" s="15" t="str">
        <f>_xlfn.XLOOKUP(OrderDetails[[#This Row],[ProductID]],Product!A:A,Product!B:B,"Not Found")</f>
        <v>Guaraná Fantástica</v>
      </c>
    </row>
    <row r="2026" spans="1:11">
      <c r="A2026" s="1">
        <v>11031</v>
      </c>
      <c r="B2026" s="1">
        <v>64</v>
      </c>
      <c r="C2026" s="1">
        <v>33.25</v>
      </c>
      <c r="D2026" s="1">
        <v>20</v>
      </c>
      <c r="E2026" s="3">
        <v>0</v>
      </c>
      <c r="F2026" s="1" t="str">
        <f>_xlfn.XLOOKUP(A2026,Orders!A:A,Orders!B:B,"not found")</f>
        <v>SAVEA</v>
      </c>
      <c r="G2026" s="13">
        <f>_xlfn.XLOOKUP(OrderDetails[[#This Row],[OrderID]],Orders!A:A,Orders!C:C,"Not Found")</f>
        <v>35902</v>
      </c>
      <c r="H2026" s="16">
        <f>(OrderDetails[[#This Row],[UnitPrice]]*OrderDetails[[#This Row],[Quantity]])*(1-OrderDetails[[#This Row],[Discount]])</f>
        <v>665</v>
      </c>
      <c r="I2026" s="15" t="str">
        <f>_xlfn.XLOOKUP(OrderDetails[[#This Row],[ProductID]],Product!A:A,Product!G:G,"Not Found")</f>
        <v>Grains/Cereals</v>
      </c>
      <c r="J2026" s="15" t="str">
        <f>LOOKUP(MONTH(G2026),{1,4,7,10},{"Winter","Spring","Summer","Autumn"})</f>
        <v>Spring</v>
      </c>
      <c r="K2026" s="15" t="str">
        <f>_xlfn.XLOOKUP(OrderDetails[[#This Row],[ProductID]],Product!A:A,Product!B:B,"Not Found")</f>
        <v>Wimmers gute Semmelknödel</v>
      </c>
    </row>
    <row r="2027" spans="1:11">
      <c r="A2027" s="2">
        <v>11031</v>
      </c>
      <c r="B2027" s="2">
        <v>71</v>
      </c>
      <c r="C2027" s="2">
        <v>21.5</v>
      </c>
      <c r="D2027" s="2">
        <v>16</v>
      </c>
      <c r="E2027" s="4">
        <v>0</v>
      </c>
      <c r="F2027" s="1" t="str">
        <f>_xlfn.XLOOKUP(A2027,Orders!A:A,Orders!B:B,"not found")</f>
        <v>SAVEA</v>
      </c>
      <c r="G2027" s="13">
        <f>_xlfn.XLOOKUP(OrderDetails[[#This Row],[OrderID]],Orders!A:A,Orders!C:C,"Not Found")</f>
        <v>35902</v>
      </c>
      <c r="H2027" s="16">
        <f>(OrderDetails[[#This Row],[UnitPrice]]*OrderDetails[[#This Row],[Quantity]])*(1-OrderDetails[[#This Row],[Discount]])</f>
        <v>344</v>
      </c>
      <c r="I2027" s="15" t="str">
        <f>_xlfn.XLOOKUP(OrderDetails[[#This Row],[ProductID]],Product!A:A,Product!G:G,"Not Found")</f>
        <v>Dairy Products</v>
      </c>
      <c r="J2027" s="15" t="str">
        <f>LOOKUP(MONTH(G2027),{1,4,7,10},{"Winter","Spring","Summer","Autumn"})</f>
        <v>Spring</v>
      </c>
      <c r="K2027" s="15" t="str">
        <f>_xlfn.XLOOKUP(OrderDetails[[#This Row],[ProductID]],Product!A:A,Product!B:B,"Not Found")</f>
        <v>Flotemysost</v>
      </c>
    </row>
    <row r="2028" spans="1:11">
      <c r="A2028" s="1">
        <v>11032</v>
      </c>
      <c r="B2028" s="1">
        <v>36</v>
      </c>
      <c r="C2028" s="1">
        <v>19</v>
      </c>
      <c r="D2028" s="1">
        <v>35</v>
      </c>
      <c r="E2028" s="3">
        <v>0</v>
      </c>
      <c r="F2028" s="1" t="str">
        <f>_xlfn.XLOOKUP(A2028,Orders!A:A,Orders!B:B,"not found")</f>
        <v>WHITC</v>
      </c>
      <c r="G2028" s="13">
        <f>_xlfn.XLOOKUP(OrderDetails[[#This Row],[OrderID]],Orders!A:A,Orders!C:C,"Not Found")</f>
        <v>35902</v>
      </c>
      <c r="H2028" s="16">
        <f>(OrderDetails[[#This Row],[UnitPrice]]*OrderDetails[[#This Row],[Quantity]])*(1-OrderDetails[[#This Row],[Discount]])</f>
        <v>665</v>
      </c>
      <c r="I2028" s="15" t="str">
        <f>_xlfn.XLOOKUP(OrderDetails[[#This Row],[ProductID]],Product!A:A,Product!G:G,"Not Found")</f>
        <v>Seafood</v>
      </c>
      <c r="J2028" s="15" t="str">
        <f>LOOKUP(MONTH(G2028),{1,4,7,10},{"Winter","Spring","Summer","Autumn"})</f>
        <v>Spring</v>
      </c>
      <c r="K2028" s="15" t="str">
        <f>_xlfn.XLOOKUP(OrderDetails[[#This Row],[ProductID]],Product!A:A,Product!B:B,"Not Found")</f>
        <v>Inlagd Sill</v>
      </c>
    </row>
    <row r="2029" spans="1:11">
      <c r="A2029" s="2">
        <v>11032</v>
      </c>
      <c r="B2029" s="2">
        <v>38</v>
      </c>
      <c r="C2029" s="2">
        <v>263.5</v>
      </c>
      <c r="D2029" s="2">
        <v>25</v>
      </c>
      <c r="E2029" s="4">
        <v>0</v>
      </c>
      <c r="F2029" s="1" t="str">
        <f>_xlfn.XLOOKUP(A2029,Orders!A:A,Orders!B:B,"not found")</f>
        <v>WHITC</v>
      </c>
      <c r="G2029" s="13">
        <f>_xlfn.XLOOKUP(OrderDetails[[#This Row],[OrderID]],Orders!A:A,Orders!C:C,"Not Found")</f>
        <v>35902</v>
      </c>
      <c r="H2029" s="16">
        <f>(OrderDetails[[#This Row],[UnitPrice]]*OrderDetails[[#This Row],[Quantity]])*(1-OrderDetails[[#This Row],[Discount]])</f>
        <v>6587.5</v>
      </c>
      <c r="I2029" s="15" t="str">
        <f>_xlfn.XLOOKUP(OrderDetails[[#This Row],[ProductID]],Product!A:A,Product!G:G,"Not Found")</f>
        <v>Beverages</v>
      </c>
      <c r="J2029" s="15" t="str">
        <f>LOOKUP(MONTH(G2029),{1,4,7,10},{"Winter","Spring","Summer","Autumn"})</f>
        <v>Spring</v>
      </c>
      <c r="K2029" s="15" t="str">
        <f>_xlfn.XLOOKUP(OrderDetails[[#This Row],[ProductID]],Product!A:A,Product!B:B,"Not Found")</f>
        <v>Côte de Blaye</v>
      </c>
    </row>
    <row r="2030" spans="1:11">
      <c r="A2030" s="1">
        <v>11032</v>
      </c>
      <c r="B2030" s="1">
        <v>59</v>
      </c>
      <c r="C2030" s="1">
        <v>55</v>
      </c>
      <c r="D2030" s="1">
        <v>30</v>
      </c>
      <c r="E2030" s="3">
        <v>0</v>
      </c>
      <c r="F2030" s="1" t="str">
        <f>_xlfn.XLOOKUP(A2030,Orders!A:A,Orders!B:B,"not found")</f>
        <v>WHITC</v>
      </c>
      <c r="G2030" s="13">
        <f>_xlfn.XLOOKUP(OrderDetails[[#This Row],[OrderID]],Orders!A:A,Orders!C:C,"Not Found")</f>
        <v>35902</v>
      </c>
      <c r="H2030" s="16">
        <f>(OrderDetails[[#This Row],[UnitPrice]]*OrderDetails[[#This Row],[Quantity]])*(1-OrderDetails[[#This Row],[Discount]])</f>
        <v>1650</v>
      </c>
      <c r="I2030" s="15" t="str">
        <f>_xlfn.XLOOKUP(OrderDetails[[#This Row],[ProductID]],Product!A:A,Product!G:G,"Not Found")</f>
        <v>Dairy Products</v>
      </c>
      <c r="J2030" s="15" t="str">
        <f>LOOKUP(MONTH(G2030),{1,4,7,10},{"Winter","Spring","Summer","Autumn"})</f>
        <v>Spring</v>
      </c>
      <c r="K2030" s="15" t="str">
        <f>_xlfn.XLOOKUP(OrderDetails[[#This Row],[ProductID]],Product!A:A,Product!B:B,"Not Found")</f>
        <v>Raclette Courdavault</v>
      </c>
    </row>
    <row r="2031" spans="1:11">
      <c r="A2031" s="2">
        <v>11033</v>
      </c>
      <c r="B2031" s="2">
        <v>53</v>
      </c>
      <c r="C2031" s="2">
        <v>32.799999999999997</v>
      </c>
      <c r="D2031" s="2">
        <v>70</v>
      </c>
      <c r="E2031" s="4">
        <v>0.10000000149011612</v>
      </c>
      <c r="F2031" s="1" t="str">
        <f>_xlfn.XLOOKUP(A2031,Orders!A:A,Orders!B:B,"not found")</f>
        <v>RICSU</v>
      </c>
      <c r="G2031" s="13">
        <f>_xlfn.XLOOKUP(OrderDetails[[#This Row],[OrderID]],Orders!A:A,Orders!C:C,"Not Found")</f>
        <v>35902</v>
      </c>
      <c r="H2031" s="16">
        <f>(OrderDetails[[#This Row],[UnitPrice]]*OrderDetails[[#This Row],[Quantity]])*(1-OrderDetails[[#This Row],[Discount]])</f>
        <v>2066.3999965786934</v>
      </c>
      <c r="I2031" s="15" t="str">
        <f>_xlfn.XLOOKUP(OrderDetails[[#This Row],[ProductID]],Product!A:A,Product!G:G,"Not Found")</f>
        <v>Meat/Poultry</v>
      </c>
      <c r="J2031" s="15" t="str">
        <f>LOOKUP(MONTH(G2031),{1,4,7,10},{"Winter","Spring","Summer","Autumn"})</f>
        <v>Spring</v>
      </c>
      <c r="K2031" s="15" t="str">
        <f>_xlfn.XLOOKUP(OrderDetails[[#This Row],[ProductID]],Product!A:A,Product!B:B,"Not Found")</f>
        <v>Perth Pasties</v>
      </c>
    </row>
    <row r="2032" spans="1:11">
      <c r="A2032" s="1">
        <v>11033</v>
      </c>
      <c r="B2032" s="1">
        <v>69</v>
      </c>
      <c r="C2032" s="1">
        <v>36</v>
      </c>
      <c r="D2032" s="1">
        <v>36</v>
      </c>
      <c r="E2032" s="3">
        <v>0.10000000149011612</v>
      </c>
      <c r="F2032" s="1" t="str">
        <f>_xlfn.XLOOKUP(A2032,Orders!A:A,Orders!B:B,"not found")</f>
        <v>RICSU</v>
      </c>
      <c r="G2032" s="13">
        <f>_xlfn.XLOOKUP(OrderDetails[[#This Row],[OrderID]],Orders!A:A,Orders!C:C,"Not Found")</f>
        <v>35902</v>
      </c>
      <c r="H2032" s="16">
        <f>(OrderDetails[[#This Row],[UnitPrice]]*OrderDetails[[#This Row],[Quantity]])*(1-OrderDetails[[#This Row],[Discount]])</f>
        <v>1166.3999980688095</v>
      </c>
      <c r="I2032" s="15" t="str">
        <f>_xlfn.XLOOKUP(OrderDetails[[#This Row],[ProductID]],Product!A:A,Product!G:G,"Not Found")</f>
        <v>Dairy Products</v>
      </c>
      <c r="J2032" s="15" t="str">
        <f>LOOKUP(MONTH(G2032),{1,4,7,10},{"Winter","Spring","Summer","Autumn"})</f>
        <v>Spring</v>
      </c>
      <c r="K2032" s="15" t="str">
        <f>_xlfn.XLOOKUP(OrderDetails[[#This Row],[ProductID]],Product!A:A,Product!B:B,"Not Found")</f>
        <v>Gudbrandsdalsost</v>
      </c>
    </row>
    <row r="2033" spans="1:11">
      <c r="A2033" s="2">
        <v>11034</v>
      </c>
      <c r="B2033" s="2">
        <v>21</v>
      </c>
      <c r="C2033" s="2">
        <v>10</v>
      </c>
      <c r="D2033" s="2">
        <v>15</v>
      </c>
      <c r="E2033" s="4">
        <v>0.10000000149011612</v>
      </c>
      <c r="F2033" s="1" t="str">
        <f>_xlfn.XLOOKUP(A2033,Orders!A:A,Orders!B:B,"not found")</f>
        <v>OLDWO</v>
      </c>
      <c r="G2033" s="13">
        <f>_xlfn.XLOOKUP(OrderDetails[[#This Row],[OrderID]],Orders!A:A,Orders!C:C,"Not Found")</f>
        <v>35905</v>
      </c>
      <c r="H2033" s="16">
        <f>(OrderDetails[[#This Row],[UnitPrice]]*OrderDetails[[#This Row],[Quantity]])*(1-OrderDetails[[#This Row],[Discount]])</f>
        <v>134.99999977648258</v>
      </c>
      <c r="I2033" s="15" t="str">
        <f>_xlfn.XLOOKUP(OrderDetails[[#This Row],[ProductID]],Product!A:A,Product!G:G,"Not Found")</f>
        <v>Confections</v>
      </c>
      <c r="J2033" s="15" t="str">
        <f>LOOKUP(MONTH(G2033),{1,4,7,10},{"Winter","Spring","Summer","Autumn"})</f>
        <v>Spring</v>
      </c>
      <c r="K2033" s="15" t="str">
        <f>_xlfn.XLOOKUP(OrderDetails[[#This Row],[ProductID]],Product!A:A,Product!B:B,"Not Found")</f>
        <v>Sir Rodney's Scones</v>
      </c>
    </row>
    <row r="2034" spans="1:11">
      <c r="A2034" s="1">
        <v>11034</v>
      </c>
      <c r="B2034" s="1">
        <v>44</v>
      </c>
      <c r="C2034" s="1">
        <v>19.45</v>
      </c>
      <c r="D2034" s="1">
        <v>12</v>
      </c>
      <c r="E2034" s="3">
        <v>0</v>
      </c>
      <c r="F2034" s="1" t="str">
        <f>_xlfn.XLOOKUP(A2034,Orders!A:A,Orders!B:B,"not found")</f>
        <v>OLDWO</v>
      </c>
      <c r="G2034" s="13">
        <f>_xlfn.XLOOKUP(OrderDetails[[#This Row],[OrderID]],Orders!A:A,Orders!C:C,"Not Found")</f>
        <v>35905</v>
      </c>
      <c r="H2034" s="16">
        <f>(OrderDetails[[#This Row],[UnitPrice]]*OrderDetails[[#This Row],[Quantity]])*(1-OrderDetails[[#This Row],[Discount]])</f>
        <v>233.39999999999998</v>
      </c>
      <c r="I2034" s="15" t="str">
        <f>_xlfn.XLOOKUP(OrderDetails[[#This Row],[ProductID]],Product!A:A,Product!G:G,"Not Found")</f>
        <v>Condiments</v>
      </c>
      <c r="J2034" s="15" t="str">
        <f>LOOKUP(MONTH(G2034),{1,4,7,10},{"Winter","Spring","Summer","Autumn"})</f>
        <v>Spring</v>
      </c>
      <c r="K2034" s="15" t="str">
        <f>_xlfn.XLOOKUP(OrderDetails[[#This Row],[ProductID]],Product!A:A,Product!B:B,"Not Found")</f>
        <v>Gula Malacca</v>
      </c>
    </row>
    <row r="2035" spans="1:11">
      <c r="A2035" s="2">
        <v>11034</v>
      </c>
      <c r="B2035" s="2">
        <v>61</v>
      </c>
      <c r="C2035" s="2">
        <v>28.5</v>
      </c>
      <c r="D2035" s="2">
        <v>6</v>
      </c>
      <c r="E2035" s="4">
        <v>0</v>
      </c>
      <c r="F2035" s="1" t="str">
        <f>_xlfn.XLOOKUP(A2035,Orders!A:A,Orders!B:B,"not found")</f>
        <v>OLDWO</v>
      </c>
      <c r="G2035" s="13">
        <f>_xlfn.XLOOKUP(OrderDetails[[#This Row],[OrderID]],Orders!A:A,Orders!C:C,"Not Found")</f>
        <v>35905</v>
      </c>
      <c r="H2035" s="16">
        <f>(OrderDetails[[#This Row],[UnitPrice]]*OrderDetails[[#This Row],[Quantity]])*(1-OrderDetails[[#This Row],[Discount]])</f>
        <v>171</v>
      </c>
      <c r="I2035" s="15" t="str">
        <f>_xlfn.XLOOKUP(OrderDetails[[#This Row],[ProductID]],Product!A:A,Product!G:G,"Not Found")</f>
        <v>Condiments</v>
      </c>
      <c r="J2035" s="15" t="str">
        <f>LOOKUP(MONTH(G2035),{1,4,7,10},{"Winter","Spring","Summer","Autumn"})</f>
        <v>Spring</v>
      </c>
      <c r="K2035" s="15" t="str">
        <f>_xlfn.XLOOKUP(OrderDetails[[#This Row],[ProductID]],Product!A:A,Product!B:B,"Not Found")</f>
        <v>Sirop d'érable</v>
      </c>
    </row>
    <row r="2036" spans="1:11">
      <c r="A2036" s="1">
        <v>11035</v>
      </c>
      <c r="B2036" s="1">
        <v>1</v>
      </c>
      <c r="C2036" s="1">
        <v>18</v>
      </c>
      <c r="D2036" s="1">
        <v>10</v>
      </c>
      <c r="E2036" s="3">
        <v>0</v>
      </c>
      <c r="F2036" s="1" t="str">
        <f>_xlfn.XLOOKUP(A2036,Orders!A:A,Orders!B:B,"not found")</f>
        <v>SUPRD</v>
      </c>
      <c r="G2036" s="13">
        <f>_xlfn.XLOOKUP(OrderDetails[[#This Row],[OrderID]],Orders!A:A,Orders!C:C,"Not Found")</f>
        <v>35905</v>
      </c>
      <c r="H2036" s="16">
        <f>(OrderDetails[[#This Row],[UnitPrice]]*OrderDetails[[#This Row],[Quantity]])*(1-OrderDetails[[#This Row],[Discount]])</f>
        <v>180</v>
      </c>
      <c r="I2036" s="15" t="str">
        <f>_xlfn.XLOOKUP(OrderDetails[[#This Row],[ProductID]],Product!A:A,Product!G:G,"Not Found")</f>
        <v>Beverages</v>
      </c>
      <c r="J2036" s="15" t="str">
        <f>LOOKUP(MONTH(G2036),{1,4,7,10},{"Winter","Spring","Summer","Autumn"})</f>
        <v>Spring</v>
      </c>
      <c r="K2036" s="15" t="str">
        <f>_xlfn.XLOOKUP(OrderDetails[[#This Row],[ProductID]],Product!A:A,Product!B:B,"Not Found")</f>
        <v>Chai</v>
      </c>
    </row>
    <row r="2037" spans="1:11">
      <c r="A2037" s="2">
        <v>11035</v>
      </c>
      <c r="B2037" s="2">
        <v>35</v>
      </c>
      <c r="C2037" s="2">
        <v>18</v>
      </c>
      <c r="D2037" s="2">
        <v>60</v>
      </c>
      <c r="E2037" s="4">
        <v>0</v>
      </c>
      <c r="F2037" s="1" t="str">
        <f>_xlfn.XLOOKUP(A2037,Orders!A:A,Orders!B:B,"not found")</f>
        <v>SUPRD</v>
      </c>
      <c r="G2037" s="13">
        <f>_xlfn.XLOOKUP(OrderDetails[[#This Row],[OrderID]],Orders!A:A,Orders!C:C,"Not Found")</f>
        <v>35905</v>
      </c>
      <c r="H2037" s="16">
        <f>(OrderDetails[[#This Row],[UnitPrice]]*OrderDetails[[#This Row],[Quantity]])*(1-OrderDetails[[#This Row],[Discount]])</f>
        <v>1080</v>
      </c>
      <c r="I2037" s="15" t="str">
        <f>_xlfn.XLOOKUP(OrderDetails[[#This Row],[ProductID]],Product!A:A,Product!G:G,"Not Found")</f>
        <v>Beverages</v>
      </c>
      <c r="J2037" s="15" t="str">
        <f>LOOKUP(MONTH(G2037),{1,4,7,10},{"Winter","Spring","Summer","Autumn"})</f>
        <v>Spring</v>
      </c>
      <c r="K2037" s="15" t="str">
        <f>_xlfn.XLOOKUP(OrderDetails[[#This Row],[ProductID]],Product!A:A,Product!B:B,"Not Found")</f>
        <v>Steeleye Stout</v>
      </c>
    </row>
    <row r="2038" spans="1:11">
      <c r="A2038" s="1">
        <v>11035</v>
      </c>
      <c r="B2038" s="1">
        <v>42</v>
      </c>
      <c r="C2038" s="1">
        <v>14</v>
      </c>
      <c r="D2038" s="1">
        <v>30</v>
      </c>
      <c r="E2038" s="3">
        <v>0</v>
      </c>
      <c r="F2038" s="1" t="str">
        <f>_xlfn.XLOOKUP(A2038,Orders!A:A,Orders!B:B,"not found")</f>
        <v>SUPRD</v>
      </c>
      <c r="G2038" s="13">
        <f>_xlfn.XLOOKUP(OrderDetails[[#This Row],[OrderID]],Orders!A:A,Orders!C:C,"Not Found")</f>
        <v>35905</v>
      </c>
      <c r="H2038" s="16">
        <f>(OrderDetails[[#This Row],[UnitPrice]]*OrderDetails[[#This Row],[Quantity]])*(1-OrderDetails[[#This Row],[Discount]])</f>
        <v>420</v>
      </c>
      <c r="I2038" s="15" t="str">
        <f>_xlfn.XLOOKUP(OrderDetails[[#This Row],[ProductID]],Product!A:A,Product!G:G,"Not Found")</f>
        <v>Grains/Cereals</v>
      </c>
      <c r="J2038" s="15" t="str">
        <f>LOOKUP(MONTH(G2038),{1,4,7,10},{"Winter","Spring","Summer","Autumn"})</f>
        <v>Spring</v>
      </c>
      <c r="K2038" s="15" t="str">
        <f>_xlfn.XLOOKUP(OrderDetails[[#This Row],[ProductID]],Product!A:A,Product!B:B,"Not Found")</f>
        <v>Singaporean Hokkien Fried Mee</v>
      </c>
    </row>
    <row r="2039" spans="1:11">
      <c r="A2039" s="2">
        <v>11035</v>
      </c>
      <c r="B2039" s="2">
        <v>54</v>
      </c>
      <c r="C2039" s="2">
        <v>7.45</v>
      </c>
      <c r="D2039" s="2">
        <v>10</v>
      </c>
      <c r="E2039" s="4">
        <v>0</v>
      </c>
      <c r="F2039" s="1" t="str">
        <f>_xlfn.XLOOKUP(A2039,Orders!A:A,Orders!B:B,"not found")</f>
        <v>SUPRD</v>
      </c>
      <c r="G2039" s="13">
        <f>_xlfn.XLOOKUP(OrderDetails[[#This Row],[OrderID]],Orders!A:A,Orders!C:C,"Not Found")</f>
        <v>35905</v>
      </c>
      <c r="H2039" s="16">
        <f>(OrderDetails[[#This Row],[UnitPrice]]*OrderDetails[[#This Row],[Quantity]])*(1-OrderDetails[[#This Row],[Discount]])</f>
        <v>74.5</v>
      </c>
      <c r="I2039" s="15" t="str">
        <f>_xlfn.XLOOKUP(OrderDetails[[#This Row],[ProductID]],Product!A:A,Product!G:G,"Not Found")</f>
        <v>Meat/Poultry</v>
      </c>
      <c r="J2039" s="15" t="str">
        <f>LOOKUP(MONTH(G2039),{1,4,7,10},{"Winter","Spring","Summer","Autumn"})</f>
        <v>Spring</v>
      </c>
      <c r="K2039" s="15" t="str">
        <f>_xlfn.XLOOKUP(OrderDetails[[#This Row],[ProductID]],Product!A:A,Product!B:B,"Not Found")</f>
        <v>Tourtière</v>
      </c>
    </row>
    <row r="2040" spans="1:11">
      <c r="A2040" s="1">
        <v>11036</v>
      </c>
      <c r="B2040" s="1">
        <v>13</v>
      </c>
      <c r="C2040" s="1">
        <v>6</v>
      </c>
      <c r="D2040" s="1">
        <v>7</v>
      </c>
      <c r="E2040" s="3">
        <v>0</v>
      </c>
      <c r="F2040" s="1" t="str">
        <f>_xlfn.XLOOKUP(A2040,Orders!A:A,Orders!B:B,"not found")</f>
        <v>DRACD</v>
      </c>
      <c r="G2040" s="13">
        <f>_xlfn.XLOOKUP(OrderDetails[[#This Row],[OrderID]],Orders!A:A,Orders!C:C,"Not Found")</f>
        <v>35905</v>
      </c>
      <c r="H2040" s="16">
        <f>(OrderDetails[[#This Row],[UnitPrice]]*OrderDetails[[#This Row],[Quantity]])*(1-OrderDetails[[#This Row],[Discount]])</f>
        <v>42</v>
      </c>
      <c r="I2040" s="15" t="str">
        <f>_xlfn.XLOOKUP(OrderDetails[[#This Row],[ProductID]],Product!A:A,Product!G:G,"Not Found")</f>
        <v>Seafood</v>
      </c>
      <c r="J2040" s="15" t="str">
        <f>LOOKUP(MONTH(G2040),{1,4,7,10},{"Winter","Spring","Summer","Autumn"})</f>
        <v>Spring</v>
      </c>
      <c r="K2040" s="15" t="str">
        <f>_xlfn.XLOOKUP(OrderDetails[[#This Row],[ProductID]],Product!A:A,Product!B:B,"Not Found")</f>
        <v>Konbu</v>
      </c>
    </row>
    <row r="2041" spans="1:11">
      <c r="A2041" s="2">
        <v>11036</v>
      </c>
      <c r="B2041" s="2">
        <v>59</v>
      </c>
      <c r="C2041" s="2">
        <v>55</v>
      </c>
      <c r="D2041" s="2">
        <v>30</v>
      </c>
      <c r="E2041" s="4">
        <v>0</v>
      </c>
      <c r="F2041" s="1" t="str">
        <f>_xlfn.XLOOKUP(A2041,Orders!A:A,Orders!B:B,"not found")</f>
        <v>DRACD</v>
      </c>
      <c r="G2041" s="13">
        <f>_xlfn.XLOOKUP(OrderDetails[[#This Row],[OrderID]],Orders!A:A,Orders!C:C,"Not Found")</f>
        <v>35905</v>
      </c>
      <c r="H2041" s="16">
        <f>(OrderDetails[[#This Row],[UnitPrice]]*OrderDetails[[#This Row],[Quantity]])*(1-OrderDetails[[#This Row],[Discount]])</f>
        <v>1650</v>
      </c>
      <c r="I2041" s="15" t="str">
        <f>_xlfn.XLOOKUP(OrderDetails[[#This Row],[ProductID]],Product!A:A,Product!G:G,"Not Found")</f>
        <v>Dairy Products</v>
      </c>
      <c r="J2041" s="15" t="str">
        <f>LOOKUP(MONTH(G2041),{1,4,7,10},{"Winter","Spring","Summer","Autumn"})</f>
        <v>Spring</v>
      </c>
      <c r="K2041" s="15" t="str">
        <f>_xlfn.XLOOKUP(OrderDetails[[#This Row],[ProductID]],Product!A:A,Product!B:B,"Not Found")</f>
        <v>Raclette Courdavault</v>
      </c>
    </row>
    <row r="2042" spans="1:11">
      <c r="A2042" s="1">
        <v>11037</v>
      </c>
      <c r="B2042" s="1">
        <v>70</v>
      </c>
      <c r="C2042" s="1">
        <v>15</v>
      </c>
      <c r="D2042" s="1">
        <v>4</v>
      </c>
      <c r="E2042" s="3">
        <v>0</v>
      </c>
      <c r="F2042" s="1" t="str">
        <f>_xlfn.XLOOKUP(A2042,Orders!A:A,Orders!B:B,"not found")</f>
        <v>GODOS</v>
      </c>
      <c r="G2042" s="13">
        <f>_xlfn.XLOOKUP(OrderDetails[[#This Row],[OrderID]],Orders!A:A,Orders!C:C,"Not Found")</f>
        <v>35906</v>
      </c>
      <c r="H2042" s="16">
        <f>(OrderDetails[[#This Row],[UnitPrice]]*OrderDetails[[#This Row],[Quantity]])*(1-OrderDetails[[#This Row],[Discount]])</f>
        <v>60</v>
      </c>
      <c r="I2042" s="15" t="str">
        <f>_xlfn.XLOOKUP(OrderDetails[[#This Row],[ProductID]],Product!A:A,Product!G:G,"Not Found")</f>
        <v>Beverages</v>
      </c>
      <c r="J2042" s="15" t="str">
        <f>LOOKUP(MONTH(G2042),{1,4,7,10},{"Winter","Spring","Summer","Autumn"})</f>
        <v>Spring</v>
      </c>
      <c r="K2042" s="15" t="str">
        <f>_xlfn.XLOOKUP(OrderDetails[[#This Row],[ProductID]],Product!A:A,Product!B:B,"Not Found")</f>
        <v>Outback Lager</v>
      </c>
    </row>
    <row r="2043" spans="1:11">
      <c r="A2043" s="2">
        <v>11038</v>
      </c>
      <c r="B2043" s="2">
        <v>40</v>
      </c>
      <c r="C2043" s="2">
        <v>18.399999999999999</v>
      </c>
      <c r="D2043" s="2">
        <v>5</v>
      </c>
      <c r="E2043" s="4">
        <v>0.20000000298023224</v>
      </c>
      <c r="F2043" s="1" t="str">
        <f>_xlfn.XLOOKUP(A2043,Orders!A:A,Orders!B:B,"not found")</f>
        <v>SUPRD</v>
      </c>
      <c r="G2043" s="13">
        <f>_xlfn.XLOOKUP(OrderDetails[[#This Row],[OrderID]],Orders!A:A,Orders!C:C,"Not Found")</f>
        <v>35906</v>
      </c>
      <c r="H2043" s="16">
        <f>(OrderDetails[[#This Row],[UnitPrice]]*OrderDetails[[#This Row],[Quantity]])*(1-OrderDetails[[#This Row],[Discount]])</f>
        <v>73.599999725818634</v>
      </c>
      <c r="I2043" s="15" t="str">
        <f>_xlfn.XLOOKUP(OrderDetails[[#This Row],[ProductID]],Product!A:A,Product!G:G,"Not Found")</f>
        <v>Seafood</v>
      </c>
      <c r="J2043" s="15" t="str">
        <f>LOOKUP(MONTH(G2043),{1,4,7,10},{"Winter","Spring","Summer","Autumn"})</f>
        <v>Spring</v>
      </c>
      <c r="K2043" s="15" t="str">
        <f>_xlfn.XLOOKUP(OrderDetails[[#This Row],[ProductID]],Product!A:A,Product!B:B,"Not Found")</f>
        <v>Boston Crab Meat</v>
      </c>
    </row>
    <row r="2044" spans="1:11">
      <c r="A2044" s="1">
        <v>11038</v>
      </c>
      <c r="B2044" s="1">
        <v>52</v>
      </c>
      <c r="C2044" s="1">
        <v>7</v>
      </c>
      <c r="D2044" s="1">
        <v>2</v>
      </c>
      <c r="E2044" s="3">
        <v>0</v>
      </c>
      <c r="F2044" s="1" t="str">
        <f>_xlfn.XLOOKUP(A2044,Orders!A:A,Orders!B:B,"not found")</f>
        <v>SUPRD</v>
      </c>
      <c r="G2044" s="13">
        <f>_xlfn.XLOOKUP(OrderDetails[[#This Row],[OrderID]],Orders!A:A,Orders!C:C,"Not Found")</f>
        <v>35906</v>
      </c>
      <c r="H2044" s="16">
        <f>(OrderDetails[[#This Row],[UnitPrice]]*OrderDetails[[#This Row],[Quantity]])*(1-OrderDetails[[#This Row],[Discount]])</f>
        <v>14</v>
      </c>
      <c r="I2044" s="15" t="str">
        <f>_xlfn.XLOOKUP(OrderDetails[[#This Row],[ProductID]],Product!A:A,Product!G:G,"Not Found")</f>
        <v>Grains/Cereals</v>
      </c>
      <c r="J2044" s="15" t="str">
        <f>LOOKUP(MONTH(G2044),{1,4,7,10},{"Winter","Spring","Summer","Autumn"})</f>
        <v>Spring</v>
      </c>
      <c r="K2044" s="15" t="str">
        <f>_xlfn.XLOOKUP(OrderDetails[[#This Row],[ProductID]],Product!A:A,Product!B:B,"Not Found")</f>
        <v>Filo Mix</v>
      </c>
    </row>
    <row r="2045" spans="1:11">
      <c r="A2045" s="2">
        <v>11038</v>
      </c>
      <c r="B2045" s="2">
        <v>71</v>
      </c>
      <c r="C2045" s="2">
        <v>21.5</v>
      </c>
      <c r="D2045" s="2">
        <v>30</v>
      </c>
      <c r="E2045" s="4">
        <v>0</v>
      </c>
      <c r="F2045" s="1" t="str">
        <f>_xlfn.XLOOKUP(A2045,Orders!A:A,Orders!B:B,"not found")</f>
        <v>SUPRD</v>
      </c>
      <c r="G2045" s="13">
        <f>_xlfn.XLOOKUP(OrderDetails[[#This Row],[OrderID]],Orders!A:A,Orders!C:C,"Not Found")</f>
        <v>35906</v>
      </c>
      <c r="H2045" s="16">
        <f>(OrderDetails[[#This Row],[UnitPrice]]*OrderDetails[[#This Row],[Quantity]])*(1-OrderDetails[[#This Row],[Discount]])</f>
        <v>645</v>
      </c>
      <c r="I2045" s="15" t="str">
        <f>_xlfn.XLOOKUP(OrderDetails[[#This Row],[ProductID]],Product!A:A,Product!G:G,"Not Found")</f>
        <v>Dairy Products</v>
      </c>
      <c r="J2045" s="15" t="str">
        <f>LOOKUP(MONTH(G2045),{1,4,7,10},{"Winter","Spring","Summer","Autumn"})</f>
        <v>Spring</v>
      </c>
      <c r="K2045" s="15" t="str">
        <f>_xlfn.XLOOKUP(OrderDetails[[#This Row],[ProductID]],Product!A:A,Product!B:B,"Not Found")</f>
        <v>Flotemysost</v>
      </c>
    </row>
    <row r="2046" spans="1:11">
      <c r="A2046" s="1">
        <v>11039</v>
      </c>
      <c r="B2046" s="1">
        <v>28</v>
      </c>
      <c r="C2046" s="1">
        <v>45.6</v>
      </c>
      <c r="D2046" s="1">
        <v>20</v>
      </c>
      <c r="E2046" s="3">
        <v>0</v>
      </c>
      <c r="F2046" s="1" t="str">
        <f>_xlfn.XLOOKUP(A2046,Orders!A:A,Orders!B:B,"not found")</f>
        <v>LINOD</v>
      </c>
      <c r="G2046" s="13">
        <f>_xlfn.XLOOKUP(OrderDetails[[#This Row],[OrderID]],Orders!A:A,Orders!C:C,"Not Found")</f>
        <v>35906</v>
      </c>
      <c r="H2046" s="16">
        <f>(OrderDetails[[#This Row],[UnitPrice]]*OrderDetails[[#This Row],[Quantity]])*(1-OrderDetails[[#This Row],[Discount]])</f>
        <v>912</v>
      </c>
      <c r="I2046" s="15" t="str">
        <f>_xlfn.XLOOKUP(OrderDetails[[#This Row],[ProductID]],Product!A:A,Product!G:G,"Not Found")</f>
        <v>Produce</v>
      </c>
      <c r="J2046" s="15" t="str">
        <f>LOOKUP(MONTH(G2046),{1,4,7,10},{"Winter","Spring","Summer","Autumn"})</f>
        <v>Spring</v>
      </c>
      <c r="K2046" s="15" t="str">
        <f>_xlfn.XLOOKUP(OrderDetails[[#This Row],[ProductID]],Product!A:A,Product!B:B,"Not Found")</f>
        <v>Rössle Sauerkraut</v>
      </c>
    </row>
    <row r="2047" spans="1:11">
      <c r="A2047" s="2">
        <v>11039</v>
      </c>
      <c r="B2047" s="2">
        <v>35</v>
      </c>
      <c r="C2047" s="2">
        <v>18</v>
      </c>
      <c r="D2047" s="2">
        <v>24</v>
      </c>
      <c r="E2047" s="4">
        <v>0</v>
      </c>
      <c r="F2047" s="1" t="str">
        <f>_xlfn.XLOOKUP(A2047,Orders!A:A,Orders!B:B,"not found")</f>
        <v>LINOD</v>
      </c>
      <c r="G2047" s="13">
        <f>_xlfn.XLOOKUP(OrderDetails[[#This Row],[OrderID]],Orders!A:A,Orders!C:C,"Not Found")</f>
        <v>35906</v>
      </c>
      <c r="H2047" s="16">
        <f>(OrderDetails[[#This Row],[UnitPrice]]*OrderDetails[[#This Row],[Quantity]])*(1-OrderDetails[[#This Row],[Discount]])</f>
        <v>432</v>
      </c>
      <c r="I2047" s="15" t="str">
        <f>_xlfn.XLOOKUP(OrderDetails[[#This Row],[ProductID]],Product!A:A,Product!G:G,"Not Found")</f>
        <v>Beverages</v>
      </c>
      <c r="J2047" s="15" t="str">
        <f>LOOKUP(MONTH(G2047),{1,4,7,10},{"Winter","Spring","Summer","Autumn"})</f>
        <v>Spring</v>
      </c>
      <c r="K2047" s="15" t="str">
        <f>_xlfn.XLOOKUP(OrderDetails[[#This Row],[ProductID]],Product!A:A,Product!B:B,"Not Found")</f>
        <v>Steeleye Stout</v>
      </c>
    </row>
    <row r="2048" spans="1:11">
      <c r="A2048" s="1">
        <v>11039</v>
      </c>
      <c r="B2048" s="1">
        <v>49</v>
      </c>
      <c r="C2048" s="1">
        <v>20</v>
      </c>
      <c r="D2048" s="1">
        <v>60</v>
      </c>
      <c r="E2048" s="3">
        <v>0</v>
      </c>
      <c r="F2048" s="1" t="str">
        <f>_xlfn.XLOOKUP(A2048,Orders!A:A,Orders!B:B,"not found")</f>
        <v>LINOD</v>
      </c>
      <c r="G2048" s="13">
        <f>_xlfn.XLOOKUP(OrderDetails[[#This Row],[OrderID]],Orders!A:A,Orders!C:C,"Not Found")</f>
        <v>35906</v>
      </c>
      <c r="H2048" s="16">
        <f>(OrderDetails[[#This Row],[UnitPrice]]*OrderDetails[[#This Row],[Quantity]])*(1-OrderDetails[[#This Row],[Discount]])</f>
        <v>1200</v>
      </c>
      <c r="I2048" s="15" t="str">
        <f>_xlfn.XLOOKUP(OrderDetails[[#This Row],[ProductID]],Product!A:A,Product!G:G,"Not Found")</f>
        <v>Confections</v>
      </c>
      <c r="J2048" s="15" t="str">
        <f>LOOKUP(MONTH(G2048),{1,4,7,10},{"Winter","Spring","Summer","Autumn"})</f>
        <v>Spring</v>
      </c>
      <c r="K2048" s="15" t="str">
        <f>_xlfn.XLOOKUP(OrderDetails[[#This Row],[ProductID]],Product!A:A,Product!B:B,"Not Found")</f>
        <v>Maxilaku</v>
      </c>
    </row>
    <row r="2049" spans="1:11">
      <c r="A2049" s="2">
        <v>11039</v>
      </c>
      <c r="B2049" s="2">
        <v>57</v>
      </c>
      <c r="C2049" s="2">
        <v>19.5</v>
      </c>
      <c r="D2049" s="2">
        <v>28</v>
      </c>
      <c r="E2049" s="4">
        <v>0</v>
      </c>
      <c r="F2049" s="1" t="str">
        <f>_xlfn.XLOOKUP(A2049,Orders!A:A,Orders!B:B,"not found")</f>
        <v>LINOD</v>
      </c>
      <c r="G2049" s="13">
        <f>_xlfn.XLOOKUP(OrderDetails[[#This Row],[OrderID]],Orders!A:A,Orders!C:C,"Not Found")</f>
        <v>35906</v>
      </c>
      <c r="H2049" s="16">
        <f>(OrderDetails[[#This Row],[UnitPrice]]*OrderDetails[[#This Row],[Quantity]])*(1-OrderDetails[[#This Row],[Discount]])</f>
        <v>546</v>
      </c>
      <c r="I2049" s="15" t="str">
        <f>_xlfn.XLOOKUP(OrderDetails[[#This Row],[ProductID]],Product!A:A,Product!G:G,"Not Found")</f>
        <v>Grains/Cereals</v>
      </c>
      <c r="J2049" s="15" t="str">
        <f>LOOKUP(MONTH(G2049),{1,4,7,10},{"Winter","Spring","Summer","Autumn"})</f>
        <v>Spring</v>
      </c>
      <c r="K2049" s="15" t="str">
        <f>_xlfn.XLOOKUP(OrderDetails[[#This Row],[ProductID]],Product!A:A,Product!B:B,"Not Found")</f>
        <v>Ravioli Angelo</v>
      </c>
    </row>
    <row r="2050" spans="1:11">
      <c r="A2050" s="1">
        <v>11040</v>
      </c>
      <c r="B2050" s="1">
        <v>21</v>
      </c>
      <c r="C2050" s="1">
        <v>10</v>
      </c>
      <c r="D2050" s="1">
        <v>20</v>
      </c>
      <c r="E2050" s="3">
        <v>0</v>
      </c>
      <c r="F2050" s="1" t="str">
        <f>_xlfn.XLOOKUP(A2050,Orders!A:A,Orders!B:B,"not found")</f>
        <v>GREAL</v>
      </c>
      <c r="G2050" s="13">
        <f>_xlfn.XLOOKUP(OrderDetails[[#This Row],[OrderID]],Orders!A:A,Orders!C:C,"Not Found")</f>
        <v>35907</v>
      </c>
      <c r="H2050" s="16">
        <f>(OrderDetails[[#This Row],[UnitPrice]]*OrderDetails[[#This Row],[Quantity]])*(1-OrderDetails[[#This Row],[Discount]])</f>
        <v>200</v>
      </c>
      <c r="I2050" s="15" t="str">
        <f>_xlfn.XLOOKUP(OrderDetails[[#This Row],[ProductID]],Product!A:A,Product!G:G,"Not Found")</f>
        <v>Confections</v>
      </c>
      <c r="J2050" s="15" t="str">
        <f>LOOKUP(MONTH(G2050),{1,4,7,10},{"Winter","Spring","Summer","Autumn"})</f>
        <v>Spring</v>
      </c>
      <c r="K2050" s="15" t="str">
        <f>_xlfn.XLOOKUP(OrderDetails[[#This Row],[ProductID]],Product!A:A,Product!B:B,"Not Found")</f>
        <v>Sir Rodney's Scones</v>
      </c>
    </row>
    <row r="2051" spans="1:11">
      <c r="A2051" s="2">
        <v>11041</v>
      </c>
      <c r="B2051" s="2">
        <v>2</v>
      </c>
      <c r="C2051" s="2">
        <v>19</v>
      </c>
      <c r="D2051" s="2">
        <v>30</v>
      </c>
      <c r="E2051" s="4">
        <v>0.20000000298023224</v>
      </c>
      <c r="F2051" s="1" t="str">
        <f>_xlfn.XLOOKUP(A2051,Orders!A:A,Orders!B:B,"not found")</f>
        <v>CHOPS</v>
      </c>
      <c r="G2051" s="13">
        <f>_xlfn.XLOOKUP(OrderDetails[[#This Row],[OrderID]],Orders!A:A,Orders!C:C,"Not Found")</f>
        <v>35907</v>
      </c>
      <c r="H2051" s="16">
        <f>(OrderDetails[[#This Row],[UnitPrice]]*OrderDetails[[#This Row],[Quantity]])*(1-OrderDetails[[#This Row],[Discount]])</f>
        <v>455.99999830126762</v>
      </c>
      <c r="I2051" s="15" t="str">
        <f>_xlfn.XLOOKUP(OrderDetails[[#This Row],[ProductID]],Product!A:A,Product!G:G,"Not Found")</f>
        <v>Beverages</v>
      </c>
      <c r="J2051" s="15" t="str">
        <f>LOOKUP(MONTH(G2051),{1,4,7,10},{"Winter","Spring","Summer","Autumn"})</f>
        <v>Spring</v>
      </c>
      <c r="K2051" s="15" t="str">
        <f>_xlfn.XLOOKUP(OrderDetails[[#This Row],[ProductID]],Product!A:A,Product!B:B,"Not Found")</f>
        <v>Chang</v>
      </c>
    </row>
    <row r="2052" spans="1:11">
      <c r="A2052" s="1">
        <v>11041</v>
      </c>
      <c r="B2052" s="1">
        <v>63</v>
      </c>
      <c r="C2052" s="1">
        <v>43.9</v>
      </c>
      <c r="D2052" s="1">
        <v>30</v>
      </c>
      <c r="E2052" s="3">
        <v>0</v>
      </c>
      <c r="F2052" s="1" t="str">
        <f>_xlfn.XLOOKUP(A2052,Orders!A:A,Orders!B:B,"not found")</f>
        <v>CHOPS</v>
      </c>
      <c r="G2052" s="13">
        <f>_xlfn.XLOOKUP(OrderDetails[[#This Row],[OrderID]],Orders!A:A,Orders!C:C,"Not Found")</f>
        <v>35907</v>
      </c>
      <c r="H2052" s="16">
        <f>(OrderDetails[[#This Row],[UnitPrice]]*OrderDetails[[#This Row],[Quantity]])*(1-OrderDetails[[#This Row],[Discount]])</f>
        <v>1317</v>
      </c>
      <c r="I2052" s="15" t="str">
        <f>_xlfn.XLOOKUP(OrderDetails[[#This Row],[ProductID]],Product!A:A,Product!G:G,"Not Found")</f>
        <v>Condiments</v>
      </c>
      <c r="J2052" s="15" t="str">
        <f>LOOKUP(MONTH(G2052),{1,4,7,10},{"Winter","Spring","Summer","Autumn"})</f>
        <v>Spring</v>
      </c>
      <c r="K2052" s="15" t="str">
        <f>_xlfn.XLOOKUP(OrderDetails[[#This Row],[ProductID]],Product!A:A,Product!B:B,"Not Found")</f>
        <v>Vegie-spread</v>
      </c>
    </row>
    <row r="2053" spans="1:11">
      <c r="A2053" s="2">
        <v>11042</v>
      </c>
      <c r="B2053" s="2">
        <v>44</v>
      </c>
      <c r="C2053" s="2">
        <v>19.45</v>
      </c>
      <c r="D2053" s="2">
        <v>15</v>
      </c>
      <c r="E2053" s="4">
        <v>0</v>
      </c>
      <c r="F2053" s="1" t="str">
        <f>_xlfn.XLOOKUP(A2053,Orders!A:A,Orders!B:B,"not found")</f>
        <v>COMMI</v>
      </c>
      <c r="G2053" s="13">
        <f>_xlfn.XLOOKUP(OrderDetails[[#This Row],[OrderID]],Orders!A:A,Orders!C:C,"Not Found")</f>
        <v>35907</v>
      </c>
      <c r="H2053" s="16">
        <f>(OrderDetails[[#This Row],[UnitPrice]]*OrderDetails[[#This Row],[Quantity]])*(1-OrderDetails[[#This Row],[Discount]])</f>
        <v>291.75</v>
      </c>
      <c r="I2053" s="15" t="str">
        <f>_xlfn.XLOOKUP(OrderDetails[[#This Row],[ProductID]],Product!A:A,Product!G:G,"Not Found")</f>
        <v>Condiments</v>
      </c>
      <c r="J2053" s="15" t="str">
        <f>LOOKUP(MONTH(G2053),{1,4,7,10},{"Winter","Spring","Summer","Autumn"})</f>
        <v>Spring</v>
      </c>
      <c r="K2053" s="15" t="str">
        <f>_xlfn.XLOOKUP(OrderDetails[[#This Row],[ProductID]],Product!A:A,Product!B:B,"Not Found")</f>
        <v>Gula Malacca</v>
      </c>
    </row>
    <row r="2054" spans="1:11">
      <c r="A2054" s="1">
        <v>11042</v>
      </c>
      <c r="B2054" s="1">
        <v>61</v>
      </c>
      <c r="C2054" s="1">
        <v>28.5</v>
      </c>
      <c r="D2054" s="1">
        <v>4</v>
      </c>
      <c r="E2054" s="3">
        <v>0</v>
      </c>
      <c r="F2054" s="1" t="str">
        <f>_xlfn.XLOOKUP(A2054,Orders!A:A,Orders!B:B,"not found")</f>
        <v>COMMI</v>
      </c>
      <c r="G2054" s="13">
        <f>_xlfn.XLOOKUP(OrderDetails[[#This Row],[OrderID]],Orders!A:A,Orders!C:C,"Not Found")</f>
        <v>35907</v>
      </c>
      <c r="H2054" s="16">
        <f>(OrderDetails[[#This Row],[UnitPrice]]*OrderDetails[[#This Row],[Quantity]])*(1-OrderDetails[[#This Row],[Discount]])</f>
        <v>114</v>
      </c>
      <c r="I2054" s="15" t="str">
        <f>_xlfn.XLOOKUP(OrderDetails[[#This Row],[ProductID]],Product!A:A,Product!G:G,"Not Found")</f>
        <v>Condiments</v>
      </c>
      <c r="J2054" s="15" t="str">
        <f>LOOKUP(MONTH(G2054),{1,4,7,10},{"Winter","Spring","Summer","Autumn"})</f>
        <v>Spring</v>
      </c>
      <c r="K2054" s="15" t="str">
        <f>_xlfn.XLOOKUP(OrderDetails[[#This Row],[ProductID]],Product!A:A,Product!B:B,"Not Found")</f>
        <v>Sirop d'érable</v>
      </c>
    </row>
    <row r="2055" spans="1:11">
      <c r="A2055" s="2">
        <v>11043</v>
      </c>
      <c r="B2055" s="2">
        <v>11</v>
      </c>
      <c r="C2055" s="2">
        <v>21</v>
      </c>
      <c r="D2055" s="2">
        <v>10</v>
      </c>
      <c r="E2055" s="4">
        <v>0</v>
      </c>
      <c r="F2055" s="1" t="str">
        <f>_xlfn.XLOOKUP(A2055,Orders!A:A,Orders!B:B,"not found")</f>
        <v>SPECD</v>
      </c>
      <c r="G2055" s="13">
        <f>_xlfn.XLOOKUP(OrderDetails[[#This Row],[OrderID]],Orders!A:A,Orders!C:C,"Not Found")</f>
        <v>35907</v>
      </c>
      <c r="H2055" s="16">
        <f>(OrderDetails[[#This Row],[UnitPrice]]*OrderDetails[[#This Row],[Quantity]])*(1-OrderDetails[[#This Row],[Discount]])</f>
        <v>210</v>
      </c>
      <c r="I2055" s="15" t="str">
        <f>_xlfn.XLOOKUP(OrderDetails[[#This Row],[ProductID]],Product!A:A,Product!G:G,"Not Found")</f>
        <v>Dairy Products</v>
      </c>
      <c r="J2055" s="15" t="str">
        <f>LOOKUP(MONTH(G2055),{1,4,7,10},{"Winter","Spring","Summer","Autumn"})</f>
        <v>Spring</v>
      </c>
      <c r="K2055" s="15" t="str">
        <f>_xlfn.XLOOKUP(OrderDetails[[#This Row],[ProductID]],Product!A:A,Product!B:B,"Not Found")</f>
        <v>Queso Cabrales</v>
      </c>
    </row>
    <row r="2056" spans="1:11">
      <c r="A2056" s="1">
        <v>11044</v>
      </c>
      <c r="B2056" s="1">
        <v>62</v>
      </c>
      <c r="C2056" s="1">
        <v>49.3</v>
      </c>
      <c r="D2056" s="1">
        <v>12</v>
      </c>
      <c r="E2056" s="3">
        <v>0</v>
      </c>
      <c r="F2056" s="1" t="str">
        <f>_xlfn.XLOOKUP(A2056,Orders!A:A,Orders!B:B,"not found")</f>
        <v>WOLZA</v>
      </c>
      <c r="G2056" s="13">
        <f>_xlfn.XLOOKUP(OrderDetails[[#This Row],[OrderID]],Orders!A:A,Orders!C:C,"Not Found")</f>
        <v>35908</v>
      </c>
      <c r="H2056" s="16">
        <f>(OrderDetails[[#This Row],[UnitPrice]]*OrderDetails[[#This Row],[Quantity]])*(1-OrderDetails[[#This Row],[Discount]])</f>
        <v>591.59999999999991</v>
      </c>
      <c r="I2056" s="15" t="str">
        <f>_xlfn.XLOOKUP(OrderDetails[[#This Row],[ProductID]],Product!A:A,Product!G:G,"Not Found")</f>
        <v>Confections</v>
      </c>
      <c r="J2056" s="15" t="str">
        <f>LOOKUP(MONTH(G2056),{1,4,7,10},{"Winter","Spring","Summer","Autumn"})</f>
        <v>Spring</v>
      </c>
      <c r="K2056" s="15" t="str">
        <f>_xlfn.XLOOKUP(OrderDetails[[#This Row],[ProductID]],Product!A:A,Product!B:B,"Not Found")</f>
        <v>Tarte au sucre</v>
      </c>
    </row>
    <row r="2057" spans="1:11">
      <c r="A2057" s="2">
        <v>11045</v>
      </c>
      <c r="B2057" s="2">
        <v>33</v>
      </c>
      <c r="C2057" s="2">
        <v>2.5</v>
      </c>
      <c r="D2057" s="2">
        <v>15</v>
      </c>
      <c r="E2057" s="4">
        <v>0</v>
      </c>
      <c r="F2057" s="1" t="str">
        <f>_xlfn.XLOOKUP(A2057,Orders!A:A,Orders!B:B,"not found")</f>
        <v>BOTTM</v>
      </c>
      <c r="G2057" s="13">
        <f>_xlfn.XLOOKUP(OrderDetails[[#This Row],[OrderID]],Orders!A:A,Orders!C:C,"Not Found")</f>
        <v>35908</v>
      </c>
      <c r="H2057" s="16">
        <f>(OrderDetails[[#This Row],[UnitPrice]]*OrderDetails[[#This Row],[Quantity]])*(1-OrderDetails[[#This Row],[Discount]])</f>
        <v>37.5</v>
      </c>
      <c r="I2057" s="15" t="str">
        <f>_xlfn.XLOOKUP(OrderDetails[[#This Row],[ProductID]],Product!A:A,Product!G:G,"Not Found")</f>
        <v>Dairy Products</v>
      </c>
      <c r="J2057" s="15" t="str">
        <f>LOOKUP(MONTH(G2057),{1,4,7,10},{"Winter","Spring","Summer","Autumn"})</f>
        <v>Spring</v>
      </c>
      <c r="K2057" s="15" t="str">
        <f>_xlfn.XLOOKUP(OrderDetails[[#This Row],[ProductID]],Product!A:A,Product!B:B,"Not Found")</f>
        <v>Geitost</v>
      </c>
    </row>
    <row r="2058" spans="1:11">
      <c r="A2058" s="1">
        <v>11045</v>
      </c>
      <c r="B2058" s="1">
        <v>51</v>
      </c>
      <c r="C2058" s="1">
        <v>53</v>
      </c>
      <c r="D2058" s="1">
        <v>24</v>
      </c>
      <c r="E2058" s="3">
        <v>0</v>
      </c>
      <c r="F2058" s="1" t="str">
        <f>_xlfn.XLOOKUP(A2058,Orders!A:A,Orders!B:B,"not found")</f>
        <v>BOTTM</v>
      </c>
      <c r="G2058" s="13">
        <f>_xlfn.XLOOKUP(OrderDetails[[#This Row],[OrderID]],Orders!A:A,Orders!C:C,"Not Found")</f>
        <v>35908</v>
      </c>
      <c r="H2058" s="16">
        <f>(OrderDetails[[#This Row],[UnitPrice]]*OrderDetails[[#This Row],[Quantity]])*(1-OrderDetails[[#This Row],[Discount]])</f>
        <v>1272</v>
      </c>
      <c r="I2058" s="15" t="str">
        <f>_xlfn.XLOOKUP(OrderDetails[[#This Row],[ProductID]],Product!A:A,Product!G:G,"Not Found")</f>
        <v>Produce</v>
      </c>
      <c r="J2058" s="15" t="str">
        <f>LOOKUP(MONTH(G2058),{1,4,7,10},{"Winter","Spring","Summer","Autumn"})</f>
        <v>Spring</v>
      </c>
      <c r="K2058" s="15" t="str">
        <f>_xlfn.XLOOKUP(OrderDetails[[#This Row],[ProductID]],Product!A:A,Product!B:B,"Not Found")</f>
        <v>Manjimup Dried Apples</v>
      </c>
    </row>
    <row r="2059" spans="1:11">
      <c r="A2059" s="2">
        <v>11046</v>
      </c>
      <c r="B2059" s="2">
        <v>12</v>
      </c>
      <c r="C2059" s="2">
        <v>38</v>
      </c>
      <c r="D2059" s="2">
        <v>20</v>
      </c>
      <c r="E2059" s="4">
        <v>5.000000074505806E-2</v>
      </c>
      <c r="F2059" s="1" t="str">
        <f>_xlfn.XLOOKUP(A2059,Orders!A:A,Orders!B:B,"not found")</f>
        <v>WANDK</v>
      </c>
      <c r="G2059" s="13">
        <f>_xlfn.XLOOKUP(OrderDetails[[#This Row],[OrderID]],Orders!A:A,Orders!C:C,"Not Found")</f>
        <v>35908</v>
      </c>
      <c r="H2059" s="16">
        <f>(OrderDetails[[#This Row],[UnitPrice]]*OrderDetails[[#This Row],[Quantity]])*(1-OrderDetails[[#This Row],[Discount]])</f>
        <v>721.99999943375587</v>
      </c>
      <c r="I2059" s="15" t="str">
        <f>_xlfn.XLOOKUP(OrderDetails[[#This Row],[ProductID]],Product!A:A,Product!G:G,"Not Found")</f>
        <v>Dairy Products</v>
      </c>
      <c r="J2059" s="15" t="str">
        <f>LOOKUP(MONTH(G2059),{1,4,7,10},{"Winter","Spring","Summer","Autumn"})</f>
        <v>Spring</v>
      </c>
      <c r="K2059" s="15" t="str">
        <f>_xlfn.XLOOKUP(OrderDetails[[#This Row],[ProductID]],Product!A:A,Product!B:B,"Not Found")</f>
        <v>Queso Manchego La Pastora</v>
      </c>
    </row>
    <row r="2060" spans="1:11">
      <c r="A2060" s="1">
        <v>11046</v>
      </c>
      <c r="B2060" s="1">
        <v>32</v>
      </c>
      <c r="C2060" s="1">
        <v>32</v>
      </c>
      <c r="D2060" s="1">
        <v>15</v>
      </c>
      <c r="E2060" s="3">
        <v>5.000000074505806E-2</v>
      </c>
      <c r="F2060" s="1" t="str">
        <f>_xlfn.XLOOKUP(A2060,Orders!A:A,Orders!B:B,"not found")</f>
        <v>WANDK</v>
      </c>
      <c r="G2060" s="13">
        <f>_xlfn.XLOOKUP(OrderDetails[[#This Row],[OrderID]],Orders!A:A,Orders!C:C,"Not Found")</f>
        <v>35908</v>
      </c>
      <c r="H2060" s="16">
        <f>(OrderDetails[[#This Row],[UnitPrice]]*OrderDetails[[#This Row],[Quantity]])*(1-OrderDetails[[#This Row],[Discount]])</f>
        <v>455.99999964237213</v>
      </c>
      <c r="I2060" s="15" t="str">
        <f>_xlfn.XLOOKUP(OrderDetails[[#This Row],[ProductID]],Product!A:A,Product!G:G,"Not Found")</f>
        <v>Dairy Products</v>
      </c>
      <c r="J2060" s="15" t="str">
        <f>LOOKUP(MONTH(G2060),{1,4,7,10},{"Winter","Spring","Summer","Autumn"})</f>
        <v>Spring</v>
      </c>
      <c r="K2060" s="15" t="str">
        <f>_xlfn.XLOOKUP(OrderDetails[[#This Row],[ProductID]],Product!A:A,Product!B:B,"Not Found")</f>
        <v>Mascarpone Fabioli</v>
      </c>
    </row>
    <row r="2061" spans="1:11">
      <c r="A2061" s="2">
        <v>11046</v>
      </c>
      <c r="B2061" s="2">
        <v>35</v>
      </c>
      <c r="C2061" s="2">
        <v>18</v>
      </c>
      <c r="D2061" s="2">
        <v>18</v>
      </c>
      <c r="E2061" s="4">
        <v>5.000000074505806E-2</v>
      </c>
      <c r="F2061" s="1" t="str">
        <f>_xlfn.XLOOKUP(A2061,Orders!A:A,Orders!B:B,"not found")</f>
        <v>WANDK</v>
      </c>
      <c r="G2061" s="13">
        <f>_xlfn.XLOOKUP(OrderDetails[[#This Row],[OrderID]],Orders!A:A,Orders!C:C,"Not Found")</f>
        <v>35908</v>
      </c>
      <c r="H2061" s="16">
        <f>(OrderDetails[[#This Row],[UnitPrice]]*OrderDetails[[#This Row],[Quantity]])*(1-OrderDetails[[#This Row],[Discount]])</f>
        <v>307.79999975860119</v>
      </c>
      <c r="I2061" s="15" t="str">
        <f>_xlfn.XLOOKUP(OrderDetails[[#This Row],[ProductID]],Product!A:A,Product!G:G,"Not Found")</f>
        <v>Beverages</v>
      </c>
      <c r="J2061" s="15" t="str">
        <f>LOOKUP(MONTH(G2061),{1,4,7,10},{"Winter","Spring","Summer","Autumn"})</f>
        <v>Spring</v>
      </c>
      <c r="K2061" s="15" t="str">
        <f>_xlfn.XLOOKUP(OrderDetails[[#This Row],[ProductID]],Product!A:A,Product!B:B,"Not Found")</f>
        <v>Steeleye Stout</v>
      </c>
    </row>
    <row r="2062" spans="1:11">
      <c r="A2062" s="1">
        <v>11047</v>
      </c>
      <c r="B2062" s="1">
        <v>1</v>
      </c>
      <c r="C2062" s="1">
        <v>18</v>
      </c>
      <c r="D2062" s="1">
        <v>25</v>
      </c>
      <c r="E2062" s="3">
        <v>0.25</v>
      </c>
      <c r="F2062" s="1" t="str">
        <f>_xlfn.XLOOKUP(A2062,Orders!A:A,Orders!B:B,"not found")</f>
        <v>EASTC</v>
      </c>
      <c r="G2062" s="13">
        <f>_xlfn.XLOOKUP(OrderDetails[[#This Row],[OrderID]],Orders!A:A,Orders!C:C,"Not Found")</f>
        <v>35909</v>
      </c>
      <c r="H2062" s="16">
        <f>(OrderDetails[[#This Row],[UnitPrice]]*OrderDetails[[#This Row],[Quantity]])*(1-OrderDetails[[#This Row],[Discount]])</f>
        <v>337.5</v>
      </c>
      <c r="I2062" s="15" t="str">
        <f>_xlfn.XLOOKUP(OrderDetails[[#This Row],[ProductID]],Product!A:A,Product!G:G,"Not Found")</f>
        <v>Beverages</v>
      </c>
      <c r="J2062" s="15" t="str">
        <f>LOOKUP(MONTH(G2062),{1,4,7,10},{"Winter","Spring","Summer","Autumn"})</f>
        <v>Spring</v>
      </c>
      <c r="K2062" s="15" t="str">
        <f>_xlfn.XLOOKUP(OrderDetails[[#This Row],[ProductID]],Product!A:A,Product!B:B,"Not Found")</f>
        <v>Chai</v>
      </c>
    </row>
    <row r="2063" spans="1:11">
      <c r="A2063" s="2">
        <v>11047</v>
      </c>
      <c r="B2063" s="2">
        <v>5</v>
      </c>
      <c r="C2063" s="2">
        <v>21.35</v>
      </c>
      <c r="D2063" s="2">
        <v>30</v>
      </c>
      <c r="E2063" s="4">
        <v>0.25</v>
      </c>
      <c r="F2063" s="1" t="str">
        <f>_xlfn.XLOOKUP(A2063,Orders!A:A,Orders!B:B,"not found")</f>
        <v>EASTC</v>
      </c>
      <c r="G2063" s="13">
        <f>_xlfn.XLOOKUP(OrderDetails[[#This Row],[OrderID]],Orders!A:A,Orders!C:C,"Not Found")</f>
        <v>35909</v>
      </c>
      <c r="H2063" s="16">
        <f>(OrderDetails[[#This Row],[UnitPrice]]*OrderDetails[[#This Row],[Quantity]])*(1-OrderDetails[[#This Row],[Discount]])</f>
        <v>480.375</v>
      </c>
      <c r="I2063" s="15" t="str">
        <f>_xlfn.XLOOKUP(OrderDetails[[#This Row],[ProductID]],Product!A:A,Product!G:G,"Not Found")</f>
        <v>Condiments</v>
      </c>
      <c r="J2063" s="15" t="str">
        <f>LOOKUP(MONTH(G2063),{1,4,7,10},{"Winter","Spring","Summer","Autumn"})</f>
        <v>Spring</v>
      </c>
      <c r="K2063" s="15" t="str">
        <f>_xlfn.XLOOKUP(OrderDetails[[#This Row],[ProductID]],Product!A:A,Product!B:B,"Not Found")</f>
        <v>Chef Anton's Gumbo Mix</v>
      </c>
    </row>
    <row r="2064" spans="1:11">
      <c r="A2064" s="1">
        <v>11048</v>
      </c>
      <c r="B2064" s="1">
        <v>68</v>
      </c>
      <c r="C2064" s="1">
        <v>12.5</v>
      </c>
      <c r="D2064" s="1">
        <v>42</v>
      </c>
      <c r="E2064" s="3">
        <v>0</v>
      </c>
      <c r="F2064" s="1" t="str">
        <f>_xlfn.XLOOKUP(A2064,Orders!A:A,Orders!B:B,"not found")</f>
        <v>BOTTM</v>
      </c>
      <c r="G2064" s="13">
        <f>_xlfn.XLOOKUP(OrderDetails[[#This Row],[OrderID]],Orders!A:A,Orders!C:C,"Not Found")</f>
        <v>35909</v>
      </c>
      <c r="H2064" s="16">
        <f>(OrderDetails[[#This Row],[UnitPrice]]*OrderDetails[[#This Row],[Quantity]])*(1-OrderDetails[[#This Row],[Discount]])</f>
        <v>525</v>
      </c>
      <c r="I2064" s="15" t="str">
        <f>_xlfn.XLOOKUP(OrderDetails[[#This Row],[ProductID]],Product!A:A,Product!G:G,"Not Found")</f>
        <v>Confections</v>
      </c>
      <c r="J2064" s="15" t="str">
        <f>LOOKUP(MONTH(G2064),{1,4,7,10},{"Winter","Spring","Summer","Autumn"})</f>
        <v>Spring</v>
      </c>
      <c r="K2064" s="15" t="str">
        <f>_xlfn.XLOOKUP(OrderDetails[[#This Row],[ProductID]],Product!A:A,Product!B:B,"Not Found")</f>
        <v>Scottish Longbreads</v>
      </c>
    </row>
    <row r="2065" spans="1:11">
      <c r="A2065" s="2">
        <v>11049</v>
      </c>
      <c r="B2065" s="2">
        <v>2</v>
      </c>
      <c r="C2065" s="2">
        <v>19</v>
      </c>
      <c r="D2065" s="2">
        <v>10</v>
      </c>
      <c r="E2065" s="4">
        <v>0.20000000298023224</v>
      </c>
      <c r="F2065" s="1" t="str">
        <f>_xlfn.XLOOKUP(A2065,Orders!A:A,Orders!B:B,"not found")</f>
        <v>GOURL</v>
      </c>
      <c r="G2065" s="13">
        <f>_xlfn.XLOOKUP(OrderDetails[[#This Row],[OrderID]],Orders!A:A,Orders!C:C,"Not Found")</f>
        <v>35909</v>
      </c>
      <c r="H2065" s="16">
        <f>(OrderDetails[[#This Row],[UnitPrice]]*OrderDetails[[#This Row],[Quantity]])*(1-OrderDetails[[#This Row],[Discount]])</f>
        <v>151.99999943375587</v>
      </c>
      <c r="I2065" s="15" t="str">
        <f>_xlfn.XLOOKUP(OrderDetails[[#This Row],[ProductID]],Product!A:A,Product!G:G,"Not Found")</f>
        <v>Beverages</v>
      </c>
      <c r="J2065" s="15" t="str">
        <f>LOOKUP(MONTH(G2065),{1,4,7,10},{"Winter","Spring","Summer","Autumn"})</f>
        <v>Spring</v>
      </c>
      <c r="K2065" s="15" t="str">
        <f>_xlfn.XLOOKUP(OrderDetails[[#This Row],[ProductID]],Product!A:A,Product!B:B,"Not Found")</f>
        <v>Chang</v>
      </c>
    </row>
    <row r="2066" spans="1:11">
      <c r="A2066" s="1">
        <v>11049</v>
      </c>
      <c r="B2066" s="1">
        <v>12</v>
      </c>
      <c r="C2066" s="1">
        <v>38</v>
      </c>
      <c r="D2066" s="1">
        <v>4</v>
      </c>
      <c r="E2066" s="3">
        <v>0.20000000298023224</v>
      </c>
      <c r="F2066" s="1" t="str">
        <f>_xlfn.XLOOKUP(A2066,Orders!A:A,Orders!B:B,"not found")</f>
        <v>GOURL</v>
      </c>
      <c r="G2066" s="13">
        <f>_xlfn.XLOOKUP(OrderDetails[[#This Row],[OrderID]],Orders!A:A,Orders!C:C,"Not Found")</f>
        <v>35909</v>
      </c>
      <c r="H2066" s="16">
        <f>(OrderDetails[[#This Row],[UnitPrice]]*OrderDetails[[#This Row],[Quantity]])*(1-OrderDetails[[#This Row],[Discount]])</f>
        <v>121.5999995470047</v>
      </c>
      <c r="I2066" s="15" t="str">
        <f>_xlfn.XLOOKUP(OrderDetails[[#This Row],[ProductID]],Product!A:A,Product!G:G,"Not Found")</f>
        <v>Dairy Products</v>
      </c>
      <c r="J2066" s="15" t="str">
        <f>LOOKUP(MONTH(G2066),{1,4,7,10},{"Winter","Spring","Summer","Autumn"})</f>
        <v>Spring</v>
      </c>
      <c r="K2066" s="15" t="str">
        <f>_xlfn.XLOOKUP(OrderDetails[[#This Row],[ProductID]],Product!A:A,Product!B:B,"Not Found")</f>
        <v>Queso Manchego La Pastora</v>
      </c>
    </row>
    <row r="2067" spans="1:11">
      <c r="A2067" s="2">
        <v>11050</v>
      </c>
      <c r="B2067" s="2">
        <v>76</v>
      </c>
      <c r="C2067" s="2">
        <v>18</v>
      </c>
      <c r="D2067" s="2">
        <v>50</v>
      </c>
      <c r="E2067" s="4">
        <v>0.10000000149011612</v>
      </c>
      <c r="F2067" s="1" t="str">
        <f>_xlfn.XLOOKUP(A2067,Orders!A:A,Orders!B:B,"not found")</f>
        <v>FOLKO</v>
      </c>
      <c r="G2067" s="13">
        <f>_xlfn.XLOOKUP(OrderDetails[[#This Row],[OrderID]],Orders!A:A,Orders!C:C,"Not Found")</f>
        <v>35912</v>
      </c>
      <c r="H2067" s="16">
        <f>(OrderDetails[[#This Row],[UnitPrice]]*OrderDetails[[#This Row],[Quantity]])*(1-OrderDetails[[#This Row],[Discount]])</f>
        <v>809.99999865889549</v>
      </c>
      <c r="I2067" s="15" t="str">
        <f>_xlfn.XLOOKUP(OrderDetails[[#This Row],[ProductID]],Product!A:A,Product!G:G,"Not Found")</f>
        <v>Beverages</v>
      </c>
      <c r="J2067" s="15" t="str">
        <f>LOOKUP(MONTH(G2067),{1,4,7,10},{"Winter","Spring","Summer","Autumn"})</f>
        <v>Spring</v>
      </c>
      <c r="K2067" s="15" t="str">
        <f>_xlfn.XLOOKUP(OrderDetails[[#This Row],[ProductID]],Product!A:A,Product!B:B,"Not Found")</f>
        <v>Lakkalikööri</v>
      </c>
    </row>
    <row r="2068" spans="1:11">
      <c r="A2068" s="1">
        <v>11051</v>
      </c>
      <c r="B2068" s="1">
        <v>24</v>
      </c>
      <c r="C2068" s="1">
        <v>4.5</v>
      </c>
      <c r="D2068" s="1">
        <v>10</v>
      </c>
      <c r="E2068" s="3">
        <v>0.20000000298023224</v>
      </c>
      <c r="F2068" s="1" t="str">
        <f>_xlfn.XLOOKUP(A2068,Orders!A:A,Orders!B:B,"not found")</f>
        <v>LAMAI</v>
      </c>
      <c r="G2068" s="13">
        <f>_xlfn.XLOOKUP(OrderDetails[[#This Row],[OrderID]],Orders!A:A,Orders!C:C,"Not Found")</f>
        <v>35912</v>
      </c>
      <c r="H2068" s="16">
        <f>(OrderDetails[[#This Row],[UnitPrice]]*OrderDetails[[#This Row],[Quantity]])*(1-OrderDetails[[#This Row],[Discount]])</f>
        <v>35.999999865889549</v>
      </c>
      <c r="I2068" s="15" t="str">
        <f>_xlfn.XLOOKUP(OrderDetails[[#This Row],[ProductID]],Product!A:A,Product!G:G,"Not Found")</f>
        <v>Beverages</v>
      </c>
      <c r="J2068" s="15" t="str">
        <f>LOOKUP(MONTH(G2068),{1,4,7,10},{"Winter","Spring","Summer","Autumn"})</f>
        <v>Spring</v>
      </c>
      <c r="K2068" s="15" t="str">
        <f>_xlfn.XLOOKUP(OrderDetails[[#This Row],[ProductID]],Product!A:A,Product!B:B,"Not Found")</f>
        <v>Guaraná Fantástica</v>
      </c>
    </row>
    <row r="2069" spans="1:11">
      <c r="A2069" s="2">
        <v>11052</v>
      </c>
      <c r="B2069" s="2">
        <v>43</v>
      </c>
      <c r="C2069" s="2">
        <v>46</v>
      </c>
      <c r="D2069" s="2">
        <v>30</v>
      </c>
      <c r="E2069" s="4">
        <v>0.20000000298023224</v>
      </c>
      <c r="F2069" s="1" t="str">
        <f>_xlfn.XLOOKUP(A2069,Orders!A:A,Orders!B:B,"not found")</f>
        <v>HANAR</v>
      </c>
      <c r="G2069" s="13">
        <f>_xlfn.XLOOKUP(OrderDetails[[#This Row],[OrderID]],Orders!A:A,Orders!C:C,"Not Found")</f>
        <v>35912</v>
      </c>
      <c r="H2069" s="16">
        <f>(OrderDetails[[#This Row],[UnitPrice]]*OrderDetails[[#This Row],[Quantity]])*(1-OrderDetails[[#This Row],[Discount]])</f>
        <v>1103.9999958872795</v>
      </c>
      <c r="I2069" s="15" t="str">
        <f>_xlfn.XLOOKUP(OrderDetails[[#This Row],[ProductID]],Product!A:A,Product!G:G,"Not Found")</f>
        <v>Beverages</v>
      </c>
      <c r="J2069" s="15" t="str">
        <f>LOOKUP(MONTH(G2069),{1,4,7,10},{"Winter","Spring","Summer","Autumn"})</f>
        <v>Spring</v>
      </c>
      <c r="K2069" s="15" t="str">
        <f>_xlfn.XLOOKUP(OrderDetails[[#This Row],[ProductID]],Product!A:A,Product!B:B,"Not Found")</f>
        <v>Ipoh Coffee</v>
      </c>
    </row>
    <row r="2070" spans="1:11">
      <c r="A2070" s="1">
        <v>11052</v>
      </c>
      <c r="B2070" s="1">
        <v>61</v>
      </c>
      <c r="C2070" s="1">
        <v>28.5</v>
      </c>
      <c r="D2070" s="1">
        <v>10</v>
      </c>
      <c r="E2070" s="3">
        <v>0.20000000298023224</v>
      </c>
      <c r="F2070" s="1" t="str">
        <f>_xlfn.XLOOKUP(A2070,Orders!A:A,Orders!B:B,"not found")</f>
        <v>HANAR</v>
      </c>
      <c r="G2070" s="13">
        <f>_xlfn.XLOOKUP(OrderDetails[[#This Row],[OrderID]],Orders!A:A,Orders!C:C,"Not Found")</f>
        <v>35912</v>
      </c>
      <c r="H2070" s="16">
        <f>(OrderDetails[[#This Row],[UnitPrice]]*OrderDetails[[#This Row],[Quantity]])*(1-OrderDetails[[#This Row],[Discount]])</f>
        <v>227.99999915063381</v>
      </c>
      <c r="I2070" s="15" t="str">
        <f>_xlfn.XLOOKUP(OrderDetails[[#This Row],[ProductID]],Product!A:A,Product!G:G,"Not Found")</f>
        <v>Condiments</v>
      </c>
      <c r="J2070" s="15" t="str">
        <f>LOOKUP(MONTH(G2070),{1,4,7,10},{"Winter","Spring","Summer","Autumn"})</f>
        <v>Spring</v>
      </c>
      <c r="K2070" s="15" t="str">
        <f>_xlfn.XLOOKUP(OrderDetails[[#This Row],[ProductID]],Product!A:A,Product!B:B,"Not Found")</f>
        <v>Sirop d'érable</v>
      </c>
    </row>
    <row r="2071" spans="1:11">
      <c r="A2071" s="2">
        <v>11053</v>
      </c>
      <c r="B2071" s="2">
        <v>18</v>
      </c>
      <c r="C2071" s="2">
        <v>62.5</v>
      </c>
      <c r="D2071" s="2">
        <v>35</v>
      </c>
      <c r="E2071" s="4">
        <v>0.20000000298023224</v>
      </c>
      <c r="F2071" s="1" t="str">
        <f>_xlfn.XLOOKUP(A2071,Orders!A:A,Orders!B:B,"not found")</f>
        <v>PICCO</v>
      </c>
      <c r="G2071" s="13">
        <f>_xlfn.XLOOKUP(OrderDetails[[#This Row],[OrderID]],Orders!A:A,Orders!C:C,"Not Found")</f>
        <v>35912</v>
      </c>
      <c r="H2071" s="16">
        <f>(OrderDetails[[#This Row],[UnitPrice]]*OrderDetails[[#This Row],[Quantity]])*(1-OrderDetails[[#This Row],[Discount]])</f>
        <v>1749.999993480742</v>
      </c>
      <c r="I2071" s="15" t="str">
        <f>_xlfn.XLOOKUP(OrderDetails[[#This Row],[ProductID]],Product!A:A,Product!G:G,"Not Found")</f>
        <v>Seafood</v>
      </c>
      <c r="J2071" s="15" t="str">
        <f>LOOKUP(MONTH(G2071),{1,4,7,10},{"Winter","Spring","Summer","Autumn"})</f>
        <v>Spring</v>
      </c>
      <c r="K2071" s="15" t="str">
        <f>_xlfn.XLOOKUP(OrderDetails[[#This Row],[ProductID]],Product!A:A,Product!B:B,"Not Found")</f>
        <v>Carnarvon Tigers</v>
      </c>
    </row>
    <row r="2072" spans="1:11">
      <c r="A2072" s="1">
        <v>11053</v>
      </c>
      <c r="B2072" s="1">
        <v>32</v>
      </c>
      <c r="C2072" s="1">
        <v>32</v>
      </c>
      <c r="D2072" s="1">
        <v>20</v>
      </c>
      <c r="E2072" s="3">
        <v>0</v>
      </c>
      <c r="F2072" s="1" t="str">
        <f>_xlfn.XLOOKUP(A2072,Orders!A:A,Orders!B:B,"not found")</f>
        <v>PICCO</v>
      </c>
      <c r="G2072" s="13">
        <f>_xlfn.XLOOKUP(OrderDetails[[#This Row],[OrderID]],Orders!A:A,Orders!C:C,"Not Found")</f>
        <v>35912</v>
      </c>
      <c r="H2072" s="16">
        <f>(OrderDetails[[#This Row],[UnitPrice]]*OrderDetails[[#This Row],[Quantity]])*(1-OrderDetails[[#This Row],[Discount]])</f>
        <v>640</v>
      </c>
      <c r="I2072" s="15" t="str">
        <f>_xlfn.XLOOKUP(OrderDetails[[#This Row],[ProductID]],Product!A:A,Product!G:G,"Not Found")</f>
        <v>Dairy Products</v>
      </c>
      <c r="J2072" s="15" t="str">
        <f>LOOKUP(MONTH(G2072),{1,4,7,10},{"Winter","Spring","Summer","Autumn"})</f>
        <v>Spring</v>
      </c>
      <c r="K2072" s="15" t="str">
        <f>_xlfn.XLOOKUP(OrderDetails[[#This Row],[ProductID]],Product!A:A,Product!B:B,"Not Found")</f>
        <v>Mascarpone Fabioli</v>
      </c>
    </row>
    <row r="2073" spans="1:11">
      <c r="A2073" s="2">
        <v>11053</v>
      </c>
      <c r="B2073" s="2">
        <v>64</v>
      </c>
      <c r="C2073" s="2">
        <v>33.25</v>
      </c>
      <c r="D2073" s="2">
        <v>25</v>
      </c>
      <c r="E2073" s="4">
        <v>0.20000000298023224</v>
      </c>
      <c r="F2073" s="1" t="str">
        <f>_xlfn.XLOOKUP(A2073,Orders!A:A,Orders!B:B,"not found")</f>
        <v>PICCO</v>
      </c>
      <c r="G2073" s="13">
        <f>_xlfn.XLOOKUP(OrderDetails[[#This Row],[OrderID]],Orders!A:A,Orders!C:C,"Not Found")</f>
        <v>35912</v>
      </c>
      <c r="H2073" s="16">
        <f>(OrderDetails[[#This Row],[UnitPrice]]*OrderDetails[[#This Row],[Quantity]])*(1-OrderDetails[[#This Row],[Discount]])</f>
        <v>664.99999752268195</v>
      </c>
      <c r="I2073" s="15" t="str">
        <f>_xlfn.XLOOKUP(OrderDetails[[#This Row],[ProductID]],Product!A:A,Product!G:G,"Not Found")</f>
        <v>Grains/Cereals</v>
      </c>
      <c r="J2073" s="15" t="str">
        <f>LOOKUP(MONTH(G2073),{1,4,7,10},{"Winter","Spring","Summer","Autumn"})</f>
        <v>Spring</v>
      </c>
      <c r="K2073" s="15" t="str">
        <f>_xlfn.XLOOKUP(OrderDetails[[#This Row],[ProductID]],Product!A:A,Product!B:B,"Not Found")</f>
        <v>Wimmers gute Semmelknödel</v>
      </c>
    </row>
    <row r="2074" spans="1:11">
      <c r="A2074" s="1">
        <v>11054</v>
      </c>
      <c r="B2074" s="1">
        <v>33</v>
      </c>
      <c r="C2074" s="1">
        <v>2.5</v>
      </c>
      <c r="D2074" s="1">
        <v>10</v>
      </c>
      <c r="E2074" s="3">
        <v>0</v>
      </c>
      <c r="F2074" s="1" t="str">
        <f>_xlfn.XLOOKUP(A2074,Orders!A:A,Orders!B:B,"not found")</f>
        <v>CACTU</v>
      </c>
      <c r="G2074" s="13">
        <f>_xlfn.XLOOKUP(OrderDetails[[#This Row],[OrderID]],Orders!A:A,Orders!C:C,"Not Found")</f>
        <v>35913</v>
      </c>
      <c r="H2074" s="16">
        <f>(OrderDetails[[#This Row],[UnitPrice]]*OrderDetails[[#This Row],[Quantity]])*(1-OrderDetails[[#This Row],[Discount]])</f>
        <v>25</v>
      </c>
      <c r="I2074" s="15" t="str">
        <f>_xlfn.XLOOKUP(OrderDetails[[#This Row],[ProductID]],Product!A:A,Product!G:G,"Not Found")</f>
        <v>Dairy Products</v>
      </c>
      <c r="J2074" s="15" t="str">
        <f>LOOKUP(MONTH(G2074),{1,4,7,10},{"Winter","Spring","Summer","Autumn"})</f>
        <v>Spring</v>
      </c>
      <c r="K2074" s="15" t="str">
        <f>_xlfn.XLOOKUP(OrderDetails[[#This Row],[ProductID]],Product!A:A,Product!B:B,"Not Found")</f>
        <v>Geitost</v>
      </c>
    </row>
    <row r="2075" spans="1:11">
      <c r="A2075" s="2">
        <v>11054</v>
      </c>
      <c r="B2075" s="2">
        <v>67</v>
      </c>
      <c r="C2075" s="2">
        <v>14</v>
      </c>
      <c r="D2075" s="2">
        <v>20</v>
      </c>
      <c r="E2075" s="4">
        <v>0</v>
      </c>
      <c r="F2075" s="1" t="str">
        <f>_xlfn.XLOOKUP(A2075,Orders!A:A,Orders!B:B,"not found")</f>
        <v>CACTU</v>
      </c>
      <c r="G2075" s="13">
        <f>_xlfn.XLOOKUP(OrderDetails[[#This Row],[OrderID]],Orders!A:A,Orders!C:C,"Not Found")</f>
        <v>35913</v>
      </c>
      <c r="H2075" s="16">
        <f>(OrderDetails[[#This Row],[UnitPrice]]*OrderDetails[[#This Row],[Quantity]])*(1-OrderDetails[[#This Row],[Discount]])</f>
        <v>280</v>
      </c>
      <c r="I2075" s="15" t="str">
        <f>_xlfn.XLOOKUP(OrderDetails[[#This Row],[ProductID]],Product!A:A,Product!G:G,"Not Found")</f>
        <v>Beverages</v>
      </c>
      <c r="J2075" s="15" t="str">
        <f>LOOKUP(MONTH(G2075),{1,4,7,10},{"Winter","Spring","Summer","Autumn"})</f>
        <v>Spring</v>
      </c>
      <c r="K2075" s="15" t="str">
        <f>_xlfn.XLOOKUP(OrderDetails[[#This Row],[ProductID]],Product!A:A,Product!B:B,"Not Found")</f>
        <v>Laughing Lumberjack Lager</v>
      </c>
    </row>
    <row r="2076" spans="1:11">
      <c r="A2076" s="1">
        <v>11055</v>
      </c>
      <c r="B2076" s="1">
        <v>24</v>
      </c>
      <c r="C2076" s="1">
        <v>4.5</v>
      </c>
      <c r="D2076" s="1">
        <v>15</v>
      </c>
      <c r="E2076" s="3">
        <v>0</v>
      </c>
      <c r="F2076" s="1" t="str">
        <f>_xlfn.XLOOKUP(A2076,Orders!A:A,Orders!B:B,"not found")</f>
        <v>HILAA</v>
      </c>
      <c r="G2076" s="13">
        <f>_xlfn.XLOOKUP(OrderDetails[[#This Row],[OrderID]],Orders!A:A,Orders!C:C,"Not Found")</f>
        <v>35913</v>
      </c>
      <c r="H2076" s="16">
        <f>(OrderDetails[[#This Row],[UnitPrice]]*OrderDetails[[#This Row],[Quantity]])*(1-OrderDetails[[#This Row],[Discount]])</f>
        <v>67.5</v>
      </c>
      <c r="I2076" s="15" t="str">
        <f>_xlfn.XLOOKUP(OrderDetails[[#This Row],[ProductID]],Product!A:A,Product!G:G,"Not Found")</f>
        <v>Beverages</v>
      </c>
      <c r="J2076" s="15" t="str">
        <f>LOOKUP(MONTH(G2076),{1,4,7,10},{"Winter","Spring","Summer","Autumn"})</f>
        <v>Spring</v>
      </c>
      <c r="K2076" s="15" t="str">
        <f>_xlfn.XLOOKUP(OrderDetails[[#This Row],[ProductID]],Product!A:A,Product!B:B,"Not Found")</f>
        <v>Guaraná Fantástica</v>
      </c>
    </row>
    <row r="2077" spans="1:11">
      <c r="A2077" s="2">
        <v>11055</v>
      </c>
      <c r="B2077" s="2">
        <v>25</v>
      </c>
      <c r="C2077" s="2">
        <v>14</v>
      </c>
      <c r="D2077" s="2">
        <v>15</v>
      </c>
      <c r="E2077" s="4">
        <v>0</v>
      </c>
      <c r="F2077" s="1" t="str">
        <f>_xlfn.XLOOKUP(A2077,Orders!A:A,Orders!B:B,"not found")</f>
        <v>HILAA</v>
      </c>
      <c r="G2077" s="13">
        <f>_xlfn.XLOOKUP(OrderDetails[[#This Row],[OrderID]],Orders!A:A,Orders!C:C,"Not Found")</f>
        <v>35913</v>
      </c>
      <c r="H2077" s="16">
        <f>(OrderDetails[[#This Row],[UnitPrice]]*OrderDetails[[#This Row],[Quantity]])*(1-OrderDetails[[#This Row],[Discount]])</f>
        <v>210</v>
      </c>
      <c r="I2077" s="15" t="str">
        <f>_xlfn.XLOOKUP(OrderDetails[[#This Row],[ProductID]],Product!A:A,Product!G:G,"Not Found")</f>
        <v>Confections</v>
      </c>
      <c r="J2077" s="15" t="str">
        <f>LOOKUP(MONTH(G2077),{1,4,7,10},{"Winter","Spring","Summer","Autumn"})</f>
        <v>Spring</v>
      </c>
      <c r="K2077" s="15" t="str">
        <f>_xlfn.XLOOKUP(OrderDetails[[#This Row],[ProductID]],Product!A:A,Product!B:B,"Not Found")</f>
        <v>NuNuCa Nuß-Nougat-Creme</v>
      </c>
    </row>
    <row r="2078" spans="1:11">
      <c r="A2078" s="1">
        <v>11055</v>
      </c>
      <c r="B2078" s="1">
        <v>51</v>
      </c>
      <c r="C2078" s="1">
        <v>53</v>
      </c>
      <c r="D2078" s="1">
        <v>20</v>
      </c>
      <c r="E2078" s="3">
        <v>0</v>
      </c>
      <c r="F2078" s="1" t="str">
        <f>_xlfn.XLOOKUP(A2078,Orders!A:A,Orders!B:B,"not found")</f>
        <v>HILAA</v>
      </c>
      <c r="G2078" s="13">
        <f>_xlfn.XLOOKUP(OrderDetails[[#This Row],[OrderID]],Orders!A:A,Orders!C:C,"Not Found")</f>
        <v>35913</v>
      </c>
      <c r="H2078" s="16">
        <f>(OrderDetails[[#This Row],[UnitPrice]]*OrderDetails[[#This Row],[Quantity]])*(1-OrderDetails[[#This Row],[Discount]])</f>
        <v>1060</v>
      </c>
      <c r="I2078" s="15" t="str">
        <f>_xlfn.XLOOKUP(OrderDetails[[#This Row],[ProductID]],Product!A:A,Product!G:G,"Not Found")</f>
        <v>Produce</v>
      </c>
      <c r="J2078" s="15" t="str">
        <f>LOOKUP(MONTH(G2078),{1,4,7,10},{"Winter","Spring","Summer","Autumn"})</f>
        <v>Spring</v>
      </c>
      <c r="K2078" s="15" t="str">
        <f>_xlfn.XLOOKUP(OrderDetails[[#This Row],[ProductID]],Product!A:A,Product!B:B,"Not Found")</f>
        <v>Manjimup Dried Apples</v>
      </c>
    </row>
    <row r="2079" spans="1:11">
      <c r="A2079" s="2">
        <v>11055</v>
      </c>
      <c r="B2079" s="2">
        <v>57</v>
      </c>
      <c r="C2079" s="2">
        <v>19.5</v>
      </c>
      <c r="D2079" s="2">
        <v>20</v>
      </c>
      <c r="E2079" s="4">
        <v>0</v>
      </c>
      <c r="F2079" s="1" t="str">
        <f>_xlfn.XLOOKUP(A2079,Orders!A:A,Orders!B:B,"not found")</f>
        <v>HILAA</v>
      </c>
      <c r="G2079" s="13">
        <f>_xlfn.XLOOKUP(OrderDetails[[#This Row],[OrderID]],Orders!A:A,Orders!C:C,"Not Found")</f>
        <v>35913</v>
      </c>
      <c r="H2079" s="16">
        <f>(OrderDetails[[#This Row],[UnitPrice]]*OrderDetails[[#This Row],[Quantity]])*(1-OrderDetails[[#This Row],[Discount]])</f>
        <v>390</v>
      </c>
      <c r="I2079" s="15" t="str">
        <f>_xlfn.XLOOKUP(OrderDetails[[#This Row],[ProductID]],Product!A:A,Product!G:G,"Not Found")</f>
        <v>Grains/Cereals</v>
      </c>
      <c r="J2079" s="15" t="str">
        <f>LOOKUP(MONTH(G2079),{1,4,7,10},{"Winter","Spring","Summer","Autumn"})</f>
        <v>Spring</v>
      </c>
      <c r="K2079" s="15" t="str">
        <f>_xlfn.XLOOKUP(OrderDetails[[#This Row],[ProductID]],Product!A:A,Product!B:B,"Not Found")</f>
        <v>Ravioli Angelo</v>
      </c>
    </row>
    <row r="2080" spans="1:11">
      <c r="A2080" s="1">
        <v>11056</v>
      </c>
      <c r="B2080" s="1">
        <v>7</v>
      </c>
      <c r="C2080" s="1">
        <v>30</v>
      </c>
      <c r="D2080" s="1">
        <v>40</v>
      </c>
      <c r="E2080" s="3">
        <v>0</v>
      </c>
      <c r="F2080" s="1" t="str">
        <f>_xlfn.XLOOKUP(A2080,Orders!A:A,Orders!B:B,"not found")</f>
        <v>EASTC</v>
      </c>
      <c r="G2080" s="13">
        <f>_xlfn.XLOOKUP(OrderDetails[[#This Row],[OrderID]],Orders!A:A,Orders!C:C,"Not Found")</f>
        <v>35913</v>
      </c>
      <c r="H2080" s="16">
        <f>(OrderDetails[[#This Row],[UnitPrice]]*OrderDetails[[#This Row],[Quantity]])*(1-OrderDetails[[#This Row],[Discount]])</f>
        <v>1200</v>
      </c>
      <c r="I2080" s="15" t="str">
        <f>_xlfn.XLOOKUP(OrderDetails[[#This Row],[ProductID]],Product!A:A,Product!G:G,"Not Found")</f>
        <v>Produce</v>
      </c>
      <c r="J2080" s="15" t="str">
        <f>LOOKUP(MONTH(G2080),{1,4,7,10},{"Winter","Spring","Summer","Autumn"})</f>
        <v>Spring</v>
      </c>
      <c r="K2080" s="15" t="str">
        <f>_xlfn.XLOOKUP(OrderDetails[[#This Row],[ProductID]],Product!A:A,Product!B:B,"Not Found")</f>
        <v>Uncle Bob's Organic Dried Pears</v>
      </c>
    </row>
    <row r="2081" spans="1:11">
      <c r="A2081" s="2">
        <v>11056</v>
      </c>
      <c r="B2081" s="2">
        <v>55</v>
      </c>
      <c r="C2081" s="2">
        <v>24</v>
      </c>
      <c r="D2081" s="2">
        <v>35</v>
      </c>
      <c r="E2081" s="4">
        <v>0</v>
      </c>
      <c r="F2081" s="1" t="str">
        <f>_xlfn.XLOOKUP(A2081,Orders!A:A,Orders!B:B,"not found")</f>
        <v>EASTC</v>
      </c>
      <c r="G2081" s="13">
        <f>_xlfn.XLOOKUP(OrderDetails[[#This Row],[OrderID]],Orders!A:A,Orders!C:C,"Not Found")</f>
        <v>35913</v>
      </c>
      <c r="H2081" s="16">
        <f>(OrderDetails[[#This Row],[UnitPrice]]*OrderDetails[[#This Row],[Quantity]])*(1-OrderDetails[[#This Row],[Discount]])</f>
        <v>840</v>
      </c>
      <c r="I2081" s="15" t="str">
        <f>_xlfn.XLOOKUP(OrderDetails[[#This Row],[ProductID]],Product!A:A,Product!G:G,"Not Found")</f>
        <v>Meat/Poultry</v>
      </c>
      <c r="J2081" s="15" t="str">
        <f>LOOKUP(MONTH(G2081),{1,4,7,10},{"Winter","Spring","Summer","Autumn"})</f>
        <v>Spring</v>
      </c>
      <c r="K2081" s="15" t="str">
        <f>_xlfn.XLOOKUP(OrderDetails[[#This Row],[ProductID]],Product!A:A,Product!B:B,"Not Found")</f>
        <v>Pâté chinois</v>
      </c>
    </row>
    <row r="2082" spans="1:11">
      <c r="A2082" s="1">
        <v>11056</v>
      </c>
      <c r="B2082" s="1">
        <v>60</v>
      </c>
      <c r="C2082" s="1">
        <v>34</v>
      </c>
      <c r="D2082" s="1">
        <v>50</v>
      </c>
      <c r="E2082" s="3">
        <v>0</v>
      </c>
      <c r="F2082" s="1" t="str">
        <f>_xlfn.XLOOKUP(A2082,Orders!A:A,Orders!B:B,"not found")</f>
        <v>EASTC</v>
      </c>
      <c r="G2082" s="13">
        <f>_xlfn.XLOOKUP(OrderDetails[[#This Row],[OrderID]],Orders!A:A,Orders!C:C,"Not Found")</f>
        <v>35913</v>
      </c>
      <c r="H2082" s="16">
        <f>(OrderDetails[[#This Row],[UnitPrice]]*OrderDetails[[#This Row],[Quantity]])*(1-OrderDetails[[#This Row],[Discount]])</f>
        <v>1700</v>
      </c>
      <c r="I2082" s="15" t="str">
        <f>_xlfn.XLOOKUP(OrderDetails[[#This Row],[ProductID]],Product!A:A,Product!G:G,"Not Found")</f>
        <v>Dairy Products</v>
      </c>
      <c r="J2082" s="15" t="str">
        <f>LOOKUP(MONTH(G2082),{1,4,7,10},{"Winter","Spring","Summer","Autumn"})</f>
        <v>Spring</v>
      </c>
      <c r="K2082" s="15" t="str">
        <f>_xlfn.XLOOKUP(OrderDetails[[#This Row],[ProductID]],Product!A:A,Product!B:B,"Not Found")</f>
        <v>Camembert Pierrot</v>
      </c>
    </row>
    <row r="2083" spans="1:11">
      <c r="A2083" s="2">
        <v>11057</v>
      </c>
      <c r="B2083" s="2">
        <v>70</v>
      </c>
      <c r="C2083" s="2">
        <v>15</v>
      </c>
      <c r="D2083" s="2">
        <v>3</v>
      </c>
      <c r="E2083" s="4">
        <v>0</v>
      </c>
      <c r="F2083" s="1" t="str">
        <f>_xlfn.XLOOKUP(A2083,Orders!A:A,Orders!B:B,"not found")</f>
        <v>NORTS</v>
      </c>
      <c r="G2083" s="13">
        <f>_xlfn.XLOOKUP(OrderDetails[[#This Row],[OrderID]],Orders!A:A,Orders!C:C,"Not Found")</f>
        <v>35914</v>
      </c>
      <c r="H2083" s="16">
        <f>(OrderDetails[[#This Row],[UnitPrice]]*OrderDetails[[#This Row],[Quantity]])*(1-OrderDetails[[#This Row],[Discount]])</f>
        <v>45</v>
      </c>
      <c r="I2083" s="15" t="str">
        <f>_xlfn.XLOOKUP(OrderDetails[[#This Row],[ProductID]],Product!A:A,Product!G:G,"Not Found")</f>
        <v>Beverages</v>
      </c>
      <c r="J2083" s="15" t="str">
        <f>LOOKUP(MONTH(G2083),{1,4,7,10},{"Winter","Spring","Summer","Autumn"})</f>
        <v>Spring</v>
      </c>
      <c r="K2083" s="15" t="str">
        <f>_xlfn.XLOOKUP(OrderDetails[[#This Row],[ProductID]],Product!A:A,Product!B:B,"Not Found")</f>
        <v>Outback Lager</v>
      </c>
    </row>
    <row r="2084" spans="1:11">
      <c r="A2084" s="1">
        <v>11058</v>
      </c>
      <c r="B2084" s="1">
        <v>21</v>
      </c>
      <c r="C2084" s="1">
        <v>10</v>
      </c>
      <c r="D2084" s="1">
        <v>3</v>
      </c>
      <c r="E2084" s="3">
        <v>0</v>
      </c>
      <c r="F2084" s="1" t="str">
        <f>_xlfn.XLOOKUP(A2084,Orders!A:A,Orders!B:B,"not found")</f>
        <v>BLAUS</v>
      </c>
      <c r="G2084" s="13">
        <f>_xlfn.XLOOKUP(OrderDetails[[#This Row],[OrderID]],Orders!A:A,Orders!C:C,"Not Found")</f>
        <v>35914</v>
      </c>
      <c r="H2084" s="16">
        <f>(OrderDetails[[#This Row],[UnitPrice]]*OrderDetails[[#This Row],[Quantity]])*(1-OrderDetails[[#This Row],[Discount]])</f>
        <v>30</v>
      </c>
      <c r="I2084" s="15" t="str">
        <f>_xlfn.XLOOKUP(OrderDetails[[#This Row],[ProductID]],Product!A:A,Product!G:G,"Not Found")</f>
        <v>Confections</v>
      </c>
      <c r="J2084" s="15" t="str">
        <f>LOOKUP(MONTH(G2084),{1,4,7,10},{"Winter","Spring","Summer","Autumn"})</f>
        <v>Spring</v>
      </c>
      <c r="K2084" s="15" t="str">
        <f>_xlfn.XLOOKUP(OrderDetails[[#This Row],[ProductID]],Product!A:A,Product!B:B,"Not Found")</f>
        <v>Sir Rodney's Scones</v>
      </c>
    </row>
    <row r="2085" spans="1:11">
      <c r="A2085" s="2">
        <v>11058</v>
      </c>
      <c r="B2085" s="2">
        <v>60</v>
      </c>
      <c r="C2085" s="2">
        <v>34</v>
      </c>
      <c r="D2085" s="2">
        <v>21</v>
      </c>
      <c r="E2085" s="4">
        <v>0</v>
      </c>
      <c r="F2085" s="1" t="str">
        <f>_xlfn.XLOOKUP(A2085,Orders!A:A,Orders!B:B,"not found")</f>
        <v>BLAUS</v>
      </c>
      <c r="G2085" s="13">
        <f>_xlfn.XLOOKUP(OrderDetails[[#This Row],[OrderID]],Orders!A:A,Orders!C:C,"Not Found")</f>
        <v>35914</v>
      </c>
      <c r="H2085" s="16">
        <f>(OrderDetails[[#This Row],[UnitPrice]]*OrderDetails[[#This Row],[Quantity]])*(1-OrderDetails[[#This Row],[Discount]])</f>
        <v>714</v>
      </c>
      <c r="I2085" s="15" t="str">
        <f>_xlfn.XLOOKUP(OrderDetails[[#This Row],[ProductID]],Product!A:A,Product!G:G,"Not Found")</f>
        <v>Dairy Products</v>
      </c>
      <c r="J2085" s="15" t="str">
        <f>LOOKUP(MONTH(G2085),{1,4,7,10},{"Winter","Spring","Summer","Autumn"})</f>
        <v>Spring</v>
      </c>
      <c r="K2085" s="15" t="str">
        <f>_xlfn.XLOOKUP(OrderDetails[[#This Row],[ProductID]],Product!A:A,Product!B:B,"Not Found")</f>
        <v>Camembert Pierrot</v>
      </c>
    </row>
    <row r="2086" spans="1:11">
      <c r="A2086" s="1">
        <v>11058</v>
      </c>
      <c r="B2086" s="1">
        <v>61</v>
      </c>
      <c r="C2086" s="1">
        <v>28.5</v>
      </c>
      <c r="D2086" s="1">
        <v>4</v>
      </c>
      <c r="E2086" s="3">
        <v>0</v>
      </c>
      <c r="F2086" s="1" t="str">
        <f>_xlfn.XLOOKUP(A2086,Orders!A:A,Orders!B:B,"not found")</f>
        <v>BLAUS</v>
      </c>
      <c r="G2086" s="13">
        <f>_xlfn.XLOOKUP(OrderDetails[[#This Row],[OrderID]],Orders!A:A,Orders!C:C,"Not Found")</f>
        <v>35914</v>
      </c>
      <c r="H2086" s="16">
        <f>(OrderDetails[[#This Row],[UnitPrice]]*OrderDetails[[#This Row],[Quantity]])*(1-OrderDetails[[#This Row],[Discount]])</f>
        <v>114</v>
      </c>
      <c r="I2086" s="15" t="str">
        <f>_xlfn.XLOOKUP(OrderDetails[[#This Row],[ProductID]],Product!A:A,Product!G:G,"Not Found")</f>
        <v>Condiments</v>
      </c>
      <c r="J2086" s="15" t="str">
        <f>LOOKUP(MONTH(G2086),{1,4,7,10},{"Winter","Spring","Summer","Autumn"})</f>
        <v>Spring</v>
      </c>
      <c r="K2086" s="15" t="str">
        <f>_xlfn.XLOOKUP(OrderDetails[[#This Row],[ProductID]],Product!A:A,Product!B:B,"Not Found")</f>
        <v>Sirop d'érable</v>
      </c>
    </row>
    <row r="2087" spans="1:11">
      <c r="A2087" s="2">
        <v>11059</v>
      </c>
      <c r="B2087" s="2">
        <v>13</v>
      </c>
      <c r="C2087" s="2">
        <v>6</v>
      </c>
      <c r="D2087" s="2">
        <v>30</v>
      </c>
      <c r="E2087" s="4">
        <v>0</v>
      </c>
      <c r="F2087" s="1" t="str">
        <f>_xlfn.XLOOKUP(A2087,Orders!A:A,Orders!B:B,"not found")</f>
        <v>RICAR</v>
      </c>
      <c r="G2087" s="13">
        <f>_xlfn.XLOOKUP(OrderDetails[[#This Row],[OrderID]],Orders!A:A,Orders!C:C,"Not Found")</f>
        <v>35914</v>
      </c>
      <c r="H2087" s="16">
        <f>(OrderDetails[[#This Row],[UnitPrice]]*OrderDetails[[#This Row],[Quantity]])*(1-OrderDetails[[#This Row],[Discount]])</f>
        <v>180</v>
      </c>
      <c r="I2087" s="15" t="str">
        <f>_xlfn.XLOOKUP(OrderDetails[[#This Row],[ProductID]],Product!A:A,Product!G:G,"Not Found")</f>
        <v>Seafood</v>
      </c>
      <c r="J2087" s="15" t="str">
        <f>LOOKUP(MONTH(G2087),{1,4,7,10},{"Winter","Spring","Summer","Autumn"})</f>
        <v>Spring</v>
      </c>
      <c r="K2087" s="15" t="str">
        <f>_xlfn.XLOOKUP(OrderDetails[[#This Row],[ProductID]],Product!A:A,Product!B:B,"Not Found")</f>
        <v>Konbu</v>
      </c>
    </row>
    <row r="2088" spans="1:11">
      <c r="A2088" s="1">
        <v>11059</v>
      </c>
      <c r="B2088" s="1">
        <v>17</v>
      </c>
      <c r="C2088" s="1">
        <v>39</v>
      </c>
      <c r="D2088" s="1">
        <v>12</v>
      </c>
      <c r="E2088" s="3">
        <v>0</v>
      </c>
      <c r="F2088" s="1" t="str">
        <f>_xlfn.XLOOKUP(A2088,Orders!A:A,Orders!B:B,"not found")</f>
        <v>RICAR</v>
      </c>
      <c r="G2088" s="13">
        <f>_xlfn.XLOOKUP(OrderDetails[[#This Row],[OrderID]],Orders!A:A,Orders!C:C,"Not Found")</f>
        <v>35914</v>
      </c>
      <c r="H2088" s="16">
        <f>(OrderDetails[[#This Row],[UnitPrice]]*OrderDetails[[#This Row],[Quantity]])*(1-OrderDetails[[#This Row],[Discount]])</f>
        <v>468</v>
      </c>
      <c r="I2088" s="15" t="str">
        <f>_xlfn.XLOOKUP(OrderDetails[[#This Row],[ProductID]],Product!A:A,Product!G:G,"Not Found")</f>
        <v>Meat/Poultry</v>
      </c>
      <c r="J2088" s="15" t="str">
        <f>LOOKUP(MONTH(G2088),{1,4,7,10},{"Winter","Spring","Summer","Autumn"})</f>
        <v>Spring</v>
      </c>
      <c r="K2088" s="15" t="str">
        <f>_xlfn.XLOOKUP(OrderDetails[[#This Row],[ProductID]],Product!A:A,Product!B:B,"Not Found")</f>
        <v>Alice Mutton</v>
      </c>
    </row>
    <row r="2089" spans="1:11">
      <c r="A2089" s="2">
        <v>11059</v>
      </c>
      <c r="B2089" s="2">
        <v>60</v>
      </c>
      <c r="C2089" s="2">
        <v>34</v>
      </c>
      <c r="D2089" s="2">
        <v>35</v>
      </c>
      <c r="E2089" s="4">
        <v>0</v>
      </c>
      <c r="F2089" s="1" t="str">
        <f>_xlfn.XLOOKUP(A2089,Orders!A:A,Orders!B:B,"not found")</f>
        <v>RICAR</v>
      </c>
      <c r="G2089" s="13">
        <f>_xlfn.XLOOKUP(OrderDetails[[#This Row],[OrderID]],Orders!A:A,Orders!C:C,"Not Found")</f>
        <v>35914</v>
      </c>
      <c r="H2089" s="16">
        <f>(OrderDetails[[#This Row],[UnitPrice]]*OrderDetails[[#This Row],[Quantity]])*(1-OrderDetails[[#This Row],[Discount]])</f>
        <v>1190</v>
      </c>
      <c r="I2089" s="15" t="str">
        <f>_xlfn.XLOOKUP(OrderDetails[[#This Row],[ProductID]],Product!A:A,Product!G:G,"Not Found")</f>
        <v>Dairy Products</v>
      </c>
      <c r="J2089" s="15" t="str">
        <f>LOOKUP(MONTH(G2089),{1,4,7,10},{"Winter","Spring","Summer","Autumn"})</f>
        <v>Spring</v>
      </c>
      <c r="K2089" s="15" t="str">
        <f>_xlfn.XLOOKUP(OrderDetails[[#This Row],[ProductID]],Product!A:A,Product!B:B,"Not Found")</f>
        <v>Camembert Pierrot</v>
      </c>
    </row>
    <row r="2090" spans="1:11">
      <c r="A2090" s="1">
        <v>11060</v>
      </c>
      <c r="B2090" s="1">
        <v>60</v>
      </c>
      <c r="C2090" s="1">
        <v>34</v>
      </c>
      <c r="D2090" s="1">
        <v>4</v>
      </c>
      <c r="E2090" s="3">
        <v>0</v>
      </c>
      <c r="F2090" s="1" t="str">
        <f>_xlfn.XLOOKUP(A2090,Orders!A:A,Orders!B:B,"not found")</f>
        <v>FRANS</v>
      </c>
      <c r="G2090" s="13">
        <f>_xlfn.XLOOKUP(OrderDetails[[#This Row],[OrderID]],Orders!A:A,Orders!C:C,"Not Found")</f>
        <v>35915</v>
      </c>
      <c r="H2090" s="16">
        <f>(OrderDetails[[#This Row],[UnitPrice]]*OrderDetails[[#This Row],[Quantity]])*(1-OrderDetails[[#This Row],[Discount]])</f>
        <v>136</v>
      </c>
      <c r="I2090" s="15" t="str">
        <f>_xlfn.XLOOKUP(OrderDetails[[#This Row],[ProductID]],Product!A:A,Product!G:G,"Not Found")</f>
        <v>Dairy Products</v>
      </c>
      <c r="J2090" s="15" t="str">
        <f>LOOKUP(MONTH(G2090),{1,4,7,10},{"Winter","Spring","Summer","Autumn"})</f>
        <v>Spring</v>
      </c>
      <c r="K2090" s="15" t="str">
        <f>_xlfn.XLOOKUP(OrderDetails[[#This Row],[ProductID]],Product!A:A,Product!B:B,"Not Found")</f>
        <v>Camembert Pierrot</v>
      </c>
    </row>
    <row r="2091" spans="1:11">
      <c r="A2091" s="2">
        <v>11060</v>
      </c>
      <c r="B2091" s="2">
        <v>77</v>
      </c>
      <c r="C2091" s="2">
        <v>13</v>
      </c>
      <c r="D2091" s="2">
        <v>10</v>
      </c>
      <c r="E2091" s="4">
        <v>0</v>
      </c>
      <c r="F2091" s="1" t="str">
        <f>_xlfn.XLOOKUP(A2091,Orders!A:A,Orders!B:B,"not found")</f>
        <v>FRANS</v>
      </c>
      <c r="G2091" s="13">
        <f>_xlfn.XLOOKUP(OrderDetails[[#This Row],[OrderID]],Orders!A:A,Orders!C:C,"Not Found")</f>
        <v>35915</v>
      </c>
      <c r="H2091" s="16">
        <f>(OrderDetails[[#This Row],[UnitPrice]]*OrderDetails[[#This Row],[Quantity]])*(1-OrderDetails[[#This Row],[Discount]])</f>
        <v>130</v>
      </c>
      <c r="I2091" s="15" t="str">
        <f>_xlfn.XLOOKUP(OrderDetails[[#This Row],[ProductID]],Product!A:A,Product!G:G,"Not Found")</f>
        <v>Condiments</v>
      </c>
      <c r="J2091" s="15" t="str">
        <f>LOOKUP(MONTH(G2091),{1,4,7,10},{"Winter","Spring","Summer","Autumn"})</f>
        <v>Spring</v>
      </c>
      <c r="K2091" s="15" t="str">
        <f>_xlfn.XLOOKUP(OrderDetails[[#This Row],[ProductID]],Product!A:A,Product!B:B,"Not Found")</f>
        <v>Original Frankfurter grüne Soße</v>
      </c>
    </row>
    <row r="2092" spans="1:11">
      <c r="A2092" s="1">
        <v>11061</v>
      </c>
      <c r="B2092" s="1">
        <v>60</v>
      </c>
      <c r="C2092" s="1">
        <v>34</v>
      </c>
      <c r="D2092" s="1">
        <v>15</v>
      </c>
      <c r="E2092" s="3">
        <v>0</v>
      </c>
      <c r="F2092" s="1" t="str">
        <f>_xlfn.XLOOKUP(A2092,Orders!A:A,Orders!B:B,"not found")</f>
        <v>GREAL</v>
      </c>
      <c r="G2092" s="13">
        <f>_xlfn.XLOOKUP(OrderDetails[[#This Row],[OrderID]],Orders!A:A,Orders!C:C,"Not Found")</f>
        <v>35915</v>
      </c>
      <c r="H2092" s="16">
        <f>(OrderDetails[[#This Row],[UnitPrice]]*OrderDetails[[#This Row],[Quantity]])*(1-OrderDetails[[#This Row],[Discount]])</f>
        <v>510</v>
      </c>
      <c r="I2092" s="15" t="str">
        <f>_xlfn.XLOOKUP(OrderDetails[[#This Row],[ProductID]],Product!A:A,Product!G:G,"Not Found")</f>
        <v>Dairy Products</v>
      </c>
      <c r="J2092" s="15" t="str">
        <f>LOOKUP(MONTH(G2092),{1,4,7,10},{"Winter","Spring","Summer","Autumn"})</f>
        <v>Spring</v>
      </c>
      <c r="K2092" s="15" t="str">
        <f>_xlfn.XLOOKUP(OrderDetails[[#This Row],[ProductID]],Product!A:A,Product!B:B,"Not Found")</f>
        <v>Camembert Pierrot</v>
      </c>
    </row>
    <row r="2093" spans="1:11">
      <c r="A2093" s="2">
        <v>11062</v>
      </c>
      <c r="B2093" s="2">
        <v>53</v>
      </c>
      <c r="C2093" s="2">
        <v>32.799999999999997</v>
      </c>
      <c r="D2093" s="2">
        <v>10</v>
      </c>
      <c r="E2093" s="4">
        <v>0.20000000298023224</v>
      </c>
      <c r="F2093" s="1" t="str">
        <f>_xlfn.XLOOKUP(A2093,Orders!A:A,Orders!B:B,"not found")</f>
        <v>REGGC</v>
      </c>
      <c r="G2093" s="13">
        <f>_xlfn.XLOOKUP(OrderDetails[[#This Row],[OrderID]],Orders!A:A,Orders!C:C,"Not Found")</f>
        <v>35915</v>
      </c>
      <c r="H2093" s="16">
        <f>(OrderDetails[[#This Row],[UnitPrice]]*OrderDetails[[#This Row],[Quantity]])*(1-OrderDetails[[#This Row],[Discount]])</f>
        <v>262.39999902248383</v>
      </c>
      <c r="I2093" s="15" t="str">
        <f>_xlfn.XLOOKUP(OrderDetails[[#This Row],[ProductID]],Product!A:A,Product!G:G,"Not Found")</f>
        <v>Meat/Poultry</v>
      </c>
      <c r="J2093" s="15" t="str">
        <f>LOOKUP(MONTH(G2093),{1,4,7,10},{"Winter","Spring","Summer","Autumn"})</f>
        <v>Spring</v>
      </c>
      <c r="K2093" s="15" t="str">
        <f>_xlfn.XLOOKUP(OrderDetails[[#This Row],[ProductID]],Product!A:A,Product!B:B,"Not Found")</f>
        <v>Perth Pasties</v>
      </c>
    </row>
    <row r="2094" spans="1:11">
      <c r="A2094" s="1">
        <v>11062</v>
      </c>
      <c r="B2094" s="1">
        <v>70</v>
      </c>
      <c r="C2094" s="1">
        <v>15</v>
      </c>
      <c r="D2094" s="1">
        <v>12</v>
      </c>
      <c r="E2094" s="3">
        <v>0.20000000298023224</v>
      </c>
      <c r="F2094" s="1" t="str">
        <f>_xlfn.XLOOKUP(A2094,Orders!A:A,Orders!B:B,"not found")</f>
        <v>REGGC</v>
      </c>
      <c r="G2094" s="13">
        <f>_xlfn.XLOOKUP(OrderDetails[[#This Row],[OrderID]],Orders!A:A,Orders!C:C,"Not Found")</f>
        <v>35915</v>
      </c>
      <c r="H2094" s="16">
        <f>(OrderDetails[[#This Row],[UnitPrice]]*OrderDetails[[#This Row],[Quantity]])*(1-OrderDetails[[#This Row],[Discount]])</f>
        <v>143.9999994635582</v>
      </c>
      <c r="I2094" s="15" t="str">
        <f>_xlfn.XLOOKUP(OrderDetails[[#This Row],[ProductID]],Product!A:A,Product!G:G,"Not Found")</f>
        <v>Beverages</v>
      </c>
      <c r="J2094" s="15" t="str">
        <f>LOOKUP(MONTH(G2094),{1,4,7,10},{"Winter","Spring","Summer","Autumn"})</f>
        <v>Spring</v>
      </c>
      <c r="K2094" s="15" t="str">
        <f>_xlfn.XLOOKUP(OrderDetails[[#This Row],[ProductID]],Product!A:A,Product!B:B,"Not Found")</f>
        <v>Outback Lager</v>
      </c>
    </row>
    <row r="2095" spans="1:11">
      <c r="A2095" s="2">
        <v>11063</v>
      </c>
      <c r="B2095" s="2">
        <v>34</v>
      </c>
      <c r="C2095" s="2">
        <v>14</v>
      </c>
      <c r="D2095" s="2">
        <v>30</v>
      </c>
      <c r="E2095" s="4">
        <v>0</v>
      </c>
      <c r="F2095" s="1" t="str">
        <f>_xlfn.XLOOKUP(A2095,Orders!A:A,Orders!B:B,"not found")</f>
        <v>HUNGO</v>
      </c>
      <c r="G2095" s="13">
        <f>_xlfn.XLOOKUP(OrderDetails[[#This Row],[OrderID]],Orders!A:A,Orders!C:C,"Not Found")</f>
        <v>35915</v>
      </c>
      <c r="H2095" s="16">
        <f>(OrderDetails[[#This Row],[UnitPrice]]*OrderDetails[[#This Row],[Quantity]])*(1-OrderDetails[[#This Row],[Discount]])</f>
        <v>420</v>
      </c>
      <c r="I2095" s="15" t="str">
        <f>_xlfn.XLOOKUP(OrderDetails[[#This Row],[ProductID]],Product!A:A,Product!G:G,"Not Found")</f>
        <v>Beverages</v>
      </c>
      <c r="J2095" s="15" t="str">
        <f>LOOKUP(MONTH(G2095),{1,4,7,10},{"Winter","Spring","Summer","Autumn"})</f>
        <v>Spring</v>
      </c>
      <c r="K2095" s="15" t="str">
        <f>_xlfn.XLOOKUP(OrderDetails[[#This Row],[ProductID]],Product!A:A,Product!B:B,"Not Found")</f>
        <v>Sasquatch Ale</v>
      </c>
    </row>
    <row r="2096" spans="1:11">
      <c r="A2096" s="1">
        <v>11063</v>
      </c>
      <c r="B2096" s="1">
        <v>40</v>
      </c>
      <c r="C2096" s="1">
        <v>18.399999999999999</v>
      </c>
      <c r="D2096" s="1">
        <v>40</v>
      </c>
      <c r="E2096" s="3">
        <v>0.10000000149011612</v>
      </c>
      <c r="F2096" s="1" t="str">
        <f>_xlfn.XLOOKUP(A2096,Orders!A:A,Orders!B:B,"not found")</f>
        <v>HUNGO</v>
      </c>
      <c r="G2096" s="13">
        <f>_xlfn.XLOOKUP(OrderDetails[[#This Row],[OrderID]],Orders!A:A,Orders!C:C,"Not Found")</f>
        <v>35915</v>
      </c>
      <c r="H2096" s="16">
        <f>(OrderDetails[[#This Row],[UnitPrice]]*OrderDetails[[#This Row],[Quantity]])*(1-OrderDetails[[#This Row],[Discount]])</f>
        <v>662.39999890327454</v>
      </c>
      <c r="I2096" s="15" t="str">
        <f>_xlfn.XLOOKUP(OrderDetails[[#This Row],[ProductID]],Product!A:A,Product!G:G,"Not Found")</f>
        <v>Seafood</v>
      </c>
      <c r="J2096" s="15" t="str">
        <f>LOOKUP(MONTH(G2096),{1,4,7,10},{"Winter","Spring","Summer","Autumn"})</f>
        <v>Spring</v>
      </c>
      <c r="K2096" s="15" t="str">
        <f>_xlfn.XLOOKUP(OrderDetails[[#This Row],[ProductID]],Product!A:A,Product!B:B,"Not Found")</f>
        <v>Boston Crab Meat</v>
      </c>
    </row>
    <row r="2097" spans="1:11">
      <c r="A2097" s="2">
        <v>11063</v>
      </c>
      <c r="B2097" s="2">
        <v>41</v>
      </c>
      <c r="C2097" s="2">
        <v>9.65</v>
      </c>
      <c r="D2097" s="2">
        <v>30</v>
      </c>
      <c r="E2097" s="4">
        <v>0.10000000149011612</v>
      </c>
      <c r="F2097" s="1" t="str">
        <f>_xlfn.XLOOKUP(A2097,Orders!A:A,Orders!B:B,"not found")</f>
        <v>HUNGO</v>
      </c>
      <c r="G2097" s="13">
        <f>_xlfn.XLOOKUP(OrderDetails[[#This Row],[OrderID]],Orders!A:A,Orders!C:C,"Not Found")</f>
        <v>35915</v>
      </c>
      <c r="H2097" s="16">
        <f>(OrderDetails[[#This Row],[UnitPrice]]*OrderDetails[[#This Row],[Quantity]])*(1-OrderDetails[[#This Row],[Discount]])</f>
        <v>260.54999956861138</v>
      </c>
      <c r="I2097" s="15" t="str">
        <f>_xlfn.XLOOKUP(OrderDetails[[#This Row],[ProductID]],Product!A:A,Product!G:G,"Not Found")</f>
        <v>Seafood</v>
      </c>
      <c r="J2097" s="15" t="str">
        <f>LOOKUP(MONTH(G2097),{1,4,7,10},{"Winter","Spring","Summer","Autumn"})</f>
        <v>Spring</v>
      </c>
      <c r="K2097" s="15" t="str">
        <f>_xlfn.XLOOKUP(OrderDetails[[#This Row],[ProductID]],Product!A:A,Product!B:B,"Not Found")</f>
        <v>Jack's New England Clam Chowder</v>
      </c>
    </row>
    <row r="2098" spans="1:11">
      <c r="A2098" s="1">
        <v>11064</v>
      </c>
      <c r="B2098" s="1">
        <v>17</v>
      </c>
      <c r="C2098" s="1">
        <v>39</v>
      </c>
      <c r="D2098" s="1">
        <v>77</v>
      </c>
      <c r="E2098" s="3">
        <v>0.10000000149011612</v>
      </c>
      <c r="F2098" s="1" t="str">
        <f>_xlfn.XLOOKUP(A2098,Orders!A:A,Orders!B:B,"not found")</f>
        <v>SAVEA</v>
      </c>
      <c r="G2098" s="13">
        <f>_xlfn.XLOOKUP(OrderDetails[[#This Row],[OrderID]],Orders!A:A,Orders!C:C,"Not Found")</f>
        <v>35916</v>
      </c>
      <c r="H2098" s="16">
        <f>(OrderDetails[[#This Row],[UnitPrice]]*OrderDetails[[#This Row],[Quantity]])*(1-OrderDetails[[#This Row],[Discount]])</f>
        <v>2702.6999955251813</v>
      </c>
      <c r="I2098" s="15" t="str">
        <f>_xlfn.XLOOKUP(OrderDetails[[#This Row],[ProductID]],Product!A:A,Product!G:G,"Not Found")</f>
        <v>Meat/Poultry</v>
      </c>
      <c r="J2098" s="15" t="str">
        <f>LOOKUP(MONTH(G2098),{1,4,7,10},{"Winter","Spring","Summer","Autumn"})</f>
        <v>Spring</v>
      </c>
      <c r="K2098" s="15" t="str">
        <f>_xlfn.XLOOKUP(OrderDetails[[#This Row],[ProductID]],Product!A:A,Product!B:B,"Not Found")</f>
        <v>Alice Mutton</v>
      </c>
    </row>
    <row r="2099" spans="1:11">
      <c r="A2099" s="2">
        <v>11064</v>
      </c>
      <c r="B2099" s="2">
        <v>41</v>
      </c>
      <c r="C2099" s="2">
        <v>9.65</v>
      </c>
      <c r="D2099" s="2">
        <v>12</v>
      </c>
      <c r="E2099" s="4">
        <v>0</v>
      </c>
      <c r="F2099" s="1" t="str">
        <f>_xlfn.XLOOKUP(A2099,Orders!A:A,Orders!B:B,"not found")</f>
        <v>SAVEA</v>
      </c>
      <c r="G2099" s="13">
        <f>_xlfn.XLOOKUP(OrderDetails[[#This Row],[OrderID]],Orders!A:A,Orders!C:C,"Not Found")</f>
        <v>35916</v>
      </c>
      <c r="H2099" s="16">
        <f>(OrderDetails[[#This Row],[UnitPrice]]*OrderDetails[[#This Row],[Quantity]])*(1-OrderDetails[[#This Row],[Discount]])</f>
        <v>115.80000000000001</v>
      </c>
      <c r="I2099" s="15" t="str">
        <f>_xlfn.XLOOKUP(OrderDetails[[#This Row],[ProductID]],Product!A:A,Product!G:G,"Not Found")</f>
        <v>Seafood</v>
      </c>
      <c r="J2099" s="15" t="str">
        <f>LOOKUP(MONTH(G2099),{1,4,7,10},{"Winter","Spring","Summer","Autumn"})</f>
        <v>Spring</v>
      </c>
      <c r="K2099" s="15" t="str">
        <f>_xlfn.XLOOKUP(OrderDetails[[#This Row],[ProductID]],Product!A:A,Product!B:B,"Not Found")</f>
        <v>Jack's New England Clam Chowder</v>
      </c>
    </row>
    <row r="2100" spans="1:11">
      <c r="A2100" s="1">
        <v>11064</v>
      </c>
      <c r="B2100" s="1">
        <v>53</v>
      </c>
      <c r="C2100" s="1">
        <v>32.799999999999997</v>
      </c>
      <c r="D2100" s="1">
        <v>25</v>
      </c>
      <c r="E2100" s="3">
        <v>0.10000000149011612</v>
      </c>
      <c r="F2100" s="1" t="str">
        <f>_xlfn.XLOOKUP(A2100,Orders!A:A,Orders!B:B,"not found")</f>
        <v>SAVEA</v>
      </c>
      <c r="G2100" s="13">
        <f>_xlfn.XLOOKUP(OrderDetails[[#This Row],[OrderID]],Orders!A:A,Orders!C:C,"Not Found")</f>
        <v>35916</v>
      </c>
      <c r="H2100" s="16">
        <f>(OrderDetails[[#This Row],[UnitPrice]]*OrderDetails[[#This Row],[Quantity]])*(1-OrderDetails[[#This Row],[Discount]])</f>
        <v>737.99999877810467</v>
      </c>
      <c r="I2100" s="15" t="str">
        <f>_xlfn.XLOOKUP(OrderDetails[[#This Row],[ProductID]],Product!A:A,Product!G:G,"Not Found")</f>
        <v>Meat/Poultry</v>
      </c>
      <c r="J2100" s="15" t="str">
        <f>LOOKUP(MONTH(G2100),{1,4,7,10},{"Winter","Spring","Summer","Autumn"})</f>
        <v>Spring</v>
      </c>
      <c r="K2100" s="15" t="str">
        <f>_xlfn.XLOOKUP(OrderDetails[[#This Row],[ProductID]],Product!A:A,Product!B:B,"Not Found")</f>
        <v>Perth Pasties</v>
      </c>
    </row>
    <row r="2101" spans="1:11">
      <c r="A2101" s="2">
        <v>11064</v>
      </c>
      <c r="B2101" s="2">
        <v>55</v>
      </c>
      <c r="C2101" s="2">
        <v>24</v>
      </c>
      <c r="D2101" s="2">
        <v>4</v>
      </c>
      <c r="E2101" s="4">
        <v>0.10000000149011612</v>
      </c>
      <c r="F2101" s="1" t="str">
        <f>_xlfn.XLOOKUP(A2101,Orders!A:A,Orders!B:B,"not found")</f>
        <v>SAVEA</v>
      </c>
      <c r="G2101" s="13">
        <f>_xlfn.XLOOKUP(OrderDetails[[#This Row],[OrderID]],Orders!A:A,Orders!C:C,"Not Found")</f>
        <v>35916</v>
      </c>
      <c r="H2101" s="16">
        <f>(OrderDetails[[#This Row],[UnitPrice]]*OrderDetails[[#This Row],[Quantity]])*(1-OrderDetails[[#This Row],[Discount]])</f>
        <v>86.399999856948853</v>
      </c>
      <c r="I2101" s="15" t="str">
        <f>_xlfn.XLOOKUP(OrderDetails[[#This Row],[ProductID]],Product!A:A,Product!G:G,"Not Found")</f>
        <v>Meat/Poultry</v>
      </c>
      <c r="J2101" s="15" t="str">
        <f>LOOKUP(MONTH(G2101),{1,4,7,10},{"Winter","Spring","Summer","Autumn"})</f>
        <v>Spring</v>
      </c>
      <c r="K2101" s="15" t="str">
        <f>_xlfn.XLOOKUP(OrderDetails[[#This Row],[ProductID]],Product!A:A,Product!B:B,"Not Found")</f>
        <v>Pâté chinois</v>
      </c>
    </row>
    <row r="2102" spans="1:11">
      <c r="A2102" s="1">
        <v>11064</v>
      </c>
      <c r="B2102" s="1">
        <v>68</v>
      </c>
      <c r="C2102" s="1">
        <v>12.5</v>
      </c>
      <c r="D2102" s="1">
        <v>55</v>
      </c>
      <c r="E2102" s="3">
        <v>0</v>
      </c>
      <c r="F2102" s="1" t="str">
        <f>_xlfn.XLOOKUP(A2102,Orders!A:A,Orders!B:B,"not found")</f>
        <v>SAVEA</v>
      </c>
      <c r="G2102" s="13">
        <f>_xlfn.XLOOKUP(OrderDetails[[#This Row],[OrderID]],Orders!A:A,Orders!C:C,"Not Found")</f>
        <v>35916</v>
      </c>
      <c r="H2102" s="16">
        <f>(OrderDetails[[#This Row],[UnitPrice]]*OrderDetails[[#This Row],[Quantity]])*(1-OrderDetails[[#This Row],[Discount]])</f>
        <v>687.5</v>
      </c>
      <c r="I2102" s="15" t="str">
        <f>_xlfn.XLOOKUP(OrderDetails[[#This Row],[ProductID]],Product!A:A,Product!G:G,"Not Found")</f>
        <v>Confections</v>
      </c>
      <c r="J2102" s="15" t="str">
        <f>LOOKUP(MONTH(G2102),{1,4,7,10},{"Winter","Spring","Summer","Autumn"})</f>
        <v>Spring</v>
      </c>
      <c r="K2102" s="15" t="str">
        <f>_xlfn.XLOOKUP(OrderDetails[[#This Row],[ProductID]],Product!A:A,Product!B:B,"Not Found")</f>
        <v>Scottish Longbreads</v>
      </c>
    </row>
    <row r="2103" spans="1:11">
      <c r="A2103" s="2">
        <v>11065</v>
      </c>
      <c r="B2103" s="2">
        <v>30</v>
      </c>
      <c r="C2103" s="2">
        <v>25.89</v>
      </c>
      <c r="D2103" s="2">
        <v>4</v>
      </c>
      <c r="E2103" s="4">
        <v>0.25</v>
      </c>
      <c r="F2103" s="1" t="str">
        <f>_xlfn.XLOOKUP(A2103,Orders!A:A,Orders!B:B,"not found")</f>
        <v>LILAS</v>
      </c>
      <c r="G2103" s="13">
        <f>_xlfn.XLOOKUP(OrderDetails[[#This Row],[OrderID]],Orders!A:A,Orders!C:C,"Not Found")</f>
        <v>35916</v>
      </c>
      <c r="H2103" s="16">
        <f>(OrderDetails[[#This Row],[UnitPrice]]*OrderDetails[[#This Row],[Quantity]])*(1-OrderDetails[[#This Row],[Discount]])</f>
        <v>77.67</v>
      </c>
      <c r="I2103" s="15" t="str">
        <f>_xlfn.XLOOKUP(OrderDetails[[#This Row],[ProductID]],Product!A:A,Product!G:G,"Not Found")</f>
        <v>Seafood</v>
      </c>
      <c r="J2103" s="15" t="str">
        <f>LOOKUP(MONTH(G2103),{1,4,7,10},{"Winter","Spring","Summer","Autumn"})</f>
        <v>Spring</v>
      </c>
      <c r="K2103" s="15" t="str">
        <f>_xlfn.XLOOKUP(OrderDetails[[#This Row],[ProductID]],Product!A:A,Product!B:B,"Not Found")</f>
        <v>Nord-Ost Matjeshering</v>
      </c>
    </row>
    <row r="2104" spans="1:11">
      <c r="A2104" s="1">
        <v>11065</v>
      </c>
      <c r="B2104" s="1">
        <v>54</v>
      </c>
      <c r="C2104" s="1">
        <v>7.45</v>
      </c>
      <c r="D2104" s="1">
        <v>20</v>
      </c>
      <c r="E2104" s="3">
        <v>0.25</v>
      </c>
      <c r="F2104" s="1" t="str">
        <f>_xlfn.XLOOKUP(A2104,Orders!A:A,Orders!B:B,"not found")</f>
        <v>LILAS</v>
      </c>
      <c r="G2104" s="13">
        <f>_xlfn.XLOOKUP(OrderDetails[[#This Row],[OrderID]],Orders!A:A,Orders!C:C,"Not Found")</f>
        <v>35916</v>
      </c>
      <c r="H2104" s="16">
        <f>(OrderDetails[[#This Row],[UnitPrice]]*OrderDetails[[#This Row],[Quantity]])*(1-OrderDetails[[#This Row],[Discount]])</f>
        <v>111.75</v>
      </c>
      <c r="I2104" s="15" t="str">
        <f>_xlfn.XLOOKUP(OrderDetails[[#This Row],[ProductID]],Product!A:A,Product!G:G,"Not Found")</f>
        <v>Meat/Poultry</v>
      </c>
      <c r="J2104" s="15" t="str">
        <f>LOOKUP(MONTH(G2104),{1,4,7,10},{"Winter","Spring","Summer","Autumn"})</f>
        <v>Spring</v>
      </c>
      <c r="K2104" s="15" t="str">
        <f>_xlfn.XLOOKUP(OrderDetails[[#This Row],[ProductID]],Product!A:A,Product!B:B,"Not Found")</f>
        <v>Tourtière</v>
      </c>
    </row>
    <row r="2105" spans="1:11">
      <c r="A2105" s="2">
        <v>11066</v>
      </c>
      <c r="B2105" s="2">
        <v>16</v>
      </c>
      <c r="C2105" s="2">
        <v>17.45</v>
      </c>
      <c r="D2105" s="2">
        <v>3</v>
      </c>
      <c r="E2105" s="4">
        <v>0</v>
      </c>
      <c r="F2105" s="1" t="str">
        <f>_xlfn.XLOOKUP(A2105,Orders!A:A,Orders!B:B,"not found")</f>
        <v>WHITC</v>
      </c>
      <c r="G2105" s="13">
        <f>_xlfn.XLOOKUP(OrderDetails[[#This Row],[OrderID]],Orders!A:A,Orders!C:C,"Not Found")</f>
        <v>35916</v>
      </c>
      <c r="H2105" s="16">
        <f>(OrderDetails[[#This Row],[UnitPrice]]*OrderDetails[[#This Row],[Quantity]])*(1-OrderDetails[[#This Row],[Discount]])</f>
        <v>52.349999999999994</v>
      </c>
      <c r="I2105" s="15" t="str">
        <f>_xlfn.XLOOKUP(OrderDetails[[#This Row],[ProductID]],Product!A:A,Product!G:G,"Not Found")</f>
        <v>Confections</v>
      </c>
      <c r="J2105" s="15" t="str">
        <f>LOOKUP(MONTH(G2105),{1,4,7,10},{"Winter","Spring","Summer","Autumn"})</f>
        <v>Spring</v>
      </c>
      <c r="K2105" s="15" t="str">
        <f>_xlfn.XLOOKUP(OrderDetails[[#This Row],[ProductID]],Product!A:A,Product!B:B,"Not Found")</f>
        <v>Pavlova</v>
      </c>
    </row>
    <row r="2106" spans="1:11">
      <c r="A2106" s="1">
        <v>11066</v>
      </c>
      <c r="B2106" s="1">
        <v>19</v>
      </c>
      <c r="C2106" s="1">
        <v>9.1999999999999993</v>
      </c>
      <c r="D2106" s="1">
        <v>42</v>
      </c>
      <c r="E2106" s="3">
        <v>0</v>
      </c>
      <c r="F2106" s="1" t="str">
        <f>_xlfn.XLOOKUP(A2106,Orders!A:A,Orders!B:B,"not found")</f>
        <v>WHITC</v>
      </c>
      <c r="G2106" s="13">
        <f>_xlfn.XLOOKUP(OrderDetails[[#This Row],[OrderID]],Orders!A:A,Orders!C:C,"Not Found")</f>
        <v>35916</v>
      </c>
      <c r="H2106" s="16">
        <f>(OrderDetails[[#This Row],[UnitPrice]]*OrderDetails[[#This Row],[Quantity]])*(1-OrderDetails[[#This Row],[Discount]])</f>
        <v>386.4</v>
      </c>
      <c r="I2106" s="15" t="str">
        <f>_xlfn.XLOOKUP(OrderDetails[[#This Row],[ProductID]],Product!A:A,Product!G:G,"Not Found")</f>
        <v>Confections</v>
      </c>
      <c r="J2106" s="15" t="str">
        <f>LOOKUP(MONTH(G2106),{1,4,7,10},{"Winter","Spring","Summer","Autumn"})</f>
        <v>Spring</v>
      </c>
      <c r="K2106" s="15" t="str">
        <f>_xlfn.XLOOKUP(OrderDetails[[#This Row],[ProductID]],Product!A:A,Product!B:B,"Not Found")</f>
        <v>Teatime Chocolate Biscuits</v>
      </c>
    </row>
    <row r="2107" spans="1:11">
      <c r="A2107" s="2">
        <v>11066</v>
      </c>
      <c r="B2107" s="2">
        <v>34</v>
      </c>
      <c r="C2107" s="2">
        <v>14</v>
      </c>
      <c r="D2107" s="2">
        <v>35</v>
      </c>
      <c r="E2107" s="4">
        <v>0</v>
      </c>
      <c r="F2107" s="1" t="str">
        <f>_xlfn.XLOOKUP(A2107,Orders!A:A,Orders!B:B,"not found")</f>
        <v>WHITC</v>
      </c>
      <c r="G2107" s="13">
        <f>_xlfn.XLOOKUP(OrderDetails[[#This Row],[OrderID]],Orders!A:A,Orders!C:C,"Not Found")</f>
        <v>35916</v>
      </c>
      <c r="H2107" s="16">
        <f>(OrderDetails[[#This Row],[UnitPrice]]*OrderDetails[[#This Row],[Quantity]])*(1-OrderDetails[[#This Row],[Discount]])</f>
        <v>490</v>
      </c>
      <c r="I2107" s="15" t="str">
        <f>_xlfn.XLOOKUP(OrderDetails[[#This Row],[ProductID]],Product!A:A,Product!G:G,"Not Found")</f>
        <v>Beverages</v>
      </c>
      <c r="J2107" s="15" t="str">
        <f>LOOKUP(MONTH(G2107),{1,4,7,10},{"Winter","Spring","Summer","Autumn"})</f>
        <v>Spring</v>
      </c>
      <c r="K2107" s="15" t="str">
        <f>_xlfn.XLOOKUP(OrderDetails[[#This Row],[ProductID]],Product!A:A,Product!B:B,"Not Found")</f>
        <v>Sasquatch Ale</v>
      </c>
    </row>
    <row r="2108" spans="1:11">
      <c r="A2108" s="1">
        <v>11067</v>
      </c>
      <c r="B2108" s="1">
        <v>41</v>
      </c>
      <c r="C2108" s="1">
        <v>9.65</v>
      </c>
      <c r="D2108" s="1">
        <v>9</v>
      </c>
      <c r="E2108" s="3">
        <v>0</v>
      </c>
      <c r="F2108" s="1" t="str">
        <f>_xlfn.XLOOKUP(A2108,Orders!A:A,Orders!B:B,"not found")</f>
        <v>DRACD</v>
      </c>
      <c r="G2108" s="13">
        <f>_xlfn.XLOOKUP(OrderDetails[[#This Row],[OrderID]],Orders!A:A,Orders!C:C,"Not Found")</f>
        <v>35919</v>
      </c>
      <c r="H2108" s="16">
        <f>(OrderDetails[[#This Row],[UnitPrice]]*OrderDetails[[#This Row],[Quantity]])*(1-OrderDetails[[#This Row],[Discount]])</f>
        <v>86.850000000000009</v>
      </c>
      <c r="I2108" s="15" t="str">
        <f>_xlfn.XLOOKUP(OrderDetails[[#This Row],[ProductID]],Product!A:A,Product!G:G,"Not Found")</f>
        <v>Seafood</v>
      </c>
      <c r="J2108" s="15" t="str">
        <f>LOOKUP(MONTH(G2108),{1,4,7,10},{"Winter","Spring","Summer","Autumn"})</f>
        <v>Spring</v>
      </c>
      <c r="K2108" s="15" t="str">
        <f>_xlfn.XLOOKUP(OrderDetails[[#This Row],[ProductID]],Product!A:A,Product!B:B,"Not Found")</f>
        <v>Jack's New England Clam Chowder</v>
      </c>
    </row>
    <row r="2109" spans="1:11">
      <c r="A2109" s="2">
        <v>11068</v>
      </c>
      <c r="B2109" s="2">
        <v>28</v>
      </c>
      <c r="C2109" s="2">
        <v>45.6</v>
      </c>
      <c r="D2109" s="2">
        <v>8</v>
      </c>
      <c r="E2109" s="4">
        <v>0.15000000596046448</v>
      </c>
      <c r="F2109" s="1" t="str">
        <f>_xlfn.XLOOKUP(A2109,Orders!A:A,Orders!B:B,"not found")</f>
        <v>QUEEN</v>
      </c>
      <c r="G2109" s="13">
        <f>_xlfn.XLOOKUP(OrderDetails[[#This Row],[OrderID]],Orders!A:A,Orders!C:C,"Not Found")</f>
        <v>35919</v>
      </c>
      <c r="H2109" s="16">
        <f>(OrderDetails[[#This Row],[UnitPrice]]*OrderDetails[[#This Row],[Quantity]])*(1-OrderDetails[[#This Row],[Discount]])</f>
        <v>310.07999782562257</v>
      </c>
      <c r="I2109" s="15" t="str">
        <f>_xlfn.XLOOKUP(OrderDetails[[#This Row],[ProductID]],Product!A:A,Product!G:G,"Not Found")</f>
        <v>Produce</v>
      </c>
      <c r="J2109" s="15" t="str">
        <f>LOOKUP(MONTH(G2109),{1,4,7,10},{"Winter","Spring","Summer","Autumn"})</f>
        <v>Spring</v>
      </c>
      <c r="K2109" s="15" t="str">
        <f>_xlfn.XLOOKUP(OrderDetails[[#This Row],[ProductID]],Product!A:A,Product!B:B,"Not Found")</f>
        <v>Rössle Sauerkraut</v>
      </c>
    </row>
    <row r="2110" spans="1:11">
      <c r="A2110" s="1">
        <v>11068</v>
      </c>
      <c r="B2110" s="1">
        <v>43</v>
      </c>
      <c r="C2110" s="1">
        <v>46</v>
      </c>
      <c r="D2110" s="1">
        <v>36</v>
      </c>
      <c r="E2110" s="3">
        <v>0.15000000596046448</v>
      </c>
      <c r="F2110" s="1" t="str">
        <f>_xlfn.XLOOKUP(A2110,Orders!A:A,Orders!B:B,"not found")</f>
        <v>QUEEN</v>
      </c>
      <c r="G2110" s="13">
        <f>_xlfn.XLOOKUP(OrderDetails[[#This Row],[OrderID]],Orders!A:A,Orders!C:C,"Not Found")</f>
        <v>35919</v>
      </c>
      <c r="H2110" s="16">
        <f>(OrderDetails[[#This Row],[UnitPrice]]*OrderDetails[[#This Row],[Quantity]])*(1-OrderDetails[[#This Row],[Discount]])</f>
        <v>1407.5999901294708</v>
      </c>
      <c r="I2110" s="15" t="str">
        <f>_xlfn.XLOOKUP(OrderDetails[[#This Row],[ProductID]],Product!A:A,Product!G:G,"Not Found")</f>
        <v>Beverages</v>
      </c>
      <c r="J2110" s="15" t="str">
        <f>LOOKUP(MONTH(G2110),{1,4,7,10},{"Winter","Spring","Summer","Autumn"})</f>
        <v>Spring</v>
      </c>
      <c r="K2110" s="15" t="str">
        <f>_xlfn.XLOOKUP(OrderDetails[[#This Row],[ProductID]],Product!A:A,Product!B:B,"Not Found")</f>
        <v>Ipoh Coffee</v>
      </c>
    </row>
    <row r="2111" spans="1:11">
      <c r="A2111" s="2">
        <v>11068</v>
      </c>
      <c r="B2111" s="2">
        <v>77</v>
      </c>
      <c r="C2111" s="2">
        <v>13</v>
      </c>
      <c r="D2111" s="2">
        <v>28</v>
      </c>
      <c r="E2111" s="4">
        <v>0.15000000596046448</v>
      </c>
      <c r="F2111" s="1" t="str">
        <f>_xlfn.XLOOKUP(A2111,Orders!A:A,Orders!B:B,"not found")</f>
        <v>QUEEN</v>
      </c>
      <c r="G2111" s="13">
        <f>_xlfn.XLOOKUP(OrderDetails[[#This Row],[OrderID]],Orders!A:A,Orders!C:C,"Not Found")</f>
        <v>35919</v>
      </c>
      <c r="H2111" s="16">
        <f>(OrderDetails[[#This Row],[UnitPrice]]*OrderDetails[[#This Row],[Quantity]])*(1-OrderDetails[[#This Row],[Discount]])</f>
        <v>309.39999783039093</v>
      </c>
      <c r="I2111" s="15" t="str">
        <f>_xlfn.XLOOKUP(OrderDetails[[#This Row],[ProductID]],Product!A:A,Product!G:G,"Not Found")</f>
        <v>Condiments</v>
      </c>
      <c r="J2111" s="15" t="str">
        <f>LOOKUP(MONTH(G2111),{1,4,7,10},{"Winter","Spring","Summer","Autumn"})</f>
        <v>Spring</v>
      </c>
      <c r="K2111" s="15" t="str">
        <f>_xlfn.XLOOKUP(OrderDetails[[#This Row],[ProductID]],Product!A:A,Product!B:B,"Not Found")</f>
        <v>Original Frankfurter grüne Soße</v>
      </c>
    </row>
    <row r="2112" spans="1:11">
      <c r="A2112" s="1">
        <v>11069</v>
      </c>
      <c r="B2112" s="1">
        <v>39</v>
      </c>
      <c r="C2112" s="1">
        <v>18</v>
      </c>
      <c r="D2112" s="1">
        <v>20</v>
      </c>
      <c r="E2112" s="3">
        <v>0</v>
      </c>
      <c r="F2112" s="1" t="str">
        <f>_xlfn.XLOOKUP(A2112,Orders!A:A,Orders!B:B,"not found")</f>
        <v>TORTU</v>
      </c>
      <c r="G2112" s="13">
        <f>_xlfn.XLOOKUP(OrderDetails[[#This Row],[OrderID]],Orders!A:A,Orders!C:C,"Not Found")</f>
        <v>35919</v>
      </c>
      <c r="H2112" s="16">
        <f>(OrderDetails[[#This Row],[UnitPrice]]*OrderDetails[[#This Row],[Quantity]])*(1-OrderDetails[[#This Row],[Discount]])</f>
        <v>360</v>
      </c>
      <c r="I2112" s="15" t="str">
        <f>_xlfn.XLOOKUP(OrderDetails[[#This Row],[ProductID]],Product!A:A,Product!G:G,"Not Found")</f>
        <v>Beverages</v>
      </c>
      <c r="J2112" s="15" t="str">
        <f>LOOKUP(MONTH(G2112),{1,4,7,10},{"Winter","Spring","Summer","Autumn"})</f>
        <v>Spring</v>
      </c>
      <c r="K2112" s="15" t="str">
        <f>_xlfn.XLOOKUP(OrderDetails[[#This Row],[ProductID]],Product!A:A,Product!B:B,"Not Found")</f>
        <v>Chartreuse verte</v>
      </c>
    </row>
    <row r="2113" spans="1:11">
      <c r="A2113" s="2">
        <v>11070</v>
      </c>
      <c r="B2113" s="2">
        <v>1</v>
      </c>
      <c r="C2113" s="2">
        <v>18</v>
      </c>
      <c r="D2113" s="2">
        <v>40</v>
      </c>
      <c r="E2113" s="4">
        <v>0.15000000596046448</v>
      </c>
      <c r="F2113" s="1" t="str">
        <f>_xlfn.XLOOKUP(A2113,Orders!A:A,Orders!B:B,"not found")</f>
        <v>LEHMS</v>
      </c>
      <c r="G2113" s="13">
        <f>_xlfn.XLOOKUP(OrderDetails[[#This Row],[OrderID]],Orders!A:A,Orders!C:C,"Not Found")</f>
        <v>35920</v>
      </c>
      <c r="H2113" s="16">
        <f>(OrderDetails[[#This Row],[UnitPrice]]*OrderDetails[[#This Row],[Quantity]])*(1-OrderDetails[[#This Row],[Discount]])</f>
        <v>611.99999570846558</v>
      </c>
      <c r="I2113" s="15" t="str">
        <f>_xlfn.XLOOKUP(OrderDetails[[#This Row],[ProductID]],Product!A:A,Product!G:G,"Not Found")</f>
        <v>Beverages</v>
      </c>
      <c r="J2113" s="15" t="str">
        <f>LOOKUP(MONTH(G2113),{1,4,7,10},{"Winter","Spring","Summer","Autumn"})</f>
        <v>Spring</v>
      </c>
      <c r="K2113" s="15" t="str">
        <f>_xlfn.XLOOKUP(OrderDetails[[#This Row],[ProductID]],Product!A:A,Product!B:B,"Not Found")</f>
        <v>Chai</v>
      </c>
    </row>
    <row r="2114" spans="1:11">
      <c r="A2114" s="1">
        <v>11070</v>
      </c>
      <c r="B2114" s="1">
        <v>2</v>
      </c>
      <c r="C2114" s="1">
        <v>19</v>
      </c>
      <c r="D2114" s="1">
        <v>20</v>
      </c>
      <c r="E2114" s="3">
        <v>0.15000000596046448</v>
      </c>
      <c r="F2114" s="1" t="str">
        <f>_xlfn.XLOOKUP(A2114,Orders!A:A,Orders!B:B,"not found")</f>
        <v>LEHMS</v>
      </c>
      <c r="G2114" s="13">
        <f>_xlfn.XLOOKUP(OrderDetails[[#This Row],[OrderID]],Orders!A:A,Orders!C:C,"Not Found")</f>
        <v>35920</v>
      </c>
      <c r="H2114" s="16">
        <f>(OrderDetails[[#This Row],[UnitPrice]]*OrderDetails[[#This Row],[Quantity]])*(1-OrderDetails[[#This Row],[Discount]])</f>
        <v>322.9999977350235</v>
      </c>
      <c r="I2114" s="15" t="str">
        <f>_xlfn.XLOOKUP(OrderDetails[[#This Row],[ProductID]],Product!A:A,Product!G:G,"Not Found")</f>
        <v>Beverages</v>
      </c>
      <c r="J2114" s="15" t="str">
        <f>LOOKUP(MONTH(G2114),{1,4,7,10},{"Winter","Spring","Summer","Autumn"})</f>
        <v>Spring</v>
      </c>
      <c r="K2114" s="15" t="str">
        <f>_xlfn.XLOOKUP(OrderDetails[[#This Row],[ProductID]],Product!A:A,Product!B:B,"Not Found")</f>
        <v>Chang</v>
      </c>
    </row>
    <row r="2115" spans="1:11">
      <c r="A2115" s="2">
        <v>11070</v>
      </c>
      <c r="B2115" s="2">
        <v>16</v>
      </c>
      <c r="C2115" s="2">
        <v>17.45</v>
      </c>
      <c r="D2115" s="2">
        <v>30</v>
      </c>
      <c r="E2115" s="4">
        <v>0.15000000596046448</v>
      </c>
      <c r="F2115" s="1" t="str">
        <f>_xlfn.XLOOKUP(A2115,Orders!A:A,Orders!B:B,"not found")</f>
        <v>LEHMS</v>
      </c>
      <c r="G2115" s="13">
        <f>_xlfn.XLOOKUP(OrderDetails[[#This Row],[OrderID]],Orders!A:A,Orders!C:C,"Not Found")</f>
        <v>35920</v>
      </c>
      <c r="H2115" s="16">
        <f>(OrderDetails[[#This Row],[UnitPrice]]*OrderDetails[[#This Row],[Quantity]])*(1-OrderDetails[[#This Row],[Discount]])</f>
        <v>444.97499687969685</v>
      </c>
      <c r="I2115" s="15" t="str">
        <f>_xlfn.XLOOKUP(OrderDetails[[#This Row],[ProductID]],Product!A:A,Product!G:G,"Not Found")</f>
        <v>Confections</v>
      </c>
      <c r="J2115" s="15" t="str">
        <f>LOOKUP(MONTH(G2115),{1,4,7,10},{"Winter","Spring","Summer","Autumn"})</f>
        <v>Spring</v>
      </c>
      <c r="K2115" s="15" t="str">
        <f>_xlfn.XLOOKUP(OrderDetails[[#This Row],[ProductID]],Product!A:A,Product!B:B,"Not Found")</f>
        <v>Pavlova</v>
      </c>
    </row>
    <row r="2116" spans="1:11">
      <c r="A2116" s="1">
        <v>11070</v>
      </c>
      <c r="B2116" s="1">
        <v>31</v>
      </c>
      <c r="C2116" s="1">
        <v>12.5</v>
      </c>
      <c r="D2116" s="1">
        <v>20</v>
      </c>
      <c r="E2116" s="3">
        <v>0</v>
      </c>
      <c r="F2116" s="1" t="str">
        <f>_xlfn.XLOOKUP(A2116,Orders!A:A,Orders!B:B,"not found")</f>
        <v>LEHMS</v>
      </c>
      <c r="G2116" s="13">
        <f>_xlfn.XLOOKUP(OrderDetails[[#This Row],[OrderID]],Orders!A:A,Orders!C:C,"Not Found")</f>
        <v>35920</v>
      </c>
      <c r="H2116" s="16">
        <f>(OrderDetails[[#This Row],[UnitPrice]]*OrderDetails[[#This Row],[Quantity]])*(1-OrderDetails[[#This Row],[Discount]])</f>
        <v>250</v>
      </c>
      <c r="I2116" s="15" t="str">
        <f>_xlfn.XLOOKUP(OrderDetails[[#This Row],[ProductID]],Product!A:A,Product!G:G,"Not Found")</f>
        <v>Dairy Products</v>
      </c>
      <c r="J2116" s="15" t="str">
        <f>LOOKUP(MONTH(G2116),{1,4,7,10},{"Winter","Spring","Summer","Autumn"})</f>
        <v>Spring</v>
      </c>
      <c r="K2116" s="15" t="str">
        <f>_xlfn.XLOOKUP(OrderDetails[[#This Row],[ProductID]],Product!A:A,Product!B:B,"Not Found")</f>
        <v>Gorgonzola Telino</v>
      </c>
    </row>
    <row r="2117" spans="1:11">
      <c r="A2117" s="2">
        <v>11071</v>
      </c>
      <c r="B2117" s="2">
        <v>7</v>
      </c>
      <c r="C2117" s="2">
        <v>30</v>
      </c>
      <c r="D2117" s="2">
        <v>15</v>
      </c>
      <c r="E2117" s="4">
        <v>5.000000074505806E-2</v>
      </c>
      <c r="F2117" s="1" t="str">
        <f>_xlfn.XLOOKUP(A2117,Orders!A:A,Orders!B:B,"not found")</f>
        <v>LILAS</v>
      </c>
      <c r="G2117" s="13">
        <f>_xlfn.XLOOKUP(OrderDetails[[#This Row],[OrderID]],Orders!A:A,Orders!C:C,"Not Found")</f>
        <v>35920</v>
      </c>
      <c r="H2117" s="16">
        <f>(OrderDetails[[#This Row],[UnitPrice]]*OrderDetails[[#This Row],[Quantity]])*(1-OrderDetails[[#This Row],[Discount]])</f>
        <v>427.49999966472387</v>
      </c>
      <c r="I2117" s="15" t="str">
        <f>_xlfn.XLOOKUP(OrderDetails[[#This Row],[ProductID]],Product!A:A,Product!G:G,"Not Found")</f>
        <v>Produce</v>
      </c>
      <c r="J2117" s="15" t="str">
        <f>LOOKUP(MONTH(G2117),{1,4,7,10},{"Winter","Spring","Summer","Autumn"})</f>
        <v>Spring</v>
      </c>
      <c r="K2117" s="15" t="str">
        <f>_xlfn.XLOOKUP(OrderDetails[[#This Row],[ProductID]],Product!A:A,Product!B:B,"Not Found")</f>
        <v>Uncle Bob's Organic Dried Pears</v>
      </c>
    </row>
    <row r="2118" spans="1:11">
      <c r="A2118" s="1">
        <v>11071</v>
      </c>
      <c r="B2118" s="1">
        <v>13</v>
      </c>
      <c r="C2118" s="1">
        <v>6</v>
      </c>
      <c r="D2118" s="1">
        <v>10</v>
      </c>
      <c r="E2118" s="3">
        <v>5.000000074505806E-2</v>
      </c>
      <c r="F2118" s="1" t="str">
        <f>_xlfn.XLOOKUP(A2118,Orders!A:A,Orders!B:B,"not found")</f>
        <v>LILAS</v>
      </c>
      <c r="G2118" s="13">
        <f>_xlfn.XLOOKUP(OrderDetails[[#This Row],[OrderID]],Orders!A:A,Orders!C:C,"Not Found")</f>
        <v>35920</v>
      </c>
      <c r="H2118" s="16">
        <f>(OrderDetails[[#This Row],[UnitPrice]]*OrderDetails[[#This Row],[Quantity]])*(1-OrderDetails[[#This Row],[Discount]])</f>
        <v>56.999999955296516</v>
      </c>
      <c r="I2118" s="15" t="str">
        <f>_xlfn.XLOOKUP(OrderDetails[[#This Row],[ProductID]],Product!A:A,Product!G:G,"Not Found")</f>
        <v>Seafood</v>
      </c>
      <c r="J2118" s="15" t="str">
        <f>LOOKUP(MONTH(G2118),{1,4,7,10},{"Winter","Spring","Summer","Autumn"})</f>
        <v>Spring</v>
      </c>
      <c r="K2118" s="15" t="str">
        <f>_xlfn.XLOOKUP(OrderDetails[[#This Row],[ProductID]],Product!A:A,Product!B:B,"Not Found")</f>
        <v>Konbu</v>
      </c>
    </row>
    <row r="2119" spans="1:11">
      <c r="A2119" s="2">
        <v>11072</v>
      </c>
      <c r="B2119" s="2">
        <v>2</v>
      </c>
      <c r="C2119" s="2">
        <v>19</v>
      </c>
      <c r="D2119" s="2">
        <v>8</v>
      </c>
      <c r="E2119" s="4">
        <v>0</v>
      </c>
      <c r="F2119" s="1" t="str">
        <f>_xlfn.XLOOKUP(A2119,Orders!A:A,Orders!B:B,"not found")</f>
        <v>ERNSH</v>
      </c>
      <c r="G2119" s="13">
        <f>_xlfn.XLOOKUP(OrderDetails[[#This Row],[OrderID]],Orders!A:A,Orders!C:C,"Not Found")</f>
        <v>35920</v>
      </c>
      <c r="H2119" s="16">
        <f>(OrderDetails[[#This Row],[UnitPrice]]*OrderDetails[[#This Row],[Quantity]])*(1-OrderDetails[[#This Row],[Discount]])</f>
        <v>152</v>
      </c>
      <c r="I2119" s="15" t="str">
        <f>_xlfn.XLOOKUP(OrderDetails[[#This Row],[ProductID]],Product!A:A,Product!G:G,"Not Found")</f>
        <v>Beverages</v>
      </c>
      <c r="J2119" s="15" t="str">
        <f>LOOKUP(MONTH(G2119),{1,4,7,10},{"Winter","Spring","Summer","Autumn"})</f>
        <v>Spring</v>
      </c>
      <c r="K2119" s="15" t="str">
        <f>_xlfn.XLOOKUP(OrderDetails[[#This Row],[ProductID]],Product!A:A,Product!B:B,"Not Found")</f>
        <v>Chang</v>
      </c>
    </row>
    <row r="2120" spans="1:11">
      <c r="A2120" s="1">
        <v>11072</v>
      </c>
      <c r="B2120" s="1">
        <v>41</v>
      </c>
      <c r="C2120" s="1">
        <v>9.65</v>
      </c>
      <c r="D2120" s="1">
        <v>40</v>
      </c>
      <c r="E2120" s="3">
        <v>0</v>
      </c>
      <c r="F2120" s="1" t="str">
        <f>_xlfn.XLOOKUP(A2120,Orders!A:A,Orders!B:B,"not found")</f>
        <v>ERNSH</v>
      </c>
      <c r="G2120" s="13">
        <f>_xlfn.XLOOKUP(OrderDetails[[#This Row],[OrderID]],Orders!A:A,Orders!C:C,"Not Found")</f>
        <v>35920</v>
      </c>
      <c r="H2120" s="16">
        <f>(OrderDetails[[#This Row],[UnitPrice]]*OrderDetails[[#This Row],[Quantity]])*(1-OrderDetails[[#This Row],[Discount]])</f>
        <v>386</v>
      </c>
      <c r="I2120" s="15" t="str">
        <f>_xlfn.XLOOKUP(OrderDetails[[#This Row],[ProductID]],Product!A:A,Product!G:G,"Not Found")</f>
        <v>Seafood</v>
      </c>
      <c r="J2120" s="15" t="str">
        <f>LOOKUP(MONTH(G2120),{1,4,7,10},{"Winter","Spring","Summer","Autumn"})</f>
        <v>Spring</v>
      </c>
      <c r="K2120" s="15" t="str">
        <f>_xlfn.XLOOKUP(OrderDetails[[#This Row],[ProductID]],Product!A:A,Product!B:B,"Not Found")</f>
        <v>Jack's New England Clam Chowder</v>
      </c>
    </row>
    <row r="2121" spans="1:11">
      <c r="A2121" s="2">
        <v>11072</v>
      </c>
      <c r="B2121" s="2">
        <v>50</v>
      </c>
      <c r="C2121" s="2">
        <v>16.25</v>
      </c>
      <c r="D2121" s="2">
        <v>22</v>
      </c>
      <c r="E2121" s="4">
        <v>0</v>
      </c>
      <c r="F2121" s="1" t="str">
        <f>_xlfn.XLOOKUP(A2121,Orders!A:A,Orders!B:B,"not found")</f>
        <v>ERNSH</v>
      </c>
      <c r="G2121" s="13">
        <f>_xlfn.XLOOKUP(OrderDetails[[#This Row],[OrderID]],Orders!A:A,Orders!C:C,"Not Found")</f>
        <v>35920</v>
      </c>
      <c r="H2121" s="16">
        <f>(OrderDetails[[#This Row],[UnitPrice]]*OrderDetails[[#This Row],[Quantity]])*(1-OrderDetails[[#This Row],[Discount]])</f>
        <v>357.5</v>
      </c>
      <c r="I2121" s="15" t="str">
        <f>_xlfn.XLOOKUP(OrderDetails[[#This Row],[ProductID]],Product!A:A,Product!G:G,"Not Found")</f>
        <v>Confections</v>
      </c>
      <c r="J2121" s="15" t="str">
        <f>LOOKUP(MONTH(G2121),{1,4,7,10},{"Winter","Spring","Summer","Autumn"})</f>
        <v>Spring</v>
      </c>
      <c r="K2121" s="15" t="str">
        <f>_xlfn.XLOOKUP(OrderDetails[[#This Row],[ProductID]],Product!A:A,Product!B:B,"Not Found")</f>
        <v>Valkoinen suklaa</v>
      </c>
    </row>
    <row r="2122" spans="1:11">
      <c r="A2122" s="1">
        <v>11072</v>
      </c>
      <c r="B2122" s="1">
        <v>64</v>
      </c>
      <c r="C2122" s="1">
        <v>33.25</v>
      </c>
      <c r="D2122" s="1">
        <v>130</v>
      </c>
      <c r="E2122" s="3">
        <v>0</v>
      </c>
      <c r="F2122" s="1" t="str">
        <f>_xlfn.XLOOKUP(A2122,Orders!A:A,Orders!B:B,"not found")</f>
        <v>ERNSH</v>
      </c>
      <c r="G2122" s="13">
        <f>_xlfn.XLOOKUP(OrderDetails[[#This Row],[OrderID]],Orders!A:A,Orders!C:C,"Not Found")</f>
        <v>35920</v>
      </c>
      <c r="H2122" s="16">
        <f>(OrderDetails[[#This Row],[UnitPrice]]*OrderDetails[[#This Row],[Quantity]])*(1-OrderDetails[[#This Row],[Discount]])</f>
        <v>4322.5</v>
      </c>
      <c r="I2122" s="15" t="str">
        <f>_xlfn.XLOOKUP(OrderDetails[[#This Row],[ProductID]],Product!A:A,Product!G:G,"Not Found")</f>
        <v>Grains/Cereals</v>
      </c>
      <c r="J2122" s="15" t="str">
        <f>LOOKUP(MONTH(G2122),{1,4,7,10},{"Winter","Spring","Summer","Autumn"})</f>
        <v>Spring</v>
      </c>
      <c r="K2122" s="15" t="str">
        <f>_xlfn.XLOOKUP(OrderDetails[[#This Row],[ProductID]],Product!A:A,Product!B:B,"Not Found")</f>
        <v>Wimmers gute Semmelknödel</v>
      </c>
    </row>
    <row r="2123" spans="1:11">
      <c r="A2123" s="2">
        <v>11073</v>
      </c>
      <c r="B2123" s="2">
        <v>11</v>
      </c>
      <c r="C2123" s="2">
        <v>21</v>
      </c>
      <c r="D2123" s="2">
        <v>10</v>
      </c>
      <c r="E2123" s="4">
        <v>0</v>
      </c>
      <c r="F2123" s="1" t="str">
        <f>_xlfn.XLOOKUP(A2123,Orders!A:A,Orders!B:B,"not found")</f>
        <v>PERIC</v>
      </c>
      <c r="G2123" s="13">
        <f>_xlfn.XLOOKUP(OrderDetails[[#This Row],[OrderID]],Orders!A:A,Orders!C:C,"Not Found")</f>
        <v>35920</v>
      </c>
      <c r="H2123" s="16">
        <f>(OrderDetails[[#This Row],[UnitPrice]]*OrderDetails[[#This Row],[Quantity]])*(1-OrderDetails[[#This Row],[Discount]])</f>
        <v>210</v>
      </c>
      <c r="I2123" s="15" t="str">
        <f>_xlfn.XLOOKUP(OrderDetails[[#This Row],[ProductID]],Product!A:A,Product!G:G,"Not Found")</f>
        <v>Dairy Products</v>
      </c>
      <c r="J2123" s="15" t="str">
        <f>LOOKUP(MONTH(G2123),{1,4,7,10},{"Winter","Spring","Summer","Autumn"})</f>
        <v>Spring</v>
      </c>
      <c r="K2123" s="15" t="str">
        <f>_xlfn.XLOOKUP(OrderDetails[[#This Row],[ProductID]],Product!A:A,Product!B:B,"Not Found")</f>
        <v>Queso Cabrales</v>
      </c>
    </row>
    <row r="2124" spans="1:11">
      <c r="A2124" s="1">
        <v>11073</v>
      </c>
      <c r="B2124" s="1">
        <v>24</v>
      </c>
      <c r="C2124" s="1">
        <v>4.5</v>
      </c>
      <c r="D2124" s="1">
        <v>20</v>
      </c>
      <c r="E2124" s="3">
        <v>0</v>
      </c>
      <c r="F2124" s="1" t="str">
        <f>_xlfn.XLOOKUP(A2124,Orders!A:A,Orders!B:B,"not found")</f>
        <v>PERIC</v>
      </c>
      <c r="G2124" s="13">
        <f>_xlfn.XLOOKUP(OrderDetails[[#This Row],[OrderID]],Orders!A:A,Orders!C:C,"Not Found")</f>
        <v>35920</v>
      </c>
      <c r="H2124" s="16">
        <f>(OrderDetails[[#This Row],[UnitPrice]]*OrderDetails[[#This Row],[Quantity]])*(1-OrderDetails[[#This Row],[Discount]])</f>
        <v>90</v>
      </c>
      <c r="I2124" s="15" t="str">
        <f>_xlfn.XLOOKUP(OrderDetails[[#This Row],[ProductID]],Product!A:A,Product!G:G,"Not Found")</f>
        <v>Beverages</v>
      </c>
      <c r="J2124" s="15" t="str">
        <f>LOOKUP(MONTH(G2124),{1,4,7,10},{"Winter","Spring","Summer","Autumn"})</f>
        <v>Spring</v>
      </c>
      <c r="K2124" s="15" t="str">
        <f>_xlfn.XLOOKUP(OrderDetails[[#This Row],[ProductID]],Product!A:A,Product!B:B,"Not Found")</f>
        <v>Guaraná Fantástica</v>
      </c>
    </row>
    <row r="2125" spans="1:11">
      <c r="A2125" s="2">
        <v>11074</v>
      </c>
      <c r="B2125" s="2">
        <v>16</v>
      </c>
      <c r="C2125" s="2">
        <v>17.45</v>
      </c>
      <c r="D2125" s="2">
        <v>14</v>
      </c>
      <c r="E2125" s="4">
        <v>5.000000074505806E-2</v>
      </c>
      <c r="F2125" s="1" t="str">
        <f>_xlfn.XLOOKUP(A2125,Orders!A:A,Orders!B:B,"not found")</f>
        <v>SIMOB</v>
      </c>
      <c r="G2125" s="13">
        <f>_xlfn.XLOOKUP(OrderDetails[[#This Row],[OrderID]],Orders!A:A,Orders!C:C,"Not Found")</f>
        <v>35921</v>
      </c>
      <c r="H2125" s="16">
        <f>(OrderDetails[[#This Row],[UnitPrice]]*OrderDetails[[#This Row],[Quantity]])*(1-OrderDetails[[#This Row],[Discount]])</f>
        <v>232.08499981798229</v>
      </c>
      <c r="I2125" s="15" t="str">
        <f>_xlfn.XLOOKUP(OrderDetails[[#This Row],[ProductID]],Product!A:A,Product!G:G,"Not Found")</f>
        <v>Confections</v>
      </c>
      <c r="J2125" s="15" t="str">
        <f>LOOKUP(MONTH(G2125),{1,4,7,10},{"Winter","Spring","Summer","Autumn"})</f>
        <v>Spring</v>
      </c>
      <c r="K2125" s="15" t="str">
        <f>_xlfn.XLOOKUP(OrderDetails[[#This Row],[ProductID]],Product!A:A,Product!B:B,"Not Found")</f>
        <v>Pavlova</v>
      </c>
    </row>
    <row r="2126" spans="1:11">
      <c r="A2126" s="1">
        <v>11075</v>
      </c>
      <c r="B2126" s="1">
        <v>2</v>
      </c>
      <c r="C2126" s="1">
        <v>19</v>
      </c>
      <c r="D2126" s="1">
        <v>10</v>
      </c>
      <c r="E2126" s="3">
        <v>0.15000000596046448</v>
      </c>
      <c r="F2126" s="1" t="str">
        <f>_xlfn.XLOOKUP(A2126,Orders!A:A,Orders!B:B,"not found")</f>
        <v>RICSU</v>
      </c>
      <c r="G2126" s="13">
        <f>_xlfn.XLOOKUP(OrderDetails[[#This Row],[OrderID]],Orders!A:A,Orders!C:C,"Not Found")</f>
        <v>35921</v>
      </c>
      <c r="H2126" s="16">
        <f>(OrderDetails[[#This Row],[UnitPrice]]*OrderDetails[[#This Row],[Quantity]])*(1-OrderDetails[[#This Row],[Discount]])</f>
        <v>161.49999886751175</v>
      </c>
      <c r="I2126" s="15" t="str">
        <f>_xlfn.XLOOKUP(OrderDetails[[#This Row],[ProductID]],Product!A:A,Product!G:G,"Not Found")</f>
        <v>Beverages</v>
      </c>
      <c r="J2126" s="15" t="str">
        <f>LOOKUP(MONTH(G2126),{1,4,7,10},{"Winter","Spring","Summer","Autumn"})</f>
        <v>Spring</v>
      </c>
      <c r="K2126" s="15" t="str">
        <f>_xlfn.XLOOKUP(OrderDetails[[#This Row],[ProductID]],Product!A:A,Product!B:B,"Not Found")</f>
        <v>Chang</v>
      </c>
    </row>
    <row r="2127" spans="1:11">
      <c r="A2127" s="2">
        <v>11075</v>
      </c>
      <c r="B2127" s="2">
        <v>46</v>
      </c>
      <c r="C2127" s="2">
        <v>12</v>
      </c>
      <c r="D2127" s="2">
        <v>30</v>
      </c>
      <c r="E2127" s="4">
        <v>0.15000000596046448</v>
      </c>
      <c r="F2127" s="1" t="str">
        <f>_xlfn.XLOOKUP(A2127,Orders!A:A,Orders!B:B,"not found")</f>
        <v>RICSU</v>
      </c>
      <c r="G2127" s="13">
        <f>_xlfn.XLOOKUP(OrderDetails[[#This Row],[OrderID]],Orders!A:A,Orders!C:C,"Not Found")</f>
        <v>35921</v>
      </c>
      <c r="H2127" s="16">
        <f>(OrderDetails[[#This Row],[UnitPrice]]*OrderDetails[[#This Row],[Quantity]])*(1-OrderDetails[[#This Row],[Discount]])</f>
        <v>305.99999785423279</v>
      </c>
      <c r="I2127" s="15" t="str">
        <f>_xlfn.XLOOKUP(OrderDetails[[#This Row],[ProductID]],Product!A:A,Product!G:G,"Not Found")</f>
        <v>Seafood</v>
      </c>
      <c r="J2127" s="15" t="str">
        <f>LOOKUP(MONTH(G2127),{1,4,7,10},{"Winter","Spring","Summer","Autumn"})</f>
        <v>Spring</v>
      </c>
      <c r="K2127" s="15" t="str">
        <f>_xlfn.XLOOKUP(OrderDetails[[#This Row],[ProductID]],Product!A:A,Product!B:B,"Not Found")</f>
        <v>Spegesild</v>
      </c>
    </row>
    <row r="2128" spans="1:11">
      <c r="A2128" s="1">
        <v>11075</v>
      </c>
      <c r="B2128" s="1">
        <v>76</v>
      </c>
      <c r="C2128" s="1">
        <v>18</v>
      </c>
      <c r="D2128" s="1">
        <v>2</v>
      </c>
      <c r="E2128" s="3">
        <v>0.15000000596046448</v>
      </c>
      <c r="F2128" s="1" t="str">
        <f>_xlfn.XLOOKUP(A2128,Orders!A:A,Orders!B:B,"not found")</f>
        <v>RICSU</v>
      </c>
      <c r="G2128" s="13">
        <f>_xlfn.XLOOKUP(OrderDetails[[#This Row],[OrderID]],Orders!A:A,Orders!C:C,"Not Found")</f>
        <v>35921</v>
      </c>
      <c r="H2128" s="16">
        <f>(OrderDetails[[#This Row],[UnitPrice]]*OrderDetails[[#This Row],[Quantity]])*(1-OrderDetails[[#This Row],[Discount]])</f>
        <v>30.599999785423279</v>
      </c>
      <c r="I2128" s="15" t="str">
        <f>_xlfn.XLOOKUP(OrderDetails[[#This Row],[ProductID]],Product!A:A,Product!G:G,"Not Found")</f>
        <v>Beverages</v>
      </c>
      <c r="J2128" s="15" t="str">
        <f>LOOKUP(MONTH(G2128),{1,4,7,10},{"Winter","Spring","Summer","Autumn"})</f>
        <v>Spring</v>
      </c>
      <c r="K2128" s="15" t="str">
        <f>_xlfn.XLOOKUP(OrderDetails[[#This Row],[ProductID]],Product!A:A,Product!B:B,"Not Found")</f>
        <v>Lakkalikööri</v>
      </c>
    </row>
    <row r="2129" spans="1:11">
      <c r="A2129" s="2">
        <v>11076</v>
      </c>
      <c r="B2129" s="2">
        <v>6</v>
      </c>
      <c r="C2129" s="2">
        <v>25</v>
      </c>
      <c r="D2129" s="2">
        <v>20</v>
      </c>
      <c r="E2129" s="4">
        <v>0.25</v>
      </c>
      <c r="F2129" s="1" t="str">
        <f>_xlfn.XLOOKUP(A2129,Orders!A:A,Orders!B:B,"not found")</f>
        <v>BONAP</v>
      </c>
      <c r="G2129" s="13">
        <f>_xlfn.XLOOKUP(OrderDetails[[#This Row],[OrderID]],Orders!A:A,Orders!C:C,"Not Found")</f>
        <v>35921</v>
      </c>
      <c r="H2129" s="16">
        <f>(OrderDetails[[#This Row],[UnitPrice]]*OrderDetails[[#This Row],[Quantity]])*(1-OrderDetails[[#This Row],[Discount]])</f>
        <v>375</v>
      </c>
      <c r="I2129" s="15" t="str">
        <f>_xlfn.XLOOKUP(OrderDetails[[#This Row],[ProductID]],Product!A:A,Product!G:G,"Not Found")</f>
        <v>Condiments</v>
      </c>
      <c r="J2129" s="15" t="str">
        <f>LOOKUP(MONTH(G2129),{1,4,7,10},{"Winter","Spring","Summer","Autumn"})</f>
        <v>Spring</v>
      </c>
      <c r="K2129" s="15" t="str">
        <f>_xlfn.XLOOKUP(OrderDetails[[#This Row],[ProductID]],Product!A:A,Product!B:B,"Not Found")</f>
        <v>Grandma's Boysenberry Spread</v>
      </c>
    </row>
    <row r="2130" spans="1:11">
      <c r="A2130" s="1">
        <v>11076</v>
      </c>
      <c r="B2130" s="1">
        <v>14</v>
      </c>
      <c r="C2130" s="1">
        <v>23.25</v>
      </c>
      <c r="D2130" s="1">
        <v>20</v>
      </c>
      <c r="E2130" s="3">
        <v>0.25</v>
      </c>
      <c r="F2130" s="1" t="str">
        <f>_xlfn.XLOOKUP(A2130,Orders!A:A,Orders!B:B,"not found")</f>
        <v>BONAP</v>
      </c>
      <c r="G2130" s="13">
        <f>_xlfn.XLOOKUP(OrderDetails[[#This Row],[OrderID]],Orders!A:A,Orders!C:C,"Not Found")</f>
        <v>35921</v>
      </c>
      <c r="H2130" s="16">
        <f>(OrderDetails[[#This Row],[UnitPrice]]*OrderDetails[[#This Row],[Quantity]])*(1-OrderDetails[[#This Row],[Discount]])</f>
        <v>348.75</v>
      </c>
      <c r="I2130" s="15" t="str">
        <f>_xlfn.XLOOKUP(OrderDetails[[#This Row],[ProductID]],Product!A:A,Product!G:G,"Not Found")</f>
        <v>Produce</v>
      </c>
      <c r="J2130" s="15" t="str">
        <f>LOOKUP(MONTH(G2130),{1,4,7,10},{"Winter","Spring","Summer","Autumn"})</f>
        <v>Spring</v>
      </c>
      <c r="K2130" s="15" t="str">
        <f>_xlfn.XLOOKUP(OrderDetails[[#This Row],[ProductID]],Product!A:A,Product!B:B,"Not Found")</f>
        <v>Tofu</v>
      </c>
    </row>
    <row r="2131" spans="1:11">
      <c r="A2131" s="2">
        <v>11076</v>
      </c>
      <c r="B2131" s="2">
        <v>19</v>
      </c>
      <c r="C2131" s="2">
        <v>9.1999999999999993</v>
      </c>
      <c r="D2131" s="2">
        <v>10</v>
      </c>
      <c r="E2131" s="4">
        <v>0.25</v>
      </c>
      <c r="F2131" s="1" t="str">
        <f>_xlfn.XLOOKUP(A2131,Orders!A:A,Orders!B:B,"not found")</f>
        <v>BONAP</v>
      </c>
      <c r="G2131" s="13">
        <f>_xlfn.XLOOKUP(OrderDetails[[#This Row],[OrderID]],Orders!A:A,Orders!C:C,"Not Found")</f>
        <v>35921</v>
      </c>
      <c r="H2131" s="16">
        <f>(OrderDetails[[#This Row],[UnitPrice]]*OrderDetails[[#This Row],[Quantity]])*(1-OrderDetails[[#This Row],[Discount]])</f>
        <v>69</v>
      </c>
      <c r="I2131" s="15" t="str">
        <f>_xlfn.XLOOKUP(OrderDetails[[#This Row],[ProductID]],Product!A:A,Product!G:G,"Not Found")</f>
        <v>Confections</v>
      </c>
      <c r="J2131" s="15" t="str">
        <f>LOOKUP(MONTH(G2131),{1,4,7,10},{"Winter","Spring","Summer","Autumn"})</f>
        <v>Spring</v>
      </c>
      <c r="K2131" s="15" t="str">
        <f>_xlfn.XLOOKUP(OrderDetails[[#This Row],[ProductID]],Product!A:A,Product!B:B,"Not Found")</f>
        <v>Teatime Chocolate Biscuits</v>
      </c>
    </row>
    <row r="2132" spans="1:11">
      <c r="A2132" s="1">
        <v>11077</v>
      </c>
      <c r="B2132" s="1">
        <v>2</v>
      </c>
      <c r="C2132" s="1">
        <v>19</v>
      </c>
      <c r="D2132" s="1">
        <v>24</v>
      </c>
      <c r="E2132" s="3">
        <v>0.20000000298023224</v>
      </c>
      <c r="F2132" s="1" t="str">
        <f>_xlfn.XLOOKUP(A2132,Orders!A:A,Orders!B:B,"not found")</f>
        <v>RATTC</v>
      </c>
      <c r="G2132" s="13">
        <f>_xlfn.XLOOKUP(OrderDetails[[#This Row],[OrderID]],Orders!A:A,Orders!C:C,"Not Found")</f>
        <v>35921</v>
      </c>
      <c r="H2132" s="16">
        <f>(OrderDetails[[#This Row],[UnitPrice]]*OrderDetails[[#This Row],[Quantity]])*(1-OrderDetails[[#This Row],[Discount]])</f>
        <v>364.7999986410141</v>
      </c>
      <c r="I2132" s="15" t="str">
        <f>_xlfn.XLOOKUP(OrderDetails[[#This Row],[ProductID]],Product!A:A,Product!G:G,"Not Found")</f>
        <v>Beverages</v>
      </c>
      <c r="J2132" s="15" t="str">
        <f>LOOKUP(MONTH(G2132),{1,4,7,10},{"Winter","Spring","Summer","Autumn"})</f>
        <v>Spring</v>
      </c>
      <c r="K2132" s="15" t="str">
        <f>_xlfn.XLOOKUP(OrderDetails[[#This Row],[ProductID]],Product!A:A,Product!B:B,"Not Found")</f>
        <v>Chang</v>
      </c>
    </row>
    <row r="2133" spans="1:11">
      <c r="A2133" s="2">
        <v>11077</v>
      </c>
      <c r="B2133" s="2">
        <v>3</v>
      </c>
      <c r="C2133" s="2">
        <v>10</v>
      </c>
      <c r="D2133" s="2">
        <v>4</v>
      </c>
      <c r="E2133" s="4">
        <v>0</v>
      </c>
      <c r="F2133" s="1" t="str">
        <f>_xlfn.XLOOKUP(A2133,Orders!A:A,Orders!B:B,"not found")</f>
        <v>RATTC</v>
      </c>
      <c r="G2133" s="13">
        <f>_xlfn.XLOOKUP(OrderDetails[[#This Row],[OrderID]],Orders!A:A,Orders!C:C,"Not Found")</f>
        <v>35921</v>
      </c>
      <c r="H2133" s="16">
        <f>(OrderDetails[[#This Row],[UnitPrice]]*OrderDetails[[#This Row],[Quantity]])*(1-OrderDetails[[#This Row],[Discount]])</f>
        <v>40</v>
      </c>
      <c r="I2133" s="15" t="str">
        <f>_xlfn.XLOOKUP(OrderDetails[[#This Row],[ProductID]],Product!A:A,Product!G:G,"Not Found")</f>
        <v>Condiments</v>
      </c>
      <c r="J2133" s="15" t="str">
        <f>LOOKUP(MONTH(G2133),{1,4,7,10},{"Winter","Spring","Summer","Autumn"})</f>
        <v>Spring</v>
      </c>
      <c r="K2133" s="15" t="str">
        <f>_xlfn.XLOOKUP(OrderDetails[[#This Row],[ProductID]],Product!A:A,Product!B:B,"Not Found")</f>
        <v>Aniseed Syrup</v>
      </c>
    </row>
    <row r="2134" spans="1:11">
      <c r="A2134" s="1">
        <v>11077</v>
      </c>
      <c r="B2134" s="1">
        <v>4</v>
      </c>
      <c r="C2134" s="1">
        <v>22</v>
      </c>
      <c r="D2134" s="1">
        <v>1</v>
      </c>
      <c r="E2134" s="3">
        <v>0</v>
      </c>
      <c r="F2134" s="1" t="str">
        <f>_xlfn.XLOOKUP(A2134,Orders!A:A,Orders!B:B,"not found")</f>
        <v>RATTC</v>
      </c>
      <c r="G2134" s="13">
        <f>_xlfn.XLOOKUP(OrderDetails[[#This Row],[OrderID]],Orders!A:A,Orders!C:C,"Not Found")</f>
        <v>35921</v>
      </c>
      <c r="H2134" s="16">
        <f>(OrderDetails[[#This Row],[UnitPrice]]*OrderDetails[[#This Row],[Quantity]])*(1-OrderDetails[[#This Row],[Discount]])</f>
        <v>22</v>
      </c>
      <c r="I2134" s="15" t="str">
        <f>_xlfn.XLOOKUP(OrderDetails[[#This Row],[ProductID]],Product!A:A,Product!G:G,"Not Found")</f>
        <v>Condiments</v>
      </c>
      <c r="J2134" s="15" t="str">
        <f>LOOKUP(MONTH(G2134),{1,4,7,10},{"Winter","Spring","Summer","Autumn"})</f>
        <v>Spring</v>
      </c>
      <c r="K2134" s="15" t="str">
        <f>_xlfn.XLOOKUP(OrderDetails[[#This Row],[ProductID]],Product!A:A,Product!B:B,"Not Found")</f>
        <v>Chef Anton's Cajun Seasoning</v>
      </c>
    </row>
    <row r="2135" spans="1:11">
      <c r="A2135" s="2">
        <v>11077</v>
      </c>
      <c r="B2135" s="2">
        <v>6</v>
      </c>
      <c r="C2135" s="2">
        <v>25</v>
      </c>
      <c r="D2135" s="2">
        <v>1</v>
      </c>
      <c r="E2135" s="4">
        <v>1.9999999552965164E-2</v>
      </c>
      <c r="F2135" s="1" t="str">
        <f>_xlfn.XLOOKUP(A2135,Orders!A:A,Orders!B:B,"not found")</f>
        <v>RATTC</v>
      </c>
      <c r="G2135" s="13">
        <f>_xlfn.XLOOKUP(OrderDetails[[#This Row],[OrderID]],Orders!A:A,Orders!C:C,"Not Found")</f>
        <v>35921</v>
      </c>
      <c r="H2135" s="16">
        <f>(OrderDetails[[#This Row],[UnitPrice]]*OrderDetails[[#This Row],[Quantity]])*(1-OrderDetails[[#This Row],[Discount]])</f>
        <v>24.500000011175871</v>
      </c>
      <c r="I2135" s="15" t="str">
        <f>_xlfn.XLOOKUP(OrderDetails[[#This Row],[ProductID]],Product!A:A,Product!G:G,"Not Found")</f>
        <v>Condiments</v>
      </c>
      <c r="J2135" s="15" t="str">
        <f>LOOKUP(MONTH(G2135),{1,4,7,10},{"Winter","Spring","Summer","Autumn"})</f>
        <v>Spring</v>
      </c>
      <c r="K2135" s="15" t="str">
        <f>_xlfn.XLOOKUP(OrderDetails[[#This Row],[ProductID]],Product!A:A,Product!B:B,"Not Found")</f>
        <v>Grandma's Boysenberry Spread</v>
      </c>
    </row>
    <row r="2136" spans="1:11">
      <c r="A2136" s="1">
        <v>11077</v>
      </c>
      <c r="B2136" s="1">
        <v>7</v>
      </c>
      <c r="C2136" s="1">
        <v>30</v>
      </c>
      <c r="D2136" s="1">
        <v>1</v>
      </c>
      <c r="E2136" s="3">
        <v>5.000000074505806E-2</v>
      </c>
      <c r="F2136" s="1" t="str">
        <f>_xlfn.XLOOKUP(A2136,Orders!A:A,Orders!B:B,"not found")</f>
        <v>RATTC</v>
      </c>
      <c r="G2136" s="13">
        <f>_xlfn.XLOOKUP(OrderDetails[[#This Row],[OrderID]],Orders!A:A,Orders!C:C,"Not Found")</f>
        <v>35921</v>
      </c>
      <c r="H2136" s="16">
        <f>(OrderDetails[[#This Row],[UnitPrice]]*OrderDetails[[#This Row],[Quantity]])*(1-OrderDetails[[#This Row],[Discount]])</f>
        <v>28.499999977648258</v>
      </c>
      <c r="I2136" s="15" t="str">
        <f>_xlfn.XLOOKUP(OrderDetails[[#This Row],[ProductID]],Product!A:A,Product!G:G,"Not Found")</f>
        <v>Produce</v>
      </c>
      <c r="J2136" s="15" t="str">
        <f>LOOKUP(MONTH(G2136),{1,4,7,10},{"Winter","Spring","Summer","Autumn"})</f>
        <v>Spring</v>
      </c>
      <c r="K2136" s="15" t="str">
        <f>_xlfn.XLOOKUP(OrderDetails[[#This Row],[ProductID]],Product!A:A,Product!B:B,"Not Found")</f>
        <v>Uncle Bob's Organic Dried Pears</v>
      </c>
    </row>
    <row r="2137" spans="1:11">
      <c r="A2137" s="2">
        <v>11077</v>
      </c>
      <c r="B2137" s="2">
        <v>8</v>
      </c>
      <c r="C2137" s="2">
        <v>40</v>
      </c>
      <c r="D2137" s="2">
        <v>2</v>
      </c>
      <c r="E2137" s="4">
        <v>0.10000000149011612</v>
      </c>
      <c r="F2137" s="1" t="str">
        <f>_xlfn.XLOOKUP(A2137,Orders!A:A,Orders!B:B,"not found")</f>
        <v>RATTC</v>
      </c>
      <c r="G2137" s="13">
        <f>_xlfn.XLOOKUP(OrderDetails[[#This Row],[OrderID]],Orders!A:A,Orders!C:C,"Not Found")</f>
        <v>35921</v>
      </c>
      <c r="H2137" s="16">
        <f>(OrderDetails[[#This Row],[UnitPrice]]*OrderDetails[[#This Row],[Quantity]])*(1-OrderDetails[[#This Row],[Discount]])</f>
        <v>71.99999988079071</v>
      </c>
      <c r="I2137" s="15" t="str">
        <f>_xlfn.XLOOKUP(OrderDetails[[#This Row],[ProductID]],Product!A:A,Product!G:G,"Not Found")</f>
        <v>Condiments</v>
      </c>
      <c r="J2137" s="15" t="str">
        <f>LOOKUP(MONTH(G2137),{1,4,7,10},{"Winter","Spring","Summer","Autumn"})</f>
        <v>Spring</v>
      </c>
      <c r="K2137" s="15" t="str">
        <f>_xlfn.XLOOKUP(OrderDetails[[#This Row],[ProductID]],Product!A:A,Product!B:B,"Not Found")</f>
        <v>Northwoods Cranberry Sauce</v>
      </c>
    </row>
    <row r="2138" spans="1:11">
      <c r="A2138" s="1">
        <v>11077</v>
      </c>
      <c r="B2138" s="1">
        <v>10</v>
      </c>
      <c r="C2138" s="1">
        <v>31</v>
      </c>
      <c r="D2138" s="1">
        <v>1</v>
      </c>
      <c r="E2138" s="3">
        <v>0</v>
      </c>
      <c r="F2138" s="1" t="str">
        <f>_xlfn.XLOOKUP(A2138,Orders!A:A,Orders!B:B,"not found")</f>
        <v>RATTC</v>
      </c>
      <c r="G2138" s="13">
        <f>_xlfn.XLOOKUP(OrderDetails[[#This Row],[OrderID]],Orders!A:A,Orders!C:C,"Not Found")</f>
        <v>35921</v>
      </c>
      <c r="H2138" s="16">
        <f>(OrderDetails[[#This Row],[UnitPrice]]*OrderDetails[[#This Row],[Quantity]])*(1-OrderDetails[[#This Row],[Discount]])</f>
        <v>31</v>
      </c>
      <c r="I2138" s="15" t="str">
        <f>_xlfn.XLOOKUP(OrderDetails[[#This Row],[ProductID]],Product!A:A,Product!G:G,"Not Found")</f>
        <v>Seafood</v>
      </c>
      <c r="J2138" s="15" t="str">
        <f>LOOKUP(MONTH(G2138),{1,4,7,10},{"Winter","Spring","Summer","Autumn"})</f>
        <v>Spring</v>
      </c>
      <c r="K2138" s="15" t="str">
        <f>_xlfn.XLOOKUP(OrderDetails[[#This Row],[ProductID]],Product!A:A,Product!B:B,"Not Found")</f>
        <v>Ikura</v>
      </c>
    </row>
    <row r="2139" spans="1:11">
      <c r="A2139" s="2">
        <v>11077</v>
      </c>
      <c r="B2139" s="2">
        <v>12</v>
      </c>
      <c r="C2139" s="2">
        <v>38</v>
      </c>
      <c r="D2139" s="2">
        <v>2</v>
      </c>
      <c r="E2139" s="4">
        <v>5.000000074505806E-2</v>
      </c>
      <c r="F2139" s="1" t="str">
        <f>_xlfn.XLOOKUP(A2139,Orders!A:A,Orders!B:B,"not found")</f>
        <v>RATTC</v>
      </c>
      <c r="G2139" s="13">
        <f>_xlfn.XLOOKUP(OrderDetails[[#This Row],[OrderID]],Orders!A:A,Orders!C:C,"Not Found")</f>
        <v>35921</v>
      </c>
      <c r="H2139" s="16">
        <f>(OrderDetails[[#This Row],[UnitPrice]]*OrderDetails[[#This Row],[Quantity]])*(1-OrderDetails[[#This Row],[Discount]])</f>
        <v>72.199999943375587</v>
      </c>
      <c r="I2139" s="15" t="str">
        <f>_xlfn.XLOOKUP(OrderDetails[[#This Row],[ProductID]],Product!A:A,Product!G:G,"Not Found")</f>
        <v>Dairy Products</v>
      </c>
      <c r="J2139" s="15" t="str">
        <f>LOOKUP(MONTH(G2139),{1,4,7,10},{"Winter","Spring","Summer","Autumn"})</f>
        <v>Spring</v>
      </c>
      <c r="K2139" s="15" t="str">
        <f>_xlfn.XLOOKUP(OrderDetails[[#This Row],[ProductID]],Product!A:A,Product!B:B,"Not Found")</f>
        <v>Queso Manchego La Pastora</v>
      </c>
    </row>
    <row r="2140" spans="1:11">
      <c r="A2140" s="1">
        <v>11077</v>
      </c>
      <c r="B2140" s="1">
        <v>13</v>
      </c>
      <c r="C2140" s="1">
        <v>6</v>
      </c>
      <c r="D2140" s="1">
        <v>4</v>
      </c>
      <c r="E2140" s="3">
        <v>0</v>
      </c>
      <c r="F2140" s="1" t="str">
        <f>_xlfn.XLOOKUP(A2140,Orders!A:A,Orders!B:B,"not found")</f>
        <v>RATTC</v>
      </c>
      <c r="G2140" s="13">
        <f>_xlfn.XLOOKUP(OrderDetails[[#This Row],[OrderID]],Orders!A:A,Orders!C:C,"Not Found")</f>
        <v>35921</v>
      </c>
      <c r="H2140" s="16">
        <f>(OrderDetails[[#This Row],[UnitPrice]]*OrderDetails[[#This Row],[Quantity]])*(1-OrderDetails[[#This Row],[Discount]])</f>
        <v>24</v>
      </c>
      <c r="I2140" s="15" t="str">
        <f>_xlfn.XLOOKUP(OrderDetails[[#This Row],[ProductID]],Product!A:A,Product!G:G,"Not Found")</f>
        <v>Seafood</v>
      </c>
      <c r="J2140" s="15" t="str">
        <f>LOOKUP(MONTH(G2140),{1,4,7,10},{"Winter","Spring","Summer","Autumn"})</f>
        <v>Spring</v>
      </c>
      <c r="K2140" s="15" t="str">
        <f>_xlfn.XLOOKUP(OrderDetails[[#This Row],[ProductID]],Product!A:A,Product!B:B,"Not Found")</f>
        <v>Konbu</v>
      </c>
    </row>
    <row r="2141" spans="1:11">
      <c r="A2141" s="2">
        <v>11077</v>
      </c>
      <c r="B2141" s="2">
        <v>14</v>
      </c>
      <c r="C2141" s="2">
        <v>23.25</v>
      </c>
      <c r="D2141" s="2">
        <v>1</v>
      </c>
      <c r="E2141" s="4">
        <v>2.9999999329447746E-2</v>
      </c>
      <c r="F2141" s="1" t="str">
        <f>_xlfn.XLOOKUP(A2141,Orders!A:A,Orders!B:B,"not found")</f>
        <v>RATTC</v>
      </c>
      <c r="G2141" s="13">
        <f>_xlfn.XLOOKUP(OrderDetails[[#This Row],[OrderID]],Orders!A:A,Orders!C:C,"Not Found")</f>
        <v>35921</v>
      </c>
      <c r="H2141" s="16">
        <f>(OrderDetails[[#This Row],[UnitPrice]]*OrderDetails[[#This Row],[Quantity]])*(1-OrderDetails[[#This Row],[Discount]])</f>
        <v>22.55250001559034</v>
      </c>
      <c r="I2141" s="15" t="str">
        <f>_xlfn.XLOOKUP(OrderDetails[[#This Row],[ProductID]],Product!A:A,Product!G:G,"Not Found")</f>
        <v>Produce</v>
      </c>
      <c r="J2141" s="15" t="str">
        <f>LOOKUP(MONTH(G2141),{1,4,7,10},{"Winter","Spring","Summer","Autumn"})</f>
        <v>Spring</v>
      </c>
      <c r="K2141" s="15" t="str">
        <f>_xlfn.XLOOKUP(OrderDetails[[#This Row],[ProductID]],Product!A:A,Product!B:B,"Not Found")</f>
        <v>Tofu</v>
      </c>
    </row>
    <row r="2142" spans="1:11">
      <c r="A2142" s="1">
        <v>11077</v>
      </c>
      <c r="B2142" s="1">
        <v>16</v>
      </c>
      <c r="C2142" s="1">
        <v>17.45</v>
      </c>
      <c r="D2142" s="1">
        <v>2</v>
      </c>
      <c r="E2142" s="3">
        <v>2.9999999329447746E-2</v>
      </c>
      <c r="F2142" s="1" t="str">
        <f>_xlfn.XLOOKUP(A2142,Orders!A:A,Orders!B:B,"not found")</f>
        <v>RATTC</v>
      </c>
      <c r="G2142" s="13">
        <f>_xlfn.XLOOKUP(OrderDetails[[#This Row],[OrderID]],Orders!A:A,Orders!C:C,"Not Found")</f>
        <v>35921</v>
      </c>
      <c r="H2142" s="16">
        <f>(OrderDetails[[#This Row],[UnitPrice]]*OrderDetails[[#This Row],[Quantity]])*(1-OrderDetails[[#This Row],[Discount]])</f>
        <v>33.853000023402274</v>
      </c>
      <c r="I2142" s="15" t="str">
        <f>_xlfn.XLOOKUP(OrderDetails[[#This Row],[ProductID]],Product!A:A,Product!G:G,"Not Found")</f>
        <v>Confections</v>
      </c>
      <c r="J2142" s="15" t="str">
        <f>LOOKUP(MONTH(G2142),{1,4,7,10},{"Winter","Spring","Summer","Autumn"})</f>
        <v>Spring</v>
      </c>
      <c r="K2142" s="15" t="str">
        <f>_xlfn.XLOOKUP(OrderDetails[[#This Row],[ProductID]],Product!A:A,Product!B:B,"Not Found")</f>
        <v>Pavlova</v>
      </c>
    </row>
    <row r="2143" spans="1:11">
      <c r="A2143" s="2">
        <v>11077</v>
      </c>
      <c r="B2143" s="2">
        <v>20</v>
      </c>
      <c r="C2143" s="2">
        <v>81</v>
      </c>
      <c r="D2143" s="2">
        <v>1</v>
      </c>
      <c r="E2143" s="4">
        <v>3.9999999105930328E-2</v>
      </c>
      <c r="F2143" s="1" t="str">
        <f>_xlfn.XLOOKUP(A2143,Orders!A:A,Orders!B:B,"not found")</f>
        <v>RATTC</v>
      </c>
      <c r="G2143" s="13">
        <f>_xlfn.XLOOKUP(OrderDetails[[#This Row],[OrderID]],Orders!A:A,Orders!C:C,"Not Found")</f>
        <v>35921</v>
      </c>
      <c r="H2143" s="16">
        <f>(OrderDetails[[#This Row],[UnitPrice]]*OrderDetails[[#This Row],[Quantity]])*(1-OrderDetails[[#This Row],[Discount]])</f>
        <v>77.760000072419643</v>
      </c>
      <c r="I2143" s="15" t="str">
        <f>_xlfn.XLOOKUP(OrderDetails[[#This Row],[ProductID]],Product!A:A,Product!G:G,"Not Found")</f>
        <v>Confections</v>
      </c>
      <c r="J2143" s="15" t="str">
        <f>LOOKUP(MONTH(G2143),{1,4,7,10},{"Winter","Spring","Summer","Autumn"})</f>
        <v>Spring</v>
      </c>
      <c r="K2143" s="15" t="str">
        <f>_xlfn.XLOOKUP(OrderDetails[[#This Row],[ProductID]],Product!A:A,Product!B:B,"Not Found")</f>
        <v>Sir Rodney's Marmalade</v>
      </c>
    </row>
    <row r="2144" spans="1:11">
      <c r="A2144" s="1">
        <v>11077</v>
      </c>
      <c r="B2144" s="1">
        <v>23</v>
      </c>
      <c r="C2144" s="1">
        <v>9</v>
      </c>
      <c r="D2144" s="1">
        <v>2</v>
      </c>
      <c r="E2144" s="3">
        <v>0</v>
      </c>
      <c r="F2144" s="1" t="str">
        <f>_xlfn.XLOOKUP(A2144,Orders!A:A,Orders!B:B,"not found")</f>
        <v>RATTC</v>
      </c>
      <c r="G2144" s="13">
        <f>_xlfn.XLOOKUP(OrderDetails[[#This Row],[OrderID]],Orders!A:A,Orders!C:C,"Not Found")</f>
        <v>35921</v>
      </c>
      <c r="H2144" s="16">
        <f>(OrderDetails[[#This Row],[UnitPrice]]*OrderDetails[[#This Row],[Quantity]])*(1-OrderDetails[[#This Row],[Discount]])</f>
        <v>18</v>
      </c>
      <c r="I2144" s="15" t="str">
        <f>_xlfn.XLOOKUP(OrderDetails[[#This Row],[ProductID]],Product!A:A,Product!G:G,"Not Found")</f>
        <v>Grains/Cereals</v>
      </c>
      <c r="J2144" s="15" t="str">
        <f>LOOKUP(MONTH(G2144),{1,4,7,10},{"Winter","Spring","Summer","Autumn"})</f>
        <v>Spring</v>
      </c>
      <c r="K2144" s="15" t="str">
        <f>_xlfn.XLOOKUP(OrderDetails[[#This Row],[ProductID]],Product!A:A,Product!B:B,"Not Found")</f>
        <v>Tunnbröd</v>
      </c>
    </row>
    <row r="2145" spans="1:11">
      <c r="A2145" s="2">
        <v>11077</v>
      </c>
      <c r="B2145" s="2">
        <v>32</v>
      </c>
      <c r="C2145" s="2">
        <v>32</v>
      </c>
      <c r="D2145" s="2">
        <v>1</v>
      </c>
      <c r="E2145" s="4">
        <v>0</v>
      </c>
      <c r="F2145" s="1" t="str">
        <f>_xlfn.XLOOKUP(A2145,Orders!A:A,Orders!B:B,"not found")</f>
        <v>RATTC</v>
      </c>
      <c r="G2145" s="13">
        <f>_xlfn.XLOOKUP(OrderDetails[[#This Row],[OrderID]],Orders!A:A,Orders!C:C,"Not Found")</f>
        <v>35921</v>
      </c>
      <c r="H2145" s="16">
        <f>(OrderDetails[[#This Row],[UnitPrice]]*OrderDetails[[#This Row],[Quantity]])*(1-OrderDetails[[#This Row],[Discount]])</f>
        <v>32</v>
      </c>
      <c r="I2145" s="15" t="str">
        <f>_xlfn.XLOOKUP(OrderDetails[[#This Row],[ProductID]],Product!A:A,Product!G:G,"Not Found")</f>
        <v>Dairy Products</v>
      </c>
      <c r="J2145" s="15" t="str">
        <f>LOOKUP(MONTH(G2145),{1,4,7,10},{"Winter","Spring","Summer","Autumn"})</f>
        <v>Spring</v>
      </c>
      <c r="K2145" s="15" t="str">
        <f>_xlfn.XLOOKUP(OrderDetails[[#This Row],[ProductID]],Product!A:A,Product!B:B,"Not Found")</f>
        <v>Mascarpone Fabioli</v>
      </c>
    </row>
    <row r="2146" spans="1:11">
      <c r="A2146" s="1">
        <v>11077</v>
      </c>
      <c r="B2146" s="1">
        <v>39</v>
      </c>
      <c r="C2146" s="1">
        <v>18</v>
      </c>
      <c r="D2146" s="1">
        <v>2</v>
      </c>
      <c r="E2146" s="3">
        <v>5.000000074505806E-2</v>
      </c>
      <c r="F2146" s="1" t="str">
        <f>_xlfn.XLOOKUP(A2146,Orders!A:A,Orders!B:B,"not found")</f>
        <v>RATTC</v>
      </c>
      <c r="G2146" s="13">
        <f>_xlfn.XLOOKUP(OrderDetails[[#This Row],[OrderID]],Orders!A:A,Orders!C:C,"Not Found")</f>
        <v>35921</v>
      </c>
      <c r="H2146" s="16">
        <f>(OrderDetails[[#This Row],[UnitPrice]]*OrderDetails[[#This Row],[Quantity]])*(1-OrderDetails[[#This Row],[Discount]])</f>
        <v>34.19999997317791</v>
      </c>
      <c r="I2146" s="15" t="str">
        <f>_xlfn.XLOOKUP(OrderDetails[[#This Row],[ProductID]],Product!A:A,Product!G:G,"Not Found")</f>
        <v>Beverages</v>
      </c>
      <c r="J2146" s="15" t="str">
        <f>LOOKUP(MONTH(G2146),{1,4,7,10},{"Winter","Spring","Summer","Autumn"})</f>
        <v>Spring</v>
      </c>
      <c r="K2146" s="15" t="str">
        <f>_xlfn.XLOOKUP(OrderDetails[[#This Row],[ProductID]],Product!A:A,Product!B:B,"Not Found")</f>
        <v>Chartreuse verte</v>
      </c>
    </row>
    <row r="2147" spans="1:11">
      <c r="A2147" s="2">
        <v>11077</v>
      </c>
      <c r="B2147" s="2">
        <v>41</v>
      </c>
      <c r="C2147" s="2">
        <v>9.65</v>
      </c>
      <c r="D2147" s="2">
        <v>3</v>
      </c>
      <c r="E2147" s="4">
        <v>0</v>
      </c>
      <c r="F2147" s="1" t="str">
        <f>_xlfn.XLOOKUP(A2147,Orders!A:A,Orders!B:B,"not found")</f>
        <v>RATTC</v>
      </c>
      <c r="G2147" s="13">
        <f>_xlfn.XLOOKUP(OrderDetails[[#This Row],[OrderID]],Orders!A:A,Orders!C:C,"Not Found")</f>
        <v>35921</v>
      </c>
      <c r="H2147" s="16">
        <f>(OrderDetails[[#This Row],[UnitPrice]]*OrderDetails[[#This Row],[Quantity]])*(1-OrderDetails[[#This Row],[Discount]])</f>
        <v>28.950000000000003</v>
      </c>
      <c r="I2147" s="15" t="str">
        <f>_xlfn.XLOOKUP(OrderDetails[[#This Row],[ProductID]],Product!A:A,Product!G:G,"Not Found")</f>
        <v>Seafood</v>
      </c>
      <c r="J2147" s="15" t="str">
        <f>LOOKUP(MONTH(G2147),{1,4,7,10},{"Winter","Spring","Summer","Autumn"})</f>
        <v>Spring</v>
      </c>
      <c r="K2147" s="15" t="str">
        <f>_xlfn.XLOOKUP(OrderDetails[[#This Row],[ProductID]],Product!A:A,Product!B:B,"Not Found")</f>
        <v>Jack's New England Clam Chowder</v>
      </c>
    </row>
    <row r="2148" spans="1:11">
      <c r="A2148" s="1">
        <v>11077</v>
      </c>
      <c r="B2148" s="1">
        <v>46</v>
      </c>
      <c r="C2148" s="1">
        <v>12</v>
      </c>
      <c r="D2148" s="1">
        <v>3</v>
      </c>
      <c r="E2148" s="3">
        <v>1.9999999552965164E-2</v>
      </c>
      <c r="F2148" s="1" t="str">
        <f>_xlfn.XLOOKUP(A2148,Orders!A:A,Orders!B:B,"not found")</f>
        <v>RATTC</v>
      </c>
      <c r="G2148" s="13">
        <f>_xlfn.XLOOKUP(OrderDetails[[#This Row],[OrderID]],Orders!A:A,Orders!C:C,"Not Found")</f>
        <v>35921</v>
      </c>
      <c r="H2148" s="16">
        <f>(OrderDetails[[#This Row],[UnitPrice]]*OrderDetails[[#This Row],[Quantity]])*(1-OrderDetails[[#This Row],[Discount]])</f>
        <v>35.280000016093254</v>
      </c>
      <c r="I2148" s="15" t="str">
        <f>_xlfn.XLOOKUP(OrderDetails[[#This Row],[ProductID]],Product!A:A,Product!G:G,"Not Found")</f>
        <v>Seafood</v>
      </c>
      <c r="J2148" s="15" t="str">
        <f>LOOKUP(MONTH(G2148),{1,4,7,10},{"Winter","Spring","Summer","Autumn"})</f>
        <v>Spring</v>
      </c>
      <c r="K2148" s="15" t="str">
        <f>_xlfn.XLOOKUP(OrderDetails[[#This Row],[ProductID]],Product!A:A,Product!B:B,"Not Found")</f>
        <v>Spegesild</v>
      </c>
    </row>
    <row r="2149" spans="1:11">
      <c r="A2149" s="2">
        <v>11077</v>
      </c>
      <c r="B2149" s="2">
        <v>52</v>
      </c>
      <c r="C2149" s="2">
        <v>7</v>
      </c>
      <c r="D2149" s="2">
        <v>2</v>
      </c>
      <c r="E2149" s="4">
        <v>0</v>
      </c>
      <c r="F2149" s="1" t="str">
        <f>_xlfn.XLOOKUP(A2149,Orders!A:A,Orders!B:B,"not found")</f>
        <v>RATTC</v>
      </c>
      <c r="G2149" s="13">
        <f>_xlfn.XLOOKUP(OrderDetails[[#This Row],[OrderID]],Orders!A:A,Orders!C:C,"Not Found")</f>
        <v>35921</v>
      </c>
      <c r="H2149" s="16">
        <f>(OrderDetails[[#This Row],[UnitPrice]]*OrderDetails[[#This Row],[Quantity]])*(1-OrderDetails[[#This Row],[Discount]])</f>
        <v>14</v>
      </c>
      <c r="I2149" s="15" t="str">
        <f>_xlfn.XLOOKUP(OrderDetails[[#This Row],[ProductID]],Product!A:A,Product!G:G,"Not Found")</f>
        <v>Grains/Cereals</v>
      </c>
      <c r="J2149" s="15" t="str">
        <f>LOOKUP(MONTH(G2149),{1,4,7,10},{"Winter","Spring","Summer","Autumn"})</f>
        <v>Spring</v>
      </c>
      <c r="K2149" s="15" t="str">
        <f>_xlfn.XLOOKUP(OrderDetails[[#This Row],[ProductID]],Product!A:A,Product!B:B,"Not Found")</f>
        <v>Filo Mix</v>
      </c>
    </row>
    <row r="2150" spans="1:11">
      <c r="A2150" s="1">
        <v>11077</v>
      </c>
      <c r="B2150" s="1">
        <v>55</v>
      </c>
      <c r="C2150" s="1">
        <v>24</v>
      </c>
      <c r="D2150" s="1">
        <v>2</v>
      </c>
      <c r="E2150" s="3">
        <v>0</v>
      </c>
      <c r="F2150" s="1" t="str">
        <f>_xlfn.XLOOKUP(A2150,Orders!A:A,Orders!B:B,"not found")</f>
        <v>RATTC</v>
      </c>
      <c r="G2150" s="13">
        <f>_xlfn.XLOOKUP(OrderDetails[[#This Row],[OrderID]],Orders!A:A,Orders!C:C,"Not Found")</f>
        <v>35921</v>
      </c>
      <c r="H2150" s="16">
        <f>(OrderDetails[[#This Row],[UnitPrice]]*OrderDetails[[#This Row],[Quantity]])*(1-OrderDetails[[#This Row],[Discount]])</f>
        <v>48</v>
      </c>
      <c r="I2150" s="15" t="str">
        <f>_xlfn.XLOOKUP(OrderDetails[[#This Row],[ProductID]],Product!A:A,Product!G:G,"Not Found")</f>
        <v>Meat/Poultry</v>
      </c>
      <c r="J2150" s="15" t="str">
        <f>LOOKUP(MONTH(G2150),{1,4,7,10},{"Winter","Spring","Summer","Autumn"})</f>
        <v>Spring</v>
      </c>
      <c r="K2150" s="15" t="str">
        <f>_xlfn.XLOOKUP(OrderDetails[[#This Row],[ProductID]],Product!A:A,Product!B:B,"Not Found")</f>
        <v>Pâté chinois</v>
      </c>
    </row>
    <row r="2151" spans="1:11">
      <c r="A2151" s="2">
        <v>11077</v>
      </c>
      <c r="B2151" s="2">
        <v>60</v>
      </c>
      <c r="C2151" s="2">
        <v>34</v>
      </c>
      <c r="D2151" s="2">
        <v>2</v>
      </c>
      <c r="E2151" s="4">
        <v>5.9999998658895493E-2</v>
      </c>
      <c r="F2151" s="1" t="str">
        <f>_xlfn.XLOOKUP(A2151,Orders!A:A,Orders!B:B,"not found")</f>
        <v>RATTC</v>
      </c>
      <c r="G2151" s="13">
        <f>_xlfn.XLOOKUP(OrderDetails[[#This Row],[OrderID]],Orders!A:A,Orders!C:C,"Not Found")</f>
        <v>35921</v>
      </c>
      <c r="H2151" s="16">
        <f>(OrderDetails[[#This Row],[UnitPrice]]*OrderDetails[[#This Row],[Quantity]])*(1-OrderDetails[[#This Row],[Discount]])</f>
        <v>63.920000091195107</v>
      </c>
      <c r="I2151" s="15" t="str">
        <f>_xlfn.XLOOKUP(OrderDetails[[#This Row],[ProductID]],Product!A:A,Product!G:G,"Not Found")</f>
        <v>Dairy Products</v>
      </c>
      <c r="J2151" s="15" t="str">
        <f>LOOKUP(MONTH(G2151),{1,4,7,10},{"Winter","Spring","Summer","Autumn"})</f>
        <v>Spring</v>
      </c>
      <c r="K2151" s="15" t="str">
        <f>_xlfn.XLOOKUP(OrderDetails[[#This Row],[ProductID]],Product!A:A,Product!B:B,"Not Found")</f>
        <v>Camembert Pierrot</v>
      </c>
    </row>
    <row r="2152" spans="1:11">
      <c r="A2152" s="1">
        <v>11077</v>
      </c>
      <c r="B2152" s="1">
        <v>64</v>
      </c>
      <c r="C2152" s="1">
        <v>33.25</v>
      </c>
      <c r="D2152" s="1">
        <v>2</v>
      </c>
      <c r="E2152" s="3">
        <v>2.9999999329447746E-2</v>
      </c>
      <c r="F2152" s="1" t="str">
        <f>_xlfn.XLOOKUP(A2152,Orders!A:A,Orders!B:B,"not found")</f>
        <v>RATTC</v>
      </c>
      <c r="G2152" s="13">
        <f>_xlfn.XLOOKUP(OrderDetails[[#This Row],[OrderID]],Orders!A:A,Orders!C:C,"Not Found")</f>
        <v>35921</v>
      </c>
      <c r="H2152" s="16">
        <f>(OrderDetails[[#This Row],[UnitPrice]]*OrderDetails[[#This Row],[Quantity]])*(1-OrderDetails[[#This Row],[Discount]])</f>
        <v>64.505000044591725</v>
      </c>
      <c r="I2152" s="15" t="str">
        <f>_xlfn.XLOOKUP(OrderDetails[[#This Row],[ProductID]],Product!A:A,Product!G:G,"Not Found")</f>
        <v>Grains/Cereals</v>
      </c>
      <c r="J2152" s="15" t="str">
        <f>LOOKUP(MONTH(G2152),{1,4,7,10},{"Winter","Spring","Summer","Autumn"})</f>
        <v>Spring</v>
      </c>
      <c r="K2152" s="15" t="str">
        <f>_xlfn.XLOOKUP(OrderDetails[[#This Row],[ProductID]],Product!A:A,Product!B:B,"Not Found")</f>
        <v>Wimmers gute Semmelknödel</v>
      </c>
    </row>
    <row r="2153" spans="1:11">
      <c r="A2153" s="2">
        <v>11077</v>
      </c>
      <c r="B2153" s="2">
        <v>66</v>
      </c>
      <c r="C2153" s="2">
        <v>17</v>
      </c>
      <c r="D2153" s="2">
        <v>1</v>
      </c>
      <c r="E2153" s="4">
        <v>0</v>
      </c>
      <c r="F2153" s="1" t="str">
        <f>_xlfn.XLOOKUP(A2153,Orders!A:A,Orders!B:B,"not found")</f>
        <v>RATTC</v>
      </c>
      <c r="G2153" s="13">
        <f>_xlfn.XLOOKUP(OrderDetails[[#This Row],[OrderID]],Orders!A:A,Orders!C:C,"Not Found")</f>
        <v>35921</v>
      </c>
      <c r="H2153" s="16">
        <f>(OrderDetails[[#This Row],[UnitPrice]]*OrderDetails[[#This Row],[Quantity]])*(1-OrderDetails[[#This Row],[Discount]])</f>
        <v>17</v>
      </c>
      <c r="I2153" s="15" t="str">
        <f>_xlfn.XLOOKUP(OrderDetails[[#This Row],[ProductID]],Product!A:A,Product!G:G,"Not Found")</f>
        <v>Condiments</v>
      </c>
      <c r="J2153" s="15" t="str">
        <f>LOOKUP(MONTH(G2153),{1,4,7,10},{"Winter","Spring","Summer","Autumn"})</f>
        <v>Spring</v>
      </c>
      <c r="K2153" s="15" t="str">
        <f>_xlfn.XLOOKUP(OrderDetails[[#This Row],[ProductID]],Product!A:A,Product!B:B,"Not Found")</f>
        <v>Louisiana Hot Spiced Okra</v>
      </c>
    </row>
    <row r="2154" spans="1:11">
      <c r="A2154" s="1">
        <v>11077</v>
      </c>
      <c r="B2154" s="1">
        <v>73</v>
      </c>
      <c r="C2154" s="1">
        <v>15</v>
      </c>
      <c r="D2154" s="1">
        <v>2</v>
      </c>
      <c r="E2154" s="3">
        <v>9.9999997764825821E-3</v>
      </c>
      <c r="F2154" s="1" t="str">
        <f>_xlfn.XLOOKUP(A2154,Orders!A:A,Orders!B:B,"not found")</f>
        <v>RATTC</v>
      </c>
      <c r="G2154" s="13">
        <f>_xlfn.XLOOKUP(OrderDetails[[#This Row],[OrderID]],Orders!A:A,Orders!C:C,"Not Found")</f>
        <v>35921</v>
      </c>
      <c r="H2154" s="16">
        <f>(OrderDetails[[#This Row],[UnitPrice]]*OrderDetails[[#This Row],[Quantity]])*(1-OrderDetails[[#This Row],[Discount]])</f>
        <v>29.700000006705523</v>
      </c>
      <c r="I2154" s="15" t="str">
        <f>_xlfn.XLOOKUP(OrderDetails[[#This Row],[ProductID]],Product!A:A,Product!G:G,"Not Found")</f>
        <v>Seafood</v>
      </c>
      <c r="J2154" s="15" t="str">
        <f>LOOKUP(MONTH(G2154),{1,4,7,10},{"Winter","Spring","Summer","Autumn"})</f>
        <v>Spring</v>
      </c>
      <c r="K2154" s="15" t="str">
        <f>_xlfn.XLOOKUP(OrderDetails[[#This Row],[ProductID]],Product!A:A,Product!B:B,"Not Found")</f>
        <v>Röd Kaviar</v>
      </c>
    </row>
    <row r="2155" spans="1:11">
      <c r="A2155" s="2">
        <v>11077</v>
      </c>
      <c r="B2155" s="2">
        <v>75</v>
      </c>
      <c r="C2155" s="2">
        <v>7.75</v>
      </c>
      <c r="D2155" s="2">
        <v>4</v>
      </c>
      <c r="E2155" s="4">
        <v>0</v>
      </c>
      <c r="F2155" s="1" t="str">
        <f>_xlfn.XLOOKUP(A2155,Orders!A:A,Orders!B:B,"not found")</f>
        <v>RATTC</v>
      </c>
      <c r="G2155" s="13">
        <f>_xlfn.XLOOKUP(OrderDetails[[#This Row],[OrderID]],Orders!A:A,Orders!C:C,"Not Found")</f>
        <v>35921</v>
      </c>
      <c r="H2155" s="16">
        <f>(OrderDetails[[#This Row],[UnitPrice]]*OrderDetails[[#This Row],[Quantity]])*(1-OrderDetails[[#This Row],[Discount]])</f>
        <v>31</v>
      </c>
      <c r="I2155" s="15" t="str">
        <f>_xlfn.XLOOKUP(OrderDetails[[#This Row],[ProductID]],Product!A:A,Product!G:G,"Not Found")</f>
        <v>Beverages</v>
      </c>
      <c r="J2155" s="15" t="str">
        <f>LOOKUP(MONTH(G2155),{1,4,7,10},{"Winter","Spring","Summer","Autumn"})</f>
        <v>Spring</v>
      </c>
      <c r="K2155" s="15" t="str">
        <f>_xlfn.XLOOKUP(OrderDetails[[#This Row],[ProductID]],Product!A:A,Product!B:B,"Not Found")</f>
        <v>Rhönbräu Klosterbier</v>
      </c>
    </row>
    <row r="2156" spans="1:11">
      <c r="A2156" s="7">
        <v>11077</v>
      </c>
      <c r="B2156" s="7">
        <v>77</v>
      </c>
      <c r="C2156" s="7">
        <v>13</v>
      </c>
      <c r="D2156" s="7">
        <v>2</v>
      </c>
      <c r="E2156" s="8">
        <v>0</v>
      </c>
      <c r="F2156" s="7" t="str">
        <f>_xlfn.XLOOKUP(A2156,Orders!A:A,Orders!B:B,"not found")</f>
        <v>RATTC</v>
      </c>
      <c r="G2156" s="14">
        <f>_xlfn.XLOOKUP(OrderDetails[[#This Row],[OrderID]],Orders!A:A,Orders!C:C,"Not Found")</f>
        <v>35921</v>
      </c>
      <c r="H2156" s="16">
        <f>(OrderDetails[[#This Row],[UnitPrice]]*OrderDetails[[#This Row],[Quantity]])*(1-OrderDetails[[#This Row],[Discount]])</f>
        <v>26</v>
      </c>
      <c r="I2156" s="15" t="str">
        <f>_xlfn.XLOOKUP(OrderDetails[[#This Row],[ProductID]],Product!A:A,Product!G:G,"Not Found")</f>
        <v>Condiments</v>
      </c>
      <c r="J2156" s="15" t="str">
        <f>LOOKUP(MONTH(G2156),{1,4,7,10},{"Winter","Spring","Summer","Autumn"})</f>
        <v>Spring</v>
      </c>
      <c r="K2156" s="15" t="str">
        <f>_xlfn.XLOOKUP(OrderDetails[[#This Row],[ProductID]],Product!A:A,Product!B:B,"Not Found")</f>
        <v>Original Frankfurter grüne Soße</v>
      </c>
    </row>
  </sheetData>
  <mergeCells count="2">
    <mergeCell ref="N1:O29"/>
    <mergeCell ref="Q1:V29"/>
  </mergeCells>
  <phoneticPr fontId="2"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77B3-2940-49A1-B9AF-8ADFAC20767C}">
  <dimension ref="A1:N2898"/>
  <sheetViews>
    <sheetView zoomScale="55" zoomScaleNormal="55" workbookViewId="0">
      <selection activeCell="K45" sqref="K45"/>
    </sheetView>
  </sheetViews>
  <sheetFormatPr defaultRowHeight="13.8"/>
  <cols>
    <col min="1" max="1" width="27.59765625" style="20" bestFit="1" customWidth="1"/>
    <col min="2" max="2" width="12.796875" style="23" bestFit="1" customWidth="1"/>
    <col min="3" max="3" width="22" style="20" bestFit="1" customWidth="1"/>
    <col min="4" max="7" width="8.796875" style="20"/>
    <col min="8" max="8" width="25.8984375" style="20" bestFit="1" customWidth="1"/>
    <col min="9" max="9" width="15.3984375" style="20" bestFit="1" customWidth="1"/>
    <col min="10" max="10" width="24.59765625" style="20" bestFit="1" customWidth="1"/>
    <col min="11" max="11" width="20.796875" style="20" bestFit="1" customWidth="1"/>
    <col min="12" max="12" width="22" style="20" bestFit="1" customWidth="1"/>
    <col min="13" max="16384" width="8.796875" style="20"/>
  </cols>
  <sheetData>
    <row r="1" spans="1:14">
      <c r="A1" s="19" t="s">
        <v>377</v>
      </c>
      <c r="B1" s="20" t="s">
        <v>380</v>
      </c>
      <c r="C1"/>
      <c r="H1" s="19" t="s">
        <v>378</v>
      </c>
      <c r="I1" s="20" t="s">
        <v>379</v>
      </c>
      <c r="J1"/>
      <c r="K1"/>
      <c r="L1"/>
      <c r="M1"/>
    </row>
    <row r="2" spans="1:14">
      <c r="A2" s="20" t="s">
        <v>269</v>
      </c>
      <c r="C2"/>
      <c r="H2" s="20" t="s">
        <v>269</v>
      </c>
      <c r="I2" s="21"/>
      <c r="J2"/>
      <c r="M2"/>
    </row>
    <row r="3" spans="1:14">
      <c r="A3" s="20" t="s">
        <v>286</v>
      </c>
      <c r="B3" s="23">
        <v>128355.39982304235</v>
      </c>
      <c r="C3"/>
      <c r="H3" s="22" t="s">
        <v>270</v>
      </c>
      <c r="I3" s="21">
        <v>0.13389736359495552</v>
      </c>
      <c r="J3"/>
      <c r="M3"/>
    </row>
    <row r="4" spans="1:14">
      <c r="A4" s="20" t="s">
        <v>287</v>
      </c>
      <c r="B4" s="23">
        <v>79728.569931586069</v>
      </c>
      <c r="C4"/>
      <c r="H4" s="22" t="s">
        <v>271</v>
      </c>
      <c r="I4" s="21">
        <v>0.12247591689371176</v>
      </c>
      <c r="J4"/>
      <c r="M4"/>
      <c r="N4" s="21"/>
    </row>
    <row r="5" spans="1:14">
      <c r="A5" s="20" t="s">
        <v>276</v>
      </c>
      <c r="C5"/>
      <c r="H5" s="22" t="s">
        <v>272</v>
      </c>
      <c r="I5" s="21">
        <v>0.12678247161276368</v>
      </c>
      <c r="J5"/>
      <c r="M5"/>
    </row>
    <row r="6" spans="1:14">
      <c r="A6" s="20" t="s">
        <v>286</v>
      </c>
      <c r="B6" s="23">
        <v>181681.46336578243</v>
      </c>
      <c r="C6"/>
      <c r="H6" s="22" t="s">
        <v>273</v>
      </c>
      <c r="I6" s="21">
        <v>0.18029127836576173</v>
      </c>
      <c r="J6"/>
      <c r="M6"/>
    </row>
    <row r="7" spans="1:14">
      <c r="A7" s="20" t="s">
        <v>288</v>
      </c>
      <c r="B7" s="23">
        <v>143177.04480334494</v>
      </c>
      <c r="C7"/>
      <c r="H7" s="22" t="s">
        <v>274</v>
      </c>
      <c r="I7" s="21">
        <v>0.21914251730634152</v>
      </c>
      <c r="J7"/>
      <c r="M7"/>
    </row>
    <row r="8" spans="1:14">
      <c r="A8" s="20" t="s">
        <v>287</v>
      </c>
      <c r="B8" s="23">
        <v>153937.7698575375</v>
      </c>
      <c r="C8"/>
      <c r="H8" s="22" t="s">
        <v>275</v>
      </c>
      <c r="I8" s="21">
        <v>0.21741045222646571</v>
      </c>
      <c r="J8"/>
      <c r="M8"/>
    </row>
    <row r="9" spans="1:14">
      <c r="A9" s="20" t="s">
        <v>289</v>
      </c>
      <c r="B9" s="23">
        <v>138288.92484331725</v>
      </c>
      <c r="C9"/>
      <c r="H9" s="20" t="s">
        <v>276</v>
      </c>
      <c r="I9" s="21"/>
      <c r="J9"/>
      <c r="M9"/>
    </row>
    <row r="10" spans="1:14">
      <c r="A10" s="20" t="s">
        <v>283</v>
      </c>
      <c r="C10"/>
      <c r="H10" s="22" t="s">
        <v>277</v>
      </c>
      <c r="I10" s="21">
        <v>9.9270035394758566E-2</v>
      </c>
      <c r="J10"/>
      <c r="M10"/>
    </row>
    <row r="11" spans="1:14">
      <c r="A11" s="20" t="s">
        <v>288</v>
      </c>
      <c r="B11" s="23">
        <v>142132.31288613079</v>
      </c>
      <c r="C11"/>
      <c r="H11" s="22" t="s">
        <v>278</v>
      </c>
      <c r="I11" s="21">
        <v>6.2363567889750934E-2</v>
      </c>
      <c r="J11"/>
      <c r="M11"/>
    </row>
    <row r="12" spans="1:14">
      <c r="A12" s="20" t="s">
        <v>289</v>
      </c>
      <c r="B12" s="23">
        <v>298491.55277642794</v>
      </c>
      <c r="C12"/>
      <c r="H12" s="22" t="s">
        <v>279</v>
      </c>
      <c r="I12" s="21">
        <v>6.2466608809628663E-2</v>
      </c>
      <c r="J12"/>
      <c r="M12"/>
    </row>
    <row r="13" spans="1:14">
      <c r="A13" s="20" t="s">
        <v>268</v>
      </c>
      <c r="B13" s="23">
        <v>1265793.0382871693</v>
      </c>
      <c r="C13"/>
      <c r="H13" s="22" t="s">
        <v>280</v>
      </c>
      <c r="I13" s="21">
        <v>8.594105348870236E-2</v>
      </c>
      <c r="J13"/>
      <c r="M13"/>
    </row>
    <row r="14" spans="1:14">
      <c r="H14" s="22" t="s">
        <v>281</v>
      </c>
      <c r="I14" s="21">
        <v>8.7153750694160537E-2</v>
      </c>
      <c r="J14"/>
      <c r="M14"/>
    </row>
    <row r="15" spans="1:14">
      <c r="H15" s="22" t="s">
        <v>282</v>
      </c>
      <c r="I15" s="21">
        <v>5.8926712679715214E-2</v>
      </c>
      <c r="J15"/>
      <c r="M15"/>
    </row>
    <row r="16" spans="1:14">
      <c r="H16" s="22" t="s">
        <v>270</v>
      </c>
      <c r="I16" s="21">
        <v>8.2680409796627247E-2</v>
      </c>
      <c r="J16"/>
      <c r="M16"/>
    </row>
    <row r="17" spans="8:13">
      <c r="H17" s="22" t="s">
        <v>271</v>
      </c>
      <c r="I17" s="21">
        <v>7.6630698205559275E-2</v>
      </c>
      <c r="J17"/>
      <c r="M17"/>
    </row>
    <row r="18" spans="8:13">
      <c r="H18" s="22" t="s">
        <v>272</v>
      </c>
      <c r="I18" s="21">
        <v>9.0148397981092795E-2</v>
      </c>
      <c r="J18"/>
      <c r="M18"/>
    </row>
    <row r="19" spans="8:13">
      <c r="H19" s="22" t="s">
        <v>273</v>
      </c>
      <c r="I19" s="21">
        <v>0.10816857322353278</v>
      </c>
      <c r="J19"/>
      <c r="M19"/>
    </row>
    <row r="20" spans="8:13">
      <c r="H20" s="22" t="s">
        <v>274</v>
      </c>
      <c r="I20" s="21">
        <v>7.0547484795907042E-2</v>
      </c>
      <c r="J20"/>
      <c r="M20"/>
    </row>
    <row r="21" spans="8:13">
      <c r="H21" s="22" t="s">
        <v>275</v>
      </c>
      <c r="I21" s="21">
        <v>0.11570270704056458</v>
      </c>
      <c r="J21"/>
      <c r="M21"/>
    </row>
    <row r="22" spans="8:13">
      <c r="H22" s="20" t="s">
        <v>283</v>
      </c>
      <c r="I22" s="21"/>
      <c r="J22"/>
      <c r="M22"/>
    </row>
    <row r="23" spans="8:13">
      <c r="H23" s="22" t="s">
        <v>277</v>
      </c>
      <c r="I23" s="21">
        <v>0.2138379641357071</v>
      </c>
      <c r="J23"/>
      <c r="M23"/>
    </row>
    <row r="24" spans="8:13">
      <c r="H24" s="22" t="s">
        <v>278</v>
      </c>
      <c r="I24" s="21">
        <v>0.22562392825994526</v>
      </c>
      <c r="J24"/>
      <c r="M24"/>
    </row>
    <row r="25" spans="8:13">
      <c r="H25" s="22" t="s">
        <v>279</v>
      </c>
      <c r="I25" s="21">
        <v>0.23796748907371326</v>
      </c>
      <c r="J25"/>
      <c r="M25"/>
    </row>
    <row r="26" spans="8:13">
      <c r="H26" s="22" t="s">
        <v>280</v>
      </c>
      <c r="I26" s="21">
        <v>0.28096227206183105</v>
      </c>
      <c r="J26"/>
      <c r="M26"/>
    </row>
    <row r="27" spans="8:13">
      <c r="H27" s="22" t="s">
        <v>281</v>
      </c>
      <c r="I27" s="21">
        <v>4.1608346468803466E-2</v>
      </c>
      <c r="J27"/>
      <c r="M27"/>
    </row>
    <row r="28" spans="8:13">
      <c r="H28" s="20" t="s">
        <v>268</v>
      </c>
      <c r="I28" s="21">
        <v>1</v>
      </c>
      <c r="J28"/>
      <c r="M28"/>
    </row>
    <row r="29" spans="8:13">
      <c r="M29"/>
    </row>
    <row r="30" spans="8:13">
      <c r="K30"/>
      <c r="L30"/>
      <c r="M30"/>
    </row>
    <row r="31" spans="8:13">
      <c r="K31"/>
      <c r="L31"/>
      <c r="M31"/>
    </row>
    <row r="32" spans="8:13">
      <c r="K32"/>
      <c r="L32"/>
      <c r="M32"/>
    </row>
    <row r="33" spans="11:13">
      <c r="K33"/>
      <c r="L33"/>
      <c r="M33"/>
    </row>
    <row r="34" spans="11:13">
      <c r="K34"/>
      <c r="L34"/>
      <c r="M34"/>
    </row>
    <row r="35" spans="11:13">
      <c r="K35"/>
      <c r="L35"/>
      <c r="M35"/>
    </row>
    <row r="36" spans="11:13">
      <c r="K36"/>
      <c r="L36"/>
      <c r="M36"/>
    </row>
    <row r="37" spans="11:13">
      <c r="K37"/>
      <c r="L37"/>
      <c r="M37"/>
    </row>
    <row r="38" spans="11:13">
      <c r="K38"/>
      <c r="L38"/>
      <c r="M38"/>
    </row>
    <row r="39" spans="11:13">
      <c r="K39"/>
      <c r="L39"/>
      <c r="M39"/>
    </row>
    <row r="40" spans="11:13">
      <c r="K40"/>
      <c r="L40"/>
      <c r="M40"/>
    </row>
    <row r="41" spans="11:13">
      <c r="K41"/>
      <c r="L41"/>
      <c r="M41"/>
    </row>
    <row r="42" spans="11:13">
      <c r="K42"/>
      <c r="L42"/>
      <c r="M42"/>
    </row>
    <row r="43" spans="11:13">
      <c r="K43"/>
      <c r="L43"/>
      <c r="M43"/>
    </row>
    <row r="44" spans="11:13">
      <c r="K44"/>
      <c r="L44"/>
      <c r="M44"/>
    </row>
    <row r="45" spans="11:13">
      <c r="K45"/>
      <c r="L45"/>
      <c r="M45"/>
    </row>
    <row r="46" spans="11:13">
      <c r="K46"/>
      <c r="L46"/>
      <c r="M46"/>
    </row>
    <row r="47" spans="11:13">
      <c r="K47"/>
      <c r="L47"/>
      <c r="M47"/>
    </row>
    <row r="48" spans="11:13">
      <c r="K48"/>
      <c r="L48"/>
      <c r="M48"/>
    </row>
    <row r="49" spans="11:13">
      <c r="K49"/>
      <c r="L49"/>
      <c r="M49"/>
    </row>
    <row r="50" spans="11:13">
      <c r="K50"/>
      <c r="L50"/>
      <c r="M50"/>
    </row>
    <row r="51" spans="11:13">
      <c r="K51"/>
      <c r="L51"/>
      <c r="M51"/>
    </row>
    <row r="52" spans="11:13">
      <c r="K52"/>
      <c r="L52"/>
      <c r="M52"/>
    </row>
    <row r="53" spans="11:13">
      <c r="K53"/>
      <c r="L53"/>
      <c r="M53"/>
    </row>
    <row r="54" spans="11:13">
      <c r="K54"/>
      <c r="L54"/>
      <c r="M54"/>
    </row>
    <row r="55" spans="11:13">
      <c r="K55"/>
      <c r="L55"/>
      <c r="M55"/>
    </row>
    <row r="56" spans="11:13">
      <c r="K56"/>
      <c r="L56"/>
      <c r="M56"/>
    </row>
    <row r="57" spans="11:13">
      <c r="K57"/>
      <c r="L57"/>
      <c r="M57"/>
    </row>
    <row r="58" spans="11:13">
      <c r="K58"/>
      <c r="L58"/>
      <c r="M58"/>
    </row>
    <row r="59" spans="11:13">
      <c r="K59"/>
      <c r="L59"/>
      <c r="M59"/>
    </row>
    <row r="60" spans="11:13">
      <c r="K60"/>
      <c r="L60"/>
      <c r="M60"/>
    </row>
    <row r="61" spans="11:13">
      <c r="K61"/>
      <c r="L61"/>
      <c r="M61"/>
    </row>
    <row r="62" spans="11:13">
      <c r="K62"/>
      <c r="L62"/>
      <c r="M62"/>
    </row>
    <row r="63" spans="11:13">
      <c r="K63"/>
      <c r="L63"/>
      <c r="M63"/>
    </row>
    <row r="64" spans="11:13">
      <c r="K64"/>
      <c r="L64"/>
      <c r="M64"/>
    </row>
    <row r="65" spans="11:13">
      <c r="K65"/>
      <c r="L65"/>
      <c r="M65"/>
    </row>
    <row r="66" spans="11:13">
      <c r="K66"/>
      <c r="L66"/>
      <c r="M66"/>
    </row>
    <row r="67" spans="11:13">
      <c r="K67"/>
      <c r="L67"/>
      <c r="M67"/>
    </row>
    <row r="68" spans="11:13">
      <c r="K68"/>
      <c r="L68"/>
      <c r="M68"/>
    </row>
    <row r="69" spans="11:13">
      <c r="K69"/>
      <c r="L69"/>
      <c r="M69"/>
    </row>
    <row r="70" spans="11:13">
      <c r="K70"/>
      <c r="L70"/>
      <c r="M70"/>
    </row>
    <row r="71" spans="11:13">
      <c r="K71"/>
      <c r="L71"/>
      <c r="M71"/>
    </row>
    <row r="72" spans="11:13">
      <c r="K72"/>
      <c r="L72"/>
      <c r="M72"/>
    </row>
    <row r="73" spans="11:13">
      <c r="K73"/>
      <c r="L73"/>
      <c r="M73"/>
    </row>
    <row r="74" spans="11:13">
      <c r="K74"/>
      <c r="L74"/>
      <c r="M74"/>
    </row>
    <row r="75" spans="11:13">
      <c r="K75"/>
      <c r="L75"/>
      <c r="M75"/>
    </row>
    <row r="76" spans="11:13">
      <c r="K76"/>
      <c r="L76"/>
      <c r="M76"/>
    </row>
    <row r="77" spans="11:13">
      <c r="K77"/>
      <c r="L77"/>
      <c r="M77"/>
    </row>
    <row r="78" spans="11:13">
      <c r="K78"/>
      <c r="L78"/>
      <c r="M78"/>
    </row>
    <row r="79" spans="11:13">
      <c r="K79"/>
      <c r="L79"/>
      <c r="M79"/>
    </row>
    <row r="80" spans="11:13">
      <c r="K80"/>
      <c r="L80"/>
      <c r="M80"/>
    </row>
    <row r="81" spans="11:13">
      <c r="K81"/>
      <c r="L81"/>
      <c r="M81"/>
    </row>
    <row r="82" spans="11:13">
      <c r="K82"/>
      <c r="L82"/>
      <c r="M82"/>
    </row>
    <row r="83" spans="11:13">
      <c r="K83"/>
      <c r="L83"/>
      <c r="M83"/>
    </row>
    <row r="84" spans="11:13">
      <c r="K84"/>
      <c r="L84"/>
      <c r="M84"/>
    </row>
    <row r="85" spans="11:13">
      <c r="K85"/>
      <c r="L85"/>
      <c r="M85"/>
    </row>
    <row r="86" spans="11:13">
      <c r="K86"/>
      <c r="L86"/>
      <c r="M86"/>
    </row>
    <row r="87" spans="11:13">
      <c r="K87"/>
      <c r="L87"/>
      <c r="M87"/>
    </row>
    <row r="88" spans="11:13">
      <c r="K88"/>
      <c r="L88"/>
      <c r="M88"/>
    </row>
    <row r="89" spans="11:13">
      <c r="K89"/>
      <c r="L89"/>
      <c r="M89"/>
    </row>
    <row r="90" spans="11:13">
      <c r="K90"/>
      <c r="L90"/>
      <c r="M90"/>
    </row>
    <row r="91" spans="11:13">
      <c r="K91"/>
      <c r="L91"/>
      <c r="M91"/>
    </row>
    <row r="92" spans="11:13">
      <c r="K92"/>
      <c r="L92"/>
      <c r="M92"/>
    </row>
    <row r="93" spans="11:13">
      <c r="K93"/>
      <c r="L93"/>
      <c r="M93"/>
    </row>
    <row r="94" spans="11:13">
      <c r="K94"/>
      <c r="L94"/>
      <c r="M94"/>
    </row>
    <row r="95" spans="11:13">
      <c r="K95"/>
      <c r="L95"/>
      <c r="M95"/>
    </row>
    <row r="96" spans="11:13">
      <c r="K96"/>
      <c r="L96"/>
      <c r="M96"/>
    </row>
    <row r="97" spans="11:13">
      <c r="K97"/>
      <c r="L97"/>
      <c r="M97"/>
    </row>
    <row r="98" spans="11:13">
      <c r="K98"/>
      <c r="L98"/>
      <c r="M98"/>
    </row>
    <row r="99" spans="11:13">
      <c r="K99"/>
      <c r="L99"/>
      <c r="M99"/>
    </row>
    <row r="100" spans="11:13">
      <c r="K100"/>
      <c r="L100"/>
      <c r="M100"/>
    </row>
    <row r="101" spans="11:13">
      <c r="K101"/>
      <c r="L101"/>
      <c r="M101"/>
    </row>
    <row r="102" spans="11:13">
      <c r="K102"/>
      <c r="L102"/>
      <c r="M102"/>
    </row>
    <row r="103" spans="11:13">
      <c r="K103"/>
      <c r="L103"/>
      <c r="M103"/>
    </row>
    <row r="104" spans="11:13">
      <c r="K104"/>
      <c r="L104"/>
      <c r="M104"/>
    </row>
    <row r="105" spans="11:13">
      <c r="K105"/>
      <c r="L105"/>
      <c r="M105"/>
    </row>
    <row r="106" spans="11:13">
      <c r="K106"/>
      <c r="L106"/>
      <c r="M106"/>
    </row>
    <row r="107" spans="11:13">
      <c r="K107"/>
      <c r="L107"/>
      <c r="M107"/>
    </row>
    <row r="108" spans="11:13">
      <c r="K108"/>
      <c r="L108"/>
      <c r="M108"/>
    </row>
    <row r="109" spans="11:13">
      <c r="K109"/>
      <c r="L109"/>
      <c r="M109"/>
    </row>
    <row r="110" spans="11:13">
      <c r="K110"/>
      <c r="L110"/>
      <c r="M110"/>
    </row>
    <row r="111" spans="11:13">
      <c r="K111"/>
      <c r="L111"/>
      <c r="M111"/>
    </row>
    <row r="112" spans="11:13">
      <c r="K112"/>
      <c r="L112"/>
      <c r="M112"/>
    </row>
    <row r="113" spans="11:13">
      <c r="K113"/>
      <c r="L113"/>
      <c r="M113"/>
    </row>
    <row r="114" spans="11:13">
      <c r="K114"/>
      <c r="L114"/>
      <c r="M114"/>
    </row>
    <row r="115" spans="11:13">
      <c r="K115"/>
      <c r="L115"/>
      <c r="M115"/>
    </row>
    <row r="116" spans="11:13">
      <c r="K116"/>
      <c r="L116"/>
      <c r="M116"/>
    </row>
    <row r="117" spans="11:13">
      <c r="K117"/>
      <c r="L117"/>
      <c r="M117"/>
    </row>
    <row r="118" spans="11:13">
      <c r="K118"/>
      <c r="L118"/>
      <c r="M118"/>
    </row>
    <row r="119" spans="11:13">
      <c r="K119"/>
      <c r="L119"/>
      <c r="M119"/>
    </row>
    <row r="120" spans="11:13">
      <c r="K120"/>
      <c r="L120"/>
      <c r="M120"/>
    </row>
    <row r="121" spans="11:13">
      <c r="K121"/>
      <c r="L121"/>
      <c r="M121"/>
    </row>
    <row r="122" spans="11:13">
      <c r="K122"/>
      <c r="L122"/>
      <c r="M122"/>
    </row>
    <row r="123" spans="11:13">
      <c r="K123"/>
      <c r="L123"/>
      <c r="M123"/>
    </row>
    <row r="124" spans="11:13">
      <c r="K124"/>
      <c r="L124"/>
      <c r="M124"/>
    </row>
    <row r="125" spans="11:13">
      <c r="K125"/>
      <c r="L125"/>
      <c r="M125"/>
    </row>
    <row r="126" spans="11:13">
      <c r="K126"/>
      <c r="L126"/>
      <c r="M126"/>
    </row>
    <row r="127" spans="11:13">
      <c r="K127"/>
      <c r="L127"/>
      <c r="M127"/>
    </row>
    <row r="128" spans="11:13">
      <c r="K128"/>
      <c r="L128"/>
      <c r="M128"/>
    </row>
    <row r="129" spans="11:13">
      <c r="K129"/>
      <c r="L129"/>
      <c r="M129"/>
    </row>
    <row r="130" spans="11:13">
      <c r="K130"/>
      <c r="L130"/>
      <c r="M130"/>
    </row>
    <row r="131" spans="11:13">
      <c r="K131"/>
      <c r="L131"/>
      <c r="M131"/>
    </row>
    <row r="132" spans="11:13">
      <c r="K132"/>
      <c r="L132"/>
      <c r="M132"/>
    </row>
    <row r="133" spans="11:13">
      <c r="K133"/>
      <c r="L133"/>
      <c r="M133"/>
    </row>
    <row r="134" spans="11:13">
      <c r="K134"/>
      <c r="L134"/>
      <c r="M134"/>
    </row>
    <row r="135" spans="11:13">
      <c r="K135"/>
      <c r="L135"/>
      <c r="M135"/>
    </row>
    <row r="136" spans="11:13">
      <c r="K136"/>
      <c r="L136"/>
      <c r="M136"/>
    </row>
    <row r="137" spans="11:13">
      <c r="K137"/>
      <c r="L137"/>
      <c r="M137"/>
    </row>
    <row r="138" spans="11:13">
      <c r="K138"/>
      <c r="L138"/>
      <c r="M138"/>
    </row>
    <row r="139" spans="11:13">
      <c r="K139"/>
      <c r="L139"/>
      <c r="M139"/>
    </row>
    <row r="140" spans="11:13">
      <c r="K140"/>
      <c r="L140"/>
      <c r="M140"/>
    </row>
    <row r="141" spans="11:13">
      <c r="K141"/>
      <c r="L141"/>
      <c r="M141"/>
    </row>
    <row r="142" spans="11:13">
      <c r="K142"/>
      <c r="L142"/>
      <c r="M142"/>
    </row>
    <row r="143" spans="11:13">
      <c r="K143"/>
      <c r="L143"/>
      <c r="M143"/>
    </row>
    <row r="144" spans="11:13">
      <c r="K144"/>
      <c r="L144"/>
      <c r="M144"/>
    </row>
    <row r="145" spans="11:13">
      <c r="K145"/>
      <c r="L145"/>
      <c r="M145"/>
    </row>
    <row r="146" spans="11:13">
      <c r="K146"/>
      <c r="L146"/>
      <c r="M146"/>
    </row>
    <row r="147" spans="11:13">
      <c r="K147"/>
      <c r="L147"/>
      <c r="M147"/>
    </row>
    <row r="148" spans="11:13">
      <c r="K148"/>
      <c r="L148"/>
      <c r="M148"/>
    </row>
    <row r="149" spans="11:13">
      <c r="K149"/>
      <c r="L149"/>
      <c r="M149"/>
    </row>
    <row r="150" spans="11:13">
      <c r="K150"/>
      <c r="L150"/>
      <c r="M150"/>
    </row>
    <row r="151" spans="11:13">
      <c r="K151"/>
      <c r="L151"/>
      <c r="M151"/>
    </row>
    <row r="152" spans="11:13">
      <c r="K152"/>
      <c r="L152"/>
      <c r="M152"/>
    </row>
    <row r="153" spans="11:13">
      <c r="K153"/>
      <c r="L153"/>
      <c r="M153"/>
    </row>
    <row r="154" spans="11:13">
      <c r="K154"/>
      <c r="L154"/>
      <c r="M154"/>
    </row>
    <row r="155" spans="11:13">
      <c r="K155"/>
      <c r="L155"/>
      <c r="M155"/>
    </row>
    <row r="156" spans="11:13">
      <c r="K156"/>
      <c r="L156"/>
      <c r="M156"/>
    </row>
    <row r="157" spans="11:13">
      <c r="K157"/>
      <c r="L157"/>
      <c r="M157"/>
    </row>
    <row r="158" spans="11:13">
      <c r="K158"/>
      <c r="L158"/>
      <c r="M158"/>
    </row>
    <row r="159" spans="11:13">
      <c r="K159"/>
      <c r="L159"/>
      <c r="M159"/>
    </row>
    <row r="160" spans="11:13">
      <c r="K160"/>
      <c r="L160"/>
      <c r="M160"/>
    </row>
    <row r="161" spans="11:13">
      <c r="K161"/>
      <c r="L161"/>
      <c r="M161"/>
    </row>
    <row r="162" spans="11:13">
      <c r="K162"/>
      <c r="L162"/>
      <c r="M162"/>
    </row>
    <row r="163" spans="11:13">
      <c r="K163"/>
      <c r="L163"/>
      <c r="M163"/>
    </row>
    <row r="164" spans="11:13">
      <c r="K164"/>
      <c r="L164"/>
      <c r="M164"/>
    </row>
    <row r="165" spans="11:13">
      <c r="K165"/>
      <c r="L165"/>
      <c r="M165"/>
    </row>
    <row r="166" spans="11:13">
      <c r="K166"/>
      <c r="L166"/>
      <c r="M166"/>
    </row>
    <row r="167" spans="11:13">
      <c r="K167"/>
      <c r="L167"/>
      <c r="M167"/>
    </row>
    <row r="168" spans="11:13">
      <c r="K168"/>
      <c r="L168"/>
      <c r="M168"/>
    </row>
    <row r="169" spans="11:13">
      <c r="K169"/>
      <c r="L169"/>
      <c r="M169"/>
    </row>
    <row r="170" spans="11:13">
      <c r="K170"/>
      <c r="L170"/>
      <c r="M170"/>
    </row>
    <row r="171" spans="11:13">
      <c r="K171"/>
      <c r="L171"/>
      <c r="M171"/>
    </row>
    <row r="172" spans="11:13">
      <c r="K172"/>
      <c r="L172"/>
      <c r="M172"/>
    </row>
    <row r="173" spans="11:13">
      <c r="K173"/>
      <c r="L173"/>
      <c r="M173"/>
    </row>
    <row r="174" spans="11:13">
      <c r="K174"/>
      <c r="L174"/>
      <c r="M174"/>
    </row>
    <row r="175" spans="11:13">
      <c r="K175"/>
      <c r="L175"/>
      <c r="M175"/>
    </row>
    <row r="176" spans="11:13">
      <c r="K176"/>
      <c r="L176"/>
      <c r="M176"/>
    </row>
    <row r="177" spans="11:13">
      <c r="K177"/>
      <c r="L177"/>
      <c r="M177"/>
    </row>
    <row r="178" spans="11:13">
      <c r="K178"/>
      <c r="L178"/>
      <c r="M178"/>
    </row>
    <row r="179" spans="11:13">
      <c r="K179"/>
      <c r="L179"/>
      <c r="M179"/>
    </row>
    <row r="180" spans="11:13">
      <c r="K180"/>
      <c r="L180"/>
      <c r="M180"/>
    </row>
    <row r="181" spans="11:13">
      <c r="K181"/>
      <c r="L181"/>
      <c r="M181"/>
    </row>
    <row r="182" spans="11:13">
      <c r="K182"/>
      <c r="L182"/>
      <c r="M182"/>
    </row>
    <row r="183" spans="11:13">
      <c r="K183"/>
      <c r="L183"/>
      <c r="M183"/>
    </row>
    <row r="184" spans="11:13">
      <c r="K184"/>
      <c r="L184"/>
      <c r="M184"/>
    </row>
    <row r="185" spans="11:13">
      <c r="K185"/>
      <c r="L185"/>
      <c r="M185"/>
    </row>
    <row r="186" spans="11:13">
      <c r="K186"/>
      <c r="L186"/>
      <c r="M186"/>
    </row>
    <row r="187" spans="11:13">
      <c r="K187"/>
      <c r="L187"/>
      <c r="M187"/>
    </row>
    <row r="188" spans="11:13">
      <c r="K188"/>
      <c r="L188"/>
      <c r="M188"/>
    </row>
    <row r="189" spans="11:13">
      <c r="K189"/>
      <c r="L189"/>
      <c r="M189"/>
    </row>
    <row r="190" spans="11:13">
      <c r="K190"/>
      <c r="L190"/>
      <c r="M190"/>
    </row>
    <row r="191" spans="11:13">
      <c r="K191"/>
      <c r="L191"/>
      <c r="M191"/>
    </row>
    <row r="192" spans="11:13">
      <c r="K192"/>
      <c r="L192"/>
      <c r="M192"/>
    </row>
    <row r="193" spans="11:13">
      <c r="K193"/>
      <c r="L193"/>
      <c r="M193"/>
    </row>
    <row r="194" spans="11:13">
      <c r="K194"/>
      <c r="L194"/>
      <c r="M194"/>
    </row>
    <row r="195" spans="11:13">
      <c r="K195"/>
      <c r="L195"/>
      <c r="M195"/>
    </row>
    <row r="196" spans="11:13">
      <c r="K196"/>
      <c r="L196"/>
      <c r="M196"/>
    </row>
    <row r="197" spans="11:13">
      <c r="K197"/>
      <c r="L197"/>
      <c r="M197"/>
    </row>
    <row r="198" spans="11:13">
      <c r="K198"/>
      <c r="L198"/>
      <c r="M198"/>
    </row>
    <row r="199" spans="11:13">
      <c r="K199"/>
      <c r="L199"/>
      <c r="M199"/>
    </row>
    <row r="200" spans="11:13">
      <c r="K200"/>
      <c r="L200"/>
      <c r="M200"/>
    </row>
    <row r="201" spans="11:13">
      <c r="K201"/>
      <c r="L201"/>
      <c r="M201"/>
    </row>
    <row r="202" spans="11:13">
      <c r="K202"/>
      <c r="L202"/>
      <c r="M202"/>
    </row>
    <row r="203" spans="11:13">
      <c r="K203"/>
      <c r="L203"/>
      <c r="M203"/>
    </row>
    <row r="204" spans="11:13">
      <c r="K204"/>
      <c r="L204"/>
      <c r="M204"/>
    </row>
    <row r="205" spans="11:13">
      <c r="K205"/>
      <c r="L205"/>
      <c r="M205"/>
    </row>
    <row r="206" spans="11:13">
      <c r="K206"/>
      <c r="L206"/>
      <c r="M206"/>
    </row>
    <row r="207" spans="11:13">
      <c r="K207"/>
      <c r="L207"/>
      <c r="M207"/>
    </row>
    <row r="208" spans="11:13">
      <c r="K208"/>
      <c r="L208"/>
      <c r="M208"/>
    </row>
    <row r="209" spans="11:13">
      <c r="K209"/>
      <c r="L209"/>
      <c r="M209"/>
    </row>
    <row r="210" spans="11:13">
      <c r="K210"/>
      <c r="L210"/>
      <c r="M210"/>
    </row>
    <row r="211" spans="11:13">
      <c r="K211"/>
      <c r="L211"/>
      <c r="M211"/>
    </row>
    <row r="212" spans="11:13">
      <c r="K212"/>
      <c r="L212"/>
      <c r="M212"/>
    </row>
    <row r="213" spans="11:13">
      <c r="K213"/>
      <c r="L213"/>
      <c r="M213"/>
    </row>
    <row r="214" spans="11:13">
      <c r="K214"/>
      <c r="L214"/>
      <c r="M214"/>
    </row>
    <row r="215" spans="11:13">
      <c r="K215"/>
      <c r="L215"/>
      <c r="M215"/>
    </row>
    <row r="216" spans="11:13">
      <c r="K216"/>
      <c r="L216"/>
      <c r="M216"/>
    </row>
    <row r="217" spans="11:13">
      <c r="K217"/>
      <c r="L217"/>
      <c r="M217"/>
    </row>
    <row r="218" spans="11:13">
      <c r="K218"/>
      <c r="L218"/>
      <c r="M218"/>
    </row>
    <row r="219" spans="11:13">
      <c r="K219"/>
      <c r="L219"/>
      <c r="M219"/>
    </row>
    <row r="220" spans="11:13">
      <c r="K220"/>
      <c r="L220"/>
      <c r="M220"/>
    </row>
    <row r="221" spans="11:13">
      <c r="K221"/>
      <c r="L221"/>
      <c r="M221"/>
    </row>
    <row r="222" spans="11:13">
      <c r="K222"/>
      <c r="L222"/>
      <c r="M222"/>
    </row>
    <row r="223" spans="11:13">
      <c r="K223"/>
      <c r="L223"/>
      <c r="M223"/>
    </row>
    <row r="224" spans="11:13">
      <c r="K224"/>
      <c r="L224"/>
      <c r="M224"/>
    </row>
    <row r="225" spans="11:13">
      <c r="K225"/>
      <c r="L225"/>
      <c r="M225"/>
    </row>
    <row r="226" spans="11:13">
      <c r="K226"/>
      <c r="L226"/>
      <c r="M226"/>
    </row>
    <row r="227" spans="11:13">
      <c r="K227"/>
      <c r="L227"/>
      <c r="M227"/>
    </row>
    <row r="228" spans="11:13">
      <c r="K228"/>
      <c r="L228"/>
      <c r="M228"/>
    </row>
    <row r="229" spans="11:13">
      <c r="K229"/>
      <c r="L229"/>
      <c r="M229"/>
    </row>
    <row r="230" spans="11:13">
      <c r="K230"/>
      <c r="L230"/>
      <c r="M230"/>
    </row>
    <row r="231" spans="11:13">
      <c r="K231"/>
      <c r="L231"/>
      <c r="M231"/>
    </row>
    <row r="232" spans="11:13">
      <c r="K232"/>
      <c r="L232"/>
      <c r="M232"/>
    </row>
    <row r="233" spans="11:13">
      <c r="K233"/>
      <c r="L233"/>
      <c r="M233"/>
    </row>
    <row r="234" spans="11:13">
      <c r="K234"/>
      <c r="L234"/>
      <c r="M234"/>
    </row>
    <row r="235" spans="11:13">
      <c r="K235"/>
      <c r="L235"/>
      <c r="M235"/>
    </row>
    <row r="236" spans="11:13">
      <c r="K236"/>
      <c r="L236"/>
      <c r="M236"/>
    </row>
    <row r="237" spans="11:13">
      <c r="K237"/>
      <c r="L237"/>
      <c r="M237"/>
    </row>
    <row r="238" spans="11:13">
      <c r="K238"/>
      <c r="L238"/>
      <c r="M238"/>
    </row>
    <row r="239" spans="11:13">
      <c r="K239"/>
      <c r="L239"/>
      <c r="M239"/>
    </row>
    <row r="240" spans="11:13">
      <c r="K240"/>
      <c r="L240"/>
      <c r="M240"/>
    </row>
    <row r="241" spans="11:13">
      <c r="K241"/>
      <c r="L241"/>
      <c r="M241"/>
    </row>
    <row r="242" spans="11:13">
      <c r="K242"/>
      <c r="L242"/>
      <c r="M242"/>
    </row>
    <row r="243" spans="11:13">
      <c r="K243"/>
      <c r="L243"/>
      <c r="M243"/>
    </row>
    <row r="244" spans="11:13">
      <c r="K244"/>
      <c r="L244"/>
      <c r="M244"/>
    </row>
    <row r="245" spans="11:13">
      <c r="K245"/>
      <c r="L245"/>
      <c r="M245"/>
    </row>
    <row r="246" spans="11:13">
      <c r="K246"/>
      <c r="L246"/>
      <c r="M246"/>
    </row>
    <row r="247" spans="11:13">
      <c r="K247"/>
      <c r="L247"/>
      <c r="M247"/>
    </row>
    <row r="248" spans="11:13">
      <c r="K248"/>
      <c r="L248"/>
      <c r="M248"/>
    </row>
    <row r="249" spans="11:13">
      <c r="K249"/>
      <c r="L249"/>
      <c r="M249"/>
    </row>
    <row r="250" spans="11:13">
      <c r="K250"/>
      <c r="L250"/>
      <c r="M250"/>
    </row>
    <row r="251" spans="11:13">
      <c r="K251"/>
      <c r="L251"/>
      <c r="M251"/>
    </row>
    <row r="252" spans="11:13">
      <c r="K252"/>
      <c r="L252"/>
      <c r="M252"/>
    </row>
    <row r="253" spans="11:13">
      <c r="K253"/>
      <c r="L253"/>
      <c r="M253"/>
    </row>
    <row r="254" spans="11:13">
      <c r="K254"/>
      <c r="L254"/>
      <c r="M254"/>
    </row>
    <row r="255" spans="11:13">
      <c r="K255"/>
      <c r="L255"/>
      <c r="M255"/>
    </row>
    <row r="256" spans="11:13">
      <c r="K256"/>
      <c r="L256"/>
      <c r="M256"/>
    </row>
    <row r="257" spans="11:13">
      <c r="K257"/>
      <c r="L257"/>
      <c r="M257"/>
    </row>
    <row r="258" spans="11:13">
      <c r="K258"/>
      <c r="L258"/>
      <c r="M258"/>
    </row>
    <row r="259" spans="11:13">
      <c r="K259"/>
      <c r="L259"/>
      <c r="M259"/>
    </row>
    <row r="260" spans="11:13">
      <c r="K260"/>
      <c r="L260"/>
      <c r="M260"/>
    </row>
    <row r="261" spans="11:13">
      <c r="K261"/>
      <c r="L261"/>
      <c r="M261"/>
    </row>
    <row r="262" spans="11:13">
      <c r="K262"/>
      <c r="L262"/>
      <c r="M262"/>
    </row>
    <row r="263" spans="11:13">
      <c r="K263"/>
      <c r="L263"/>
      <c r="M263"/>
    </row>
    <row r="264" spans="11:13">
      <c r="K264"/>
      <c r="L264"/>
      <c r="M264"/>
    </row>
    <row r="265" spans="11:13">
      <c r="K265"/>
      <c r="L265"/>
      <c r="M265"/>
    </row>
    <row r="266" spans="11:13">
      <c r="K266"/>
      <c r="L266"/>
      <c r="M266"/>
    </row>
    <row r="267" spans="11:13">
      <c r="K267"/>
      <c r="L267"/>
      <c r="M267"/>
    </row>
    <row r="268" spans="11:13">
      <c r="K268"/>
      <c r="L268"/>
      <c r="M268"/>
    </row>
    <row r="269" spans="11:13">
      <c r="K269"/>
      <c r="L269"/>
      <c r="M269"/>
    </row>
    <row r="270" spans="11:13">
      <c r="K270"/>
      <c r="L270"/>
      <c r="M270"/>
    </row>
    <row r="271" spans="11:13">
      <c r="K271"/>
      <c r="L271"/>
      <c r="M271"/>
    </row>
    <row r="272" spans="11:13">
      <c r="K272"/>
      <c r="L272"/>
      <c r="M272"/>
    </row>
    <row r="273" spans="11:13">
      <c r="K273"/>
      <c r="L273"/>
      <c r="M273"/>
    </row>
    <row r="274" spans="11:13">
      <c r="K274"/>
      <c r="L274"/>
      <c r="M274"/>
    </row>
    <row r="275" spans="11:13">
      <c r="K275"/>
      <c r="L275"/>
      <c r="M275"/>
    </row>
    <row r="276" spans="11:13">
      <c r="K276"/>
      <c r="L276"/>
      <c r="M276"/>
    </row>
    <row r="277" spans="11:13">
      <c r="K277"/>
      <c r="L277"/>
      <c r="M277"/>
    </row>
    <row r="278" spans="11:13">
      <c r="K278"/>
      <c r="L278"/>
      <c r="M278"/>
    </row>
    <row r="279" spans="11:13">
      <c r="K279"/>
      <c r="L279"/>
      <c r="M279"/>
    </row>
    <row r="280" spans="11:13">
      <c r="K280"/>
      <c r="L280"/>
      <c r="M280"/>
    </row>
    <row r="281" spans="11:13">
      <c r="K281"/>
      <c r="L281"/>
      <c r="M281"/>
    </row>
    <row r="282" spans="11:13">
      <c r="K282"/>
      <c r="L282"/>
      <c r="M282"/>
    </row>
    <row r="283" spans="11:13">
      <c r="K283"/>
      <c r="L283"/>
      <c r="M283"/>
    </row>
    <row r="284" spans="11:13">
      <c r="K284"/>
      <c r="L284"/>
      <c r="M284"/>
    </row>
    <row r="285" spans="11:13">
      <c r="K285"/>
      <c r="L285"/>
      <c r="M285"/>
    </row>
    <row r="286" spans="11:13">
      <c r="K286"/>
      <c r="L286"/>
      <c r="M286"/>
    </row>
    <row r="287" spans="11:13">
      <c r="K287"/>
      <c r="L287"/>
      <c r="M287"/>
    </row>
    <row r="288" spans="11:13">
      <c r="K288"/>
      <c r="L288"/>
      <c r="M288"/>
    </row>
    <row r="289" spans="11:13">
      <c r="K289"/>
      <c r="L289"/>
      <c r="M289"/>
    </row>
    <row r="290" spans="11:13">
      <c r="K290"/>
      <c r="L290"/>
      <c r="M290"/>
    </row>
    <row r="291" spans="11:13">
      <c r="K291"/>
      <c r="L291"/>
      <c r="M291"/>
    </row>
    <row r="292" spans="11:13">
      <c r="K292"/>
      <c r="L292"/>
      <c r="M292"/>
    </row>
    <row r="293" spans="11:13">
      <c r="K293"/>
      <c r="L293"/>
      <c r="M293"/>
    </row>
    <row r="294" spans="11:13">
      <c r="K294"/>
      <c r="L294"/>
      <c r="M294"/>
    </row>
    <row r="295" spans="11:13">
      <c r="K295"/>
      <c r="L295"/>
      <c r="M295"/>
    </row>
    <row r="296" spans="11:13">
      <c r="K296"/>
      <c r="L296"/>
      <c r="M296"/>
    </row>
    <row r="297" spans="11:13">
      <c r="K297"/>
      <c r="L297"/>
      <c r="M297"/>
    </row>
    <row r="298" spans="11:13">
      <c r="K298"/>
      <c r="L298"/>
      <c r="M298"/>
    </row>
    <row r="299" spans="11:13">
      <c r="K299"/>
      <c r="L299"/>
      <c r="M299"/>
    </row>
    <row r="300" spans="11:13">
      <c r="K300"/>
      <c r="L300"/>
      <c r="M300"/>
    </row>
    <row r="301" spans="11:13">
      <c r="K301"/>
      <c r="L301"/>
      <c r="M301"/>
    </row>
    <row r="302" spans="11:13">
      <c r="K302"/>
      <c r="L302"/>
      <c r="M302"/>
    </row>
    <row r="303" spans="11:13">
      <c r="K303"/>
      <c r="L303"/>
      <c r="M303"/>
    </row>
    <row r="304" spans="11:13">
      <c r="K304"/>
      <c r="L304"/>
      <c r="M304"/>
    </row>
    <row r="305" spans="11:13">
      <c r="K305"/>
      <c r="L305"/>
      <c r="M305"/>
    </row>
    <row r="306" spans="11:13">
      <c r="K306"/>
      <c r="L306"/>
      <c r="M306"/>
    </row>
    <row r="307" spans="11:13">
      <c r="K307"/>
      <c r="L307"/>
      <c r="M307"/>
    </row>
    <row r="308" spans="11:13">
      <c r="K308"/>
      <c r="L308"/>
      <c r="M308"/>
    </row>
    <row r="309" spans="11:13">
      <c r="K309"/>
      <c r="L309"/>
      <c r="M309"/>
    </row>
    <row r="310" spans="11:13">
      <c r="K310"/>
      <c r="L310"/>
      <c r="M310"/>
    </row>
    <row r="311" spans="11:13">
      <c r="K311"/>
      <c r="L311"/>
      <c r="M311"/>
    </row>
    <row r="312" spans="11:13">
      <c r="K312"/>
      <c r="L312"/>
      <c r="M312"/>
    </row>
    <row r="313" spans="11:13">
      <c r="K313"/>
      <c r="L313"/>
      <c r="M313"/>
    </row>
    <row r="314" spans="11:13">
      <c r="K314"/>
      <c r="L314"/>
      <c r="M314"/>
    </row>
    <row r="315" spans="11:13">
      <c r="K315"/>
      <c r="L315"/>
      <c r="M315"/>
    </row>
    <row r="316" spans="11:13">
      <c r="K316"/>
      <c r="L316"/>
      <c r="M316"/>
    </row>
    <row r="317" spans="11:13">
      <c r="K317"/>
      <c r="L317"/>
      <c r="M317"/>
    </row>
    <row r="318" spans="11:13">
      <c r="K318"/>
      <c r="L318"/>
      <c r="M318"/>
    </row>
    <row r="319" spans="11:13">
      <c r="K319"/>
      <c r="L319"/>
      <c r="M319"/>
    </row>
    <row r="320" spans="11:13">
      <c r="K320"/>
      <c r="L320"/>
      <c r="M320"/>
    </row>
    <row r="321" spans="11:13">
      <c r="K321"/>
      <c r="L321"/>
      <c r="M321"/>
    </row>
    <row r="322" spans="11:13">
      <c r="K322"/>
      <c r="L322"/>
      <c r="M322"/>
    </row>
    <row r="323" spans="11:13">
      <c r="K323"/>
      <c r="L323"/>
      <c r="M323"/>
    </row>
    <row r="324" spans="11:13">
      <c r="K324"/>
      <c r="L324"/>
      <c r="M324"/>
    </row>
    <row r="325" spans="11:13">
      <c r="K325"/>
      <c r="L325"/>
      <c r="M325"/>
    </row>
    <row r="326" spans="11:13">
      <c r="K326"/>
      <c r="L326"/>
      <c r="M326"/>
    </row>
    <row r="327" spans="11:13">
      <c r="K327"/>
      <c r="L327"/>
      <c r="M327"/>
    </row>
    <row r="328" spans="11:13">
      <c r="K328"/>
      <c r="L328"/>
      <c r="M328"/>
    </row>
    <row r="329" spans="11:13">
      <c r="K329"/>
      <c r="L329"/>
      <c r="M329"/>
    </row>
    <row r="330" spans="11:13">
      <c r="K330"/>
      <c r="L330"/>
      <c r="M330"/>
    </row>
    <row r="331" spans="11:13">
      <c r="K331"/>
      <c r="L331"/>
      <c r="M331"/>
    </row>
    <row r="332" spans="11:13">
      <c r="K332"/>
      <c r="L332"/>
      <c r="M332"/>
    </row>
    <row r="333" spans="11:13">
      <c r="K333"/>
      <c r="L333"/>
      <c r="M333"/>
    </row>
    <row r="334" spans="11:13">
      <c r="K334"/>
      <c r="L334"/>
      <c r="M334"/>
    </row>
    <row r="335" spans="11:13">
      <c r="K335"/>
      <c r="L335"/>
      <c r="M335"/>
    </row>
    <row r="336" spans="11:13">
      <c r="K336"/>
      <c r="L336"/>
      <c r="M336"/>
    </row>
    <row r="337" spans="11:13">
      <c r="K337"/>
      <c r="L337"/>
      <c r="M337"/>
    </row>
    <row r="338" spans="11:13">
      <c r="K338"/>
      <c r="L338"/>
      <c r="M338"/>
    </row>
    <row r="339" spans="11:13">
      <c r="K339"/>
      <c r="L339"/>
      <c r="M339"/>
    </row>
    <row r="340" spans="11:13">
      <c r="K340"/>
      <c r="L340"/>
      <c r="M340"/>
    </row>
    <row r="341" spans="11:13">
      <c r="K341"/>
      <c r="L341"/>
      <c r="M341"/>
    </row>
    <row r="342" spans="11:13">
      <c r="K342"/>
      <c r="L342"/>
      <c r="M342"/>
    </row>
    <row r="343" spans="11:13">
      <c r="K343"/>
      <c r="L343"/>
      <c r="M343"/>
    </row>
    <row r="344" spans="11:13">
      <c r="K344"/>
      <c r="L344"/>
      <c r="M344"/>
    </row>
    <row r="345" spans="11:13">
      <c r="K345"/>
      <c r="L345"/>
      <c r="M345"/>
    </row>
    <row r="346" spans="11:13">
      <c r="K346"/>
      <c r="L346"/>
      <c r="M346"/>
    </row>
    <row r="347" spans="11:13">
      <c r="K347"/>
      <c r="L347"/>
      <c r="M347"/>
    </row>
    <row r="348" spans="11:13">
      <c r="K348"/>
      <c r="L348"/>
      <c r="M348"/>
    </row>
    <row r="349" spans="11:13">
      <c r="K349"/>
      <c r="L349"/>
      <c r="M349"/>
    </row>
    <row r="350" spans="11:13">
      <c r="K350"/>
      <c r="L350"/>
      <c r="M350"/>
    </row>
    <row r="351" spans="11:13">
      <c r="K351"/>
      <c r="L351"/>
      <c r="M351"/>
    </row>
    <row r="352" spans="11:13">
      <c r="K352"/>
      <c r="L352"/>
      <c r="M352"/>
    </row>
    <row r="353" spans="11:13">
      <c r="K353"/>
      <c r="L353"/>
      <c r="M353"/>
    </row>
    <row r="354" spans="11:13">
      <c r="K354"/>
      <c r="L354"/>
      <c r="M354"/>
    </row>
    <row r="355" spans="11:13">
      <c r="K355"/>
      <c r="L355"/>
      <c r="M355"/>
    </row>
    <row r="356" spans="11:13">
      <c r="K356"/>
      <c r="L356"/>
      <c r="M356"/>
    </row>
    <row r="357" spans="11:13">
      <c r="K357"/>
      <c r="L357"/>
      <c r="M357"/>
    </row>
    <row r="358" spans="11:13">
      <c r="K358"/>
      <c r="L358"/>
      <c r="M358"/>
    </row>
    <row r="359" spans="11:13">
      <c r="K359"/>
      <c r="L359"/>
      <c r="M359"/>
    </row>
    <row r="360" spans="11:13">
      <c r="K360"/>
      <c r="L360"/>
      <c r="M360"/>
    </row>
    <row r="361" spans="11:13">
      <c r="K361"/>
      <c r="L361"/>
      <c r="M361"/>
    </row>
    <row r="362" spans="11:13">
      <c r="K362"/>
      <c r="L362"/>
      <c r="M362"/>
    </row>
    <row r="363" spans="11:13">
      <c r="K363"/>
      <c r="L363"/>
      <c r="M363"/>
    </row>
    <row r="364" spans="11:13">
      <c r="K364"/>
      <c r="L364"/>
      <c r="M364"/>
    </row>
    <row r="365" spans="11:13">
      <c r="K365"/>
      <c r="L365"/>
      <c r="M365"/>
    </row>
    <row r="366" spans="11:13">
      <c r="K366"/>
      <c r="L366"/>
      <c r="M366"/>
    </row>
    <row r="367" spans="11:13">
      <c r="K367"/>
      <c r="L367"/>
      <c r="M367"/>
    </row>
    <row r="368" spans="11:13">
      <c r="K368"/>
      <c r="L368"/>
      <c r="M368"/>
    </row>
    <row r="369" spans="11:13">
      <c r="K369"/>
      <c r="L369"/>
      <c r="M369"/>
    </row>
    <row r="370" spans="11:13">
      <c r="K370"/>
      <c r="L370"/>
      <c r="M370"/>
    </row>
    <row r="371" spans="11:13">
      <c r="K371"/>
      <c r="L371"/>
      <c r="M371"/>
    </row>
    <row r="372" spans="11:13">
      <c r="K372"/>
      <c r="L372"/>
      <c r="M372"/>
    </row>
    <row r="373" spans="11:13">
      <c r="K373"/>
      <c r="L373"/>
      <c r="M373"/>
    </row>
    <row r="374" spans="11:13">
      <c r="K374"/>
      <c r="L374"/>
      <c r="M374"/>
    </row>
    <row r="375" spans="11:13">
      <c r="K375"/>
      <c r="L375"/>
      <c r="M375"/>
    </row>
    <row r="376" spans="11:13">
      <c r="K376"/>
      <c r="L376"/>
      <c r="M376"/>
    </row>
    <row r="377" spans="11:13">
      <c r="K377"/>
      <c r="L377"/>
      <c r="M377"/>
    </row>
    <row r="378" spans="11:13">
      <c r="K378"/>
      <c r="L378"/>
      <c r="M378"/>
    </row>
    <row r="379" spans="11:13">
      <c r="K379"/>
      <c r="L379"/>
      <c r="M379"/>
    </row>
    <row r="380" spans="11:13">
      <c r="K380"/>
      <c r="L380"/>
      <c r="M380"/>
    </row>
    <row r="381" spans="11:13">
      <c r="K381"/>
      <c r="L381"/>
      <c r="M381"/>
    </row>
    <row r="382" spans="11:13">
      <c r="K382"/>
      <c r="L382"/>
      <c r="M382"/>
    </row>
    <row r="383" spans="11:13">
      <c r="K383"/>
      <c r="L383"/>
      <c r="M383"/>
    </row>
    <row r="384" spans="11:13">
      <c r="K384"/>
      <c r="L384"/>
      <c r="M384"/>
    </row>
    <row r="385" spans="11:13">
      <c r="K385"/>
      <c r="L385"/>
      <c r="M385"/>
    </row>
    <row r="386" spans="11:13">
      <c r="K386"/>
      <c r="L386"/>
      <c r="M386"/>
    </row>
    <row r="387" spans="11:13">
      <c r="K387"/>
      <c r="L387"/>
      <c r="M387"/>
    </row>
    <row r="388" spans="11:13">
      <c r="K388"/>
      <c r="L388"/>
      <c r="M388"/>
    </row>
    <row r="389" spans="11:13">
      <c r="K389"/>
      <c r="L389"/>
      <c r="M389"/>
    </row>
    <row r="390" spans="11:13">
      <c r="K390"/>
      <c r="L390"/>
      <c r="M390"/>
    </row>
    <row r="391" spans="11:13">
      <c r="K391"/>
      <c r="L391"/>
      <c r="M391"/>
    </row>
    <row r="392" spans="11:13">
      <c r="K392"/>
      <c r="L392"/>
      <c r="M392"/>
    </row>
    <row r="393" spans="11:13">
      <c r="K393"/>
      <c r="L393"/>
      <c r="M393"/>
    </row>
    <row r="394" spans="11:13">
      <c r="K394"/>
      <c r="L394"/>
      <c r="M394"/>
    </row>
    <row r="395" spans="11:13">
      <c r="K395"/>
      <c r="L395"/>
      <c r="M395"/>
    </row>
    <row r="396" spans="11:13">
      <c r="K396"/>
      <c r="L396"/>
      <c r="M396"/>
    </row>
    <row r="397" spans="11:13">
      <c r="K397"/>
      <c r="L397"/>
      <c r="M397"/>
    </row>
    <row r="398" spans="11:13">
      <c r="K398"/>
      <c r="L398"/>
      <c r="M398"/>
    </row>
    <row r="399" spans="11:13">
      <c r="K399"/>
      <c r="L399"/>
      <c r="M399"/>
    </row>
    <row r="400" spans="11:13">
      <c r="K400"/>
      <c r="L400"/>
      <c r="M400"/>
    </row>
    <row r="401" spans="11:13">
      <c r="K401"/>
      <c r="L401"/>
      <c r="M401"/>
    </row>
    <row r="402" spans="11:13">
      <c r="K402"/>
      <c r="L402"/>
      <c r="M402"/>
    </row>
    <row r="403" spans="11:13">
      <c r="K403"/>
      <c r="L403"/>
      <c r="M403"/>
    </row>
    <row r="404" spans="11:13">
      <c r="K404"/>
      <c r="L404"/>
      <c r="M404"/>
    </row>
    <row r="405" spans="11:13">
      <c r="K405"/>
      <c r="L405"/>
      <c r="M405"/>
    </row>
    <row r="406" spans="11:13">
      <c r="K406"/>
      <c r="L406"/>
      <c r="M406"/>
    </row>
    <row r="407" spans="11:13">
      <c r="K407"/>
      <c r="L407"/>
      <c r="M407"/>
    </row>
    <row r="408" spans="11:13">
      <c r="K408"/>
      <c r="L408"/>
      <c r="M408"/>
    </row>
    <row r="409" spans="11:13">
      <c r="K409"/>
      <c r="L409"/>
      <c r="M409"/>
    </row>
    <row r="410" spans="11:13">
      <c r="K410"/>
      <c r="L410"/>
      <c r="M410"/>
    </row>
    <row r="411" spans="11:13">
      <c r="K411"/>
      <c r="L411"/>
      <c r="M411"/>
    </row>
    <row r="412" spans="11:13">
      <c r="K412"/>
      <c r="L412"/>
      <c r="M412"/>
    </row>
    <row r="413" spans="11:13">
      <c r="K413"/>
      <c r="L413"/>
      <c r="M413"/>
    </row>
    <row r="414" spans="11:13">
      <c r="K414"/>
      <c r="L414"/>
      <c r="M414"/>
    </row>
    <row r="415" spans="11:13">
      <c r="K415"/>
      <c r="L415"/>
      <c r="M415"/>
    </row>
    <row r="416" spans="11:13">
      <c r="K416"/>
      <c r="L416"/>
      <c r="M416"/>
    </row>
    <row r="417" spans="11:13">
      <c r="K417"/>
      <c r="L417"/>
      <c r="M417"/>
    </row>
    <row r="418" spans="11:13">
      <c r="K418"/>
      <c r="L418"/>
      <c r="M418"/>
    </row>
    <row r="419" spans="11:13">
      <c r="K419"/>
      <c r="L419"/>
      <c r="M419"/>
    </row>
    <row r="420" spans="11:13">
      <c r="K420"/>
      <c r="L420"/>
      <c r="M420"/>
    </row>
    <row r="421" spans="11:13">
      <c r="K421"/>
      <c r="L421"/>
      <c r="M421"/>
    </row>
    <row r="422" spans="11:13">
      <c r="K422"/>
      <c r="L422"/>
      <c r="M422"/>
    </row>
    <row r="423" spans="11:13">
      <c r="K423"/>
      <c r="L423"/>
      <c r="M423"/>
    </row>
    <row r="424" spans="11:13">
      <c r="K424"/>
      <c r="L424"/>
      <c r="M424"/>
    </row>
    <row r="425" spans="11:13">
      <c r="K425"/>
      <c r="L425"/>
      <c r="M425"/>
    </row>
    <row r="426" spans="11:13">
      <c r="K426"/>
      <c r="L426"/>
      <c r="M426"/>
    </row>
    <row r="427" spans="11:13">
      <c r="K427"/>
      <c r="L427"/>
      <c r="M427"/>
    </row>
    <row r="428" spans="11:13">
      <c r="K428"/>
      <c r="L428"/>
      <c r="M428"/>
    </row>
    <row r="429" spans="11:13">
      <c r="K429"/>
      <c r="L429"/>
      <c r="M429"/>
    </row>
    <row r="430" spans="11:13">
      <c r="K430"/>
      <c r="L430"/>
      <c r="M430"/>
    </row>
    <row r="431" spans="11:13">
      <c r="K431"/>
      <c r="L431"/>
      <c r="M431"/>
    </row>
    <row r="432" spans="11:13">
      <c r="K432"/>
      <c r="L432"/>
      <c r="M432"/>
    </row>
    <row r="433" spans="11:13">
      <c r="K433"/>
      <c r="L433"/>
      <c r="M433"/>
    </row>
    <row r="434" spans="11:13">
      <c r="K434"/>
      <c r="L434"/>
      <c r="M434"/>
    </row>
    <row r="435" spans="11:13">
      <c r="K435"/>
      <c r="L435"/>
      <c r="M435"/>
    </row>
    <row r="436" spans="11:13">
      <c r="K436"/>
      <c r="L436"/>
      <c r="M436"/>
    </row>
    <row r="437" spans="11:13">
      <c r="K437"/>
      <c r="L437"/>
      <c r="M437"/>
    </row>
    <row r="438" spans="11:13">
      <c r="K438"/>
      <c r="L438"/>
      <c r="M438"/>
    </row>
    <row r="439" spans="11:13">
      <c r="K439"/>
      <c r="L439"/>
      <c r="M439"/>
    </row>
    <row r="440" spans="11:13">
      <c r="K440"/>
      <c r="L440"/>
      <c r="M440"/>
    </row>
    <row r="441" spans="11:13">
      <c r="K441"/>
      <c r="L441"/>
      <c r="M441"/>
    </row>
    <row r="442" spans="11:13">
      <c r="K442"/>
      <c r="L442"/>
      <c r="M442"/>
    </row>
    <row r="443" spans="11:13">
      <c r="K443"/>
      <c r="L443"/>
      <c r="M443"/>
    </row>
    <row r="444" spans="11:13">
      <c r="K444"/>
      <c r="L444"/>
      <c r="M444"/>
    </row>
    <row r="445" spans="11:13">
      <c r="K445"/>
      <c r="L445"/>
      <c r="M445"/>
    </row>
    <row r="446" spans="11:13">
      <c r="K446"/>
      <c r="L446"/>
      <c r="M446"/>
    </row>
    <row r="447" spans="11:13">
      <c r="K447"/>
      <c r="L447"/>
      <c r="M447"/>
    </row>
    <row r="448" spans="11:13">
      <c r="K448"/>
      <c r="L448"/>
      <c r="M448"/>
    </row>
    <row r="449" spans="11:13">
      <c r="K449"/>
      <c r="L449"/>
      <c r="M449"/>
    </row>
    <row r="450" spans="11:13">
      <c r="K450"/>
      <c r="L450"/>
      <c r="M450"/>
    </row>
    <row r="451" spans="11:13">
      <c r="K451"/>
      <c r="L451"/>
      <c r="M451"/>
    </row>
    <row r="452" spans="11:13">
      <c r="K452"/>
      <c r="L452"/>
      <c r="M452"/>
    </row>
    <row r="453" spans="11:13">
      <c r="K453"/>
      <c r="L453"/>
      <c r="M453"/>
    </row>
    <row r="454" spans="11:13">
      <c r="K454"/>
      <c r="L454"/>
      <c r="M454"/>
    </row>
    <row r="455" spans="11:13">
      <c r="K455"/>
      <c r="L455"/>
      <c r="M455"/>
    </row>
    <row r="456" spans="11:13">
      <c r="K456"/>
      <c r="L456"/>
      <c r="M456"/>
    </row>
    <row r="457" spans="11:13">
      <c r="K457"/>
      <c r="L457"/>
      <c r="M457"/>
    </row>
    <row r="458" spans="11:13">
      <c r="K458"/>
      <c r="L458"/>
      <c r="M458"/>
    </row>
    <row r="459" spans="11:13">
      <c r="K459"/>
      <c r="L459"/>
      <c r="M459"/>
    </row>
    <row r="460" spans="11:13">
      <c r="K460"/>
      <c r="L460"/>
      <c r="M460"/>
    </row>
    <row r="461" spans="11:13">
      <c r="K461"/>
      <c r="L461"/>
      <c r="M461"/>
    </row>
    <row r="462" spans="11:13">
      <c r="K462"/>
      <c r="L462"/>
      <c r="M462"/>
    </row>
    <row r="463" spans="11:13">
      <c r="K463"/>
      <c r="L463"/>
      <c r="M463"/>
    </row>
    <row r="464" spans="11:13">
      <c r="K464"/>
      <c r="L464"/>
      <c r="M464"/>
    </row>
    <row r="465" spans="11:13">
      <c r="K465"/>
      <c r="L465"/>
      <c r="M465"/>
    </row>
    <row r="466" spans="11:13">
      <c r="K466"/>
      <c r="L466"/>
      <c r="M466"/>
    </row>
    <row r="467" spans="11:13">
      <c r="K467"/>
      <c r="L467"/>
      <c r="M467"/>
    </row>
    <row r="468" spans="11:13">
      <c r="K468"/>
      <c r="L468"/>
      <c r="M468"/>
    </row>
    <row r="469" spans="11:13">
      <c r="K469"/>
      <c r="L469"/>
      <c r="M469"/>
    </row>
    <row r="470" spans="11:13">
      <c r="K470"/>
      <c r="L470"/>
      <c r="M470"/>
    </row>
    <row r="471" spans="11:13">
      <c r="K471"/>
      <c r="L471"/>
      <c r="M471"/>
    </row>
    <row r="472" spans="11:13">
      <c r="K472"/>
      <c r="L472"/>
      <c r="M472"/>
    </row>
    <row r="473" spans="11:13">
      <c r="K473"/>
      <c r="L473"/>
      <c r="M473"/>
    </row>
    <row r="474" spans="11:13">
      <c r="K474"/>
      <c r="L474"/>
      <c r="M474"/>
    </row>
    <row r="475" spans="11:13">
      <c r="K475"/>
      <c r="L475"/>
      <c r="M475"/>
    </row>
    <row r="476" spans="11:13">
      <c r="K476"/>
      <c r="L476"/>
      <c r="M476"/>
    </row>
    <row r="477" spans="11:13">
      <c r="K477"/>
      <c r="L477"/>
      <c r="M477"/>
    </row>
    <row r="478" spans="11:13">
      <c r="K478"/>
      <c r="L478"/>
      <c r="M478"/>
    </row>
    <row r="479" spans="11:13">
      <c r="K479"/>
      <c r="L479"/>
      <c r="M479"/>
    </row>
    <row r="480" spans="11:13">
      <c r="K480"/>
      <c r="L480"/>
      <c r="M480"/>
    </row>
    <row r="481" spans="11:13">
      <c r="K481"/>
      <c r="L481"/>
      <c r="M481"/>
    </row>
    <row r="482" spans="11:13">
      <c r="K482"/>
      <c r="L482"/>
      <c r="M482"/>
    </row>
    <row r="483" spans="11:13">
      <c r="K483"/>
      <c r="L483"/>
      <c r="M483"/>
    </row>
    <row r="484" spans="11:13">
      <c r="K484"/>
      <c r="L484"/>
      <c r="M484"/>
    </row>
    <row r="485" spans="11:13">
      <c r="K485"/>
      <c r="L485"/>
      <c r="M485"/>
    </row>
    <row r="486" spans="11:13">
      <c r="K486"/>
      <c r="L486"/>
      <c r="M486"/>
    </row>
    <row r="487" spans="11:13">
      <c r="K487"/>
      <c r="L487"/>
      <c r="M487"/>
    </row>
    <row r="488" spans="11:13">
      <c r="K488"/>
      <c r="L488"/>
      <c r="M488"/>
    </row>
    <row r="489" spans="11:13">
      <c r="K489"/>
      <c r="L489"/>
      <c r="M489"/>
    </row>
    <row r="490" spans="11:13">
      <c r="K490"/>
      <c r="L490"/>
      <c r="M490"/>
    </row>
    <row r="491" spans="11:13">
      <c r="K491"/>
      <c r="L491"/>
      <c r="M491"/>
    </row>
    <row r="492" spans="11:13">
      <c r="K492"/>
      <c r="L492"/>
      <c r="M492"/>
    </row>
    <row r="493" spans="11:13">
      <c r="K493"/>
      <c r="L493"/>
      <c r="M493"/>
    </row>
    <row r="494" spans="11:13">
      <c r="K494"/>
      <c r="L494"/>
      <c r="M494"/>
    </row>
    <row r="495" spans="11:13">
      <c r="K495"/>
      <c r="L495"/>
      <c r="M495"/>
    </row>
    <row r="496" spans="11:13">
      <c r="K496"/>
      <c r="L496"/>
      <c r="M496"/>
    </row>
    <row r="497" spans="11:13">
      <c r="K497"/>
      <c r="L497"/>
      <c r="M497"/>
    </row>
    <row r="498" spans="11:13">
      <c r="K498"/>
      <c r="L498"/>
      <c r="M498"/>
    </row>
    <row r="499" spans="11:13">
      <c r="K499"/>
      <c r="L499"/>
      <c r="M499"/>
    </row>
    <row r="500" spans="11:13">
      <c r="K500"/>
      <c r="L500"/>
      <c r="M500"/>
    </row>
    <row r="501" spans="11:13">
      <c r="K501"/>
      <c r="L501"/>
      <c r="M501"/>
    </row>
    <row r="502" spans="11:13">
      <c r="K502"/>
      <c r="L502"/>
      <c r="M502"/>
    </row>
    <row r="503" spans="11:13">
      <c r="K503"/>
      <c r="L503"/>
      <c r="M503"/>
    </row>
    <row r="504" spans="11:13">
      <c r="K504"/>
      <c r="L504"/>
      <c r="M504"/>
    </row>
    <row r="505" spans="11:13">
      <c r="K505"/>
      <c r="L505"/>
      <c r="M505"/>
    </row>
    <row r="506" spans="11:13">
      <c r="K506"/>
      <c r="L506"/>
      <c r="M506"/>
    </row>
    <row r="507" spans="11:13">
      <c r="K507"/>
      <c r="L507"/>
      <c r="M507"/>
    </row>
    <row r="508" spans="11:13">
      <c r="K508"/>
      <c r="L508"/>
      <c r="M508"/>
    </row>
    <row r="509" spans="11:13">
      <c r="K509"/>
      <c r="L509"/>
      <c r="M509"/>
    </row>
    <row r="510" spans="11:13">
      <c r="K510"/>
      <c r="L510"/>
      <c r="M510"/>
    </row>
    <row r="511" spans="11:13">
      <c r="K511"/>
      <c r="L511"/>
      <c r="M511"/>
    </row>
    <row r="512" spans="11:13">
      <c r="K512"/>
      <c r="L512"/>
      <c r="M512"/>
    </row>
    <row r="513" spans="11:13">
      <c r="K513"/>
      <c r="L513"/>
      <c r="M513"/>
    </row>
    <row r="514" spans="11:13">
      <c r="K514"/>
      <c r="L514"/>
      <c r="M514"/>
    </row>
    <row r="515" spans="11:13">
      <c r="K515"/>
      <c r="L515"/>
      <c r="M515"/>
    </row>
    <row r="516" spans="11:13">
      <c r="K516"/>
      <c r="L516"/>
      <c r="M516"/>
    </row>
    <row r="517" spans="11:13">
      <c r="K517"/>
      <c r="L517"/>
      <c r="M517"/>
    </row>
    <row r="518" spans="11:13">
      <c r="K518"/>
      <c r="L518"/>
      <c r="M518"/>
    </row>
    <row r="519" spans="11:13">
      <c r="K519"/>
      <c r="L519"/>
      <c r="M519"/>
    </row>
    <row r="520" spans="11:13">
      <c r="K520"/>
      <c r="L520"/>
      <c r="M520"/>
    </row>
    <row r="521" spans="11:13">
      <c r="K521"/>
      <c r="L521"/>
      <c r="M521"/>
    </row>
    <row r="522" spans="11:13">
      <c r="K522"/>
      <c r="L522"/>
      <c r="M522"/>
    </row>
    <row r="523" spans="11:13">
      <c r="K523"/>
      <c r="L523"/>
      <c r="M523"/>
    </row>
    <row r="524" spans="11:13">
      <c r="K524"/>
      <c r="L524"/>
      <c r="M524"/>
    </row>
    <row r="525" spans="11:13">
      <c r="K525"/>
      <c r="L525"/>
      <c r="M525"/>
    </row>
    <row r="526" spans="11:13">
      <c r="K526"/>
      <c r="L526"/>
      <c r="M526"/>
    </row>
    <row r="527" spans="11:13">
      <c r="K527"/>
      <c r="L527"/>
      <c r="M527"/>
    </row>
    <row r="528" spans="11:13">
      <c r="K528"/>
      <c r="L528"/>
      <c r="M528"/>
    </row>
    <row r="529" spans="11:13">
      <c r="K529"/>
      <c r="L529"/>
      <c r="M529"/>
    </row>
    <row r="530" spans="11:13">
      <c r="K530"/>
      <c r="L530"/>
      <c r="M530"/>
    </row>
    <row r="531" spans="11:13">
      <c r="K531"/>
      <c r="L531"/>
      <c r="M531"/>
    </row>
    <row r="532" spans="11:13">
      <c r="K532"/>
      <c r="L532"/>
      <c r="M532"/>
    </row>
    <row r="533" spans="11:13">
      <c r="K533"/>
      <c r="L533"/>
      <c r="M533"/>
    </row>
    <row r="534" spans="11:13">
      <c r="K534"/>
      <c r="L534"/>
      <c r="M534"/>
    </row>
    <row r="535" spans="11:13">
      <c r="K535"/>
      <c r="L535"/>
      <c r="M535"/>
    </row>
    <row r="536" spans="11:13">
      <c r="K536"/>
      <c r="L536"/>
      <c r="M536"/>
    </row>
    <row r="537" spans="11:13">
      <c r="K537"/>
      <c r="L537"/>
      <c r="M537"/>
    </row>
    <row r="538" spans="11:13">
      <c r="K538"/>
      <c r="L538"/>
      <c r="M538"/>
    </row>
    <row r="539" spans="11:13">
      <c r="K539"/>
      <c r="L539"/>
      <c r="M539"/>
    </row>
    <row r="540" spans="11:13">
      <c r="K540"/>
      <c r="L540"/>
      <c r="M540"/>
    </row>
    <row r="541" spans="11:13">
      <c r="K541"/>
      <c r="L541"/>
      <c r="M541"/>
    </row>
    <row r="542" spans="11:13">
      <c r="K542"/>
      <c r="L542"/>
      <c r="M542"/>
    </row>
    <row r="543" spans="11:13">
      <c r="K543"/>
      <c r="L543"/>
      <c r="M543"/>
    </row>
    <row r="544" spans="11:13">
      <c r="K544"/>
      <c r="L544"/>
      <c r="M544"/>
    </row>
    <row r="545" spans="11:13">
      <c r="K545"/>
      <c r="L545"/>
      <c r="M545"/>
    </row>
    <row r="546" spans="11:13">
      <c r="K546"/>
      <c r="L546"/>
      <c r="M546"/>
    </row>
    <row r="547" spans="11:13">
      <c r="K547"/>
      <c r="L547"/>
      <c r="M547"/>
    </row>
    <row r="548" spans="11:13">
      <c r="K548"/>
      <c r="L548"/>
      <c r="M548"/>
    </row>
    <row r="549" spans="11:13">
      <c r="K549"/>
      <c r="L549"/>
      <c r="M549"/>
    </row>
    <row r="550" spans="11:13">
      <c r="K550"/>
      <c r="L550"/>
      <c r="M550"/>
    </row>
    <row r="551" spans="11:13">
      <c r="K551"/>
      <c r="L551"/>
      <c r="M551"/>
    </row>
    <row r="552" spans="11:13">
      <c r="K552"/>
      <c r="L552"/>
      <c r="M552"/>
    </row>
    <row r="553" spans="11:13">
      <c r="K553"/>
      <c r="L553"/>
      <c r="M553"/>
    </row>
    <row r="554" spans="11:13">
      <c r="K554"/>
      <c r="L554"/>
      <c r="M554"/>
    </row>
    <row r="555" spans="11:13">
      <c r="K555"/>
      <c r="L555"/>
      <c r="M555"/>
    </row>
    <row r="556" spans="11:13">
      <c r="K556"/>
      <c r="L556"/>
      <c r="M556"/>
    </row>
    <row r="557" spans="11:13">
      <c r="K557"/>
      <c r="L557"/>
      <c r="M557"/>
    </row>
    <row r="558" spans="11:13">
      <c r="K558"/>
      <c r="L558"/>
      <c r="M558"/>
    </row>
    <row r="559" spans="11:13">
      <c r="K559"/>
      <c r="L559"/>
      <c r="M559"/>
    </row>
    <row r="560" spans="11:13">
      <c r="K560"/>
      <c r="L560"/>
      <c r="M560"/>
    </row>
    <row r="561" spans="11:13">
      <c r="K561"/>
      <c r="L561"/>
      <c r="M561"/>
    </row>
    <row r="562" spans="11:13">
      <c r="K562"/>
      <c r="L562"/>
      <c r="M562"/>
    </row>
    <row r="563" spans="11:13">
      <c r="K563"/>
      <c r="L563"/>
      <c r="M563"/>
    </row>
    <row r="564" spans="11:13">
      <c r="K564"/>
      <c r="L564"/>
      <c r="M564"/>
    </row>
    <row r="565" spans="11:13">
      <c r="K565"/>
      <c r="L565"/>
      <c r="M565"/>
    </row>
    <row r="566" spans="11:13">
      <c r="K566"/>
      <c r="L566"/>
      <c r="M566"/>
    </row>
    <row r="567" spans="11:13">
      <c r="K567"/>
      <c r="L567"/>
      <c r="M567"/>
    </row>
    <row r="568" spans="11:13">
      <c r="K568"/>
      <c r="L568"/>
      <c r="M568"/>
    </row>
    <row r="569" spans="11:13">
      <c r="K569"/>
      <c r="L569"/>
      <c r="M569"/>
    </row>
    <row r="570" spans="11:13">
      <c r="K570"/>
      <c r="L570"/>
      <c r="M570"/>
    </row>
    <row r="571" spans="11:13">
      <c r="K571"/>
      <c r="L571"/>
      <c r="M571"/>
    </row>
    <row r="572" spans="11:13">
      <c r="K572"/>
      <c r="L572"/>
      <c r="M572"/>
    </row>
    <row r="573" spans="11:13">
      <c r="K573"/>
      <c r="L573"/>
      <c r="M573"/>
    </row>
    <row r="574" spans="11:13">
      <c r="K574"/>
      <c r="L574"/>
      <c r="M574"/>
    </row>
    <row r="575" spans="11:13">
      <c r="K575"/>
      <c r="L575"/>
      <c r="M575"/>
    </row>
    <row r="576" spans="11:13">
      <c r="K576"/>
      <c r="L576"/>
      <c r="M576"/>
    </row>
    <row r="577" spans="11:13">
      <c r="K577"/>
      <c r="L577"/>
      <c r="M577"/>
    </row>
    <row r="578" spans="11:13">
      <c r="K578"/>
      <c r="L578"/>
      <c r="M578"/>
    </row>
    <row r="579" spans="11:13">
      <c r="K579"/>
      <c r="L579"/>
      <c r="M579"/>
    </row>
    <row r="580" spans="11:13">
      <c r="K580"/>
      <c r="L580"/>
      <c r="M580"/>
    </row>
    <row r="581" spans="11:13">
      <c r="K581"/>
      <c r="L581"/>
      <c r="M581"/>
    </row>
    <row r="582" spans="11:13">
      <c r="K582"/>
      <c r="L582"/>
      <c r="M582"/>
    </row>
    <row r="583" spans="11:13">
      <c r="K583"/>
      <c r="L583"/>
      <c r="M583"/>
    </row>
    <row r="584" spans="11:13">
      <c r="K584"/>
      <c r="L584"/>
      <c r="M584"/>
    </row>
    <row r="585" spans="11:13">
      <c r="K585"/>
      <c r="L585"/>
      <c r="M585"/>
    </row>
    <row r="586" spans="11:13">
      <c r="K586"/>
      <c r="L586"/>
      <c r="M586"/>
    </row>
    <row r="587" spans="11:13">
      <c r="K587"/>
      <c r="L587"/>
      <c r="M587"/>
    </row>
    <row r="588" spans="11:13">
      <c r="K588"/>
      <c r="L588"/>
      <c r="M588"/>
    </row>
    <row r="589" spans="11:13">
      <c r="K589"/>
      <c r="L589"/>
      <c r="M589"/>
    </row>
    <row r="590" spans="11:13">
      <c r="K590"/>
      <c r="L590"/>
      <c r="M590"/>
    </row>
    <row r="591" spans="11:13">
      <c r="K591"/>
      <c r="L591"/>
      <c r="M591"/>
    </row>
    <row r="592" spans="11:13">
      <c r="K592"/>
      <c r="L592"/>
      <c r="M592"/>
    </row>
    <row r="593" spans="11:13">
      <c r="K593"/>
      <c r="L593"/>
      <c r="M593"/>
    </row>
    <row r="594" spans="11:13">
      <c r="K594"/>
      <c r="L594"/>
      <c r="M594"/>
    </row>
    <row r="595" spans="11:13">
      <c r="K595"/>
      <c r="L595"/>
      <c r="M595"/>
    </row>
    <row r="596" spans="11:13">
      <c r="K596"/>
      <c r="L596"/>
      <c r="M596"/>
    </row>
    <row r="597" spans="11:13">
      <c r="K597"/>
      <c r="L597"/>
      <c r="M597"/>
    </row>
    <row r="598" spans="11:13">
      <c r="K598"/>
      <c r="L598"/>
      <c r="M598"/>
    </row>
    <row r="599" spans="11:13">
      <c r="K599"/>
      <c r="L599"/>
      <c r="M599"/>
    </row>
    <row r="600" spans="11:13">
      <c r="K600"/>
      <c r="L600"/>
      <c r="M600"/>
    </row>
    <row r="601" spans="11:13">
      <c r="K601"/>
      <c r="L601"/>
      <c r="M601"/>
    </row>
    <row r="602" spans="11:13">
      <c r="K602"/>
      <c r="L602"/>
      <c r="M602"/>
    </row>
    <row r="603" spans="11:13">
      <c r="K603"/>
      <c r="L603"/>
      <c r="M603"/>
    </row>
    <row r="604" spans="11:13">
      <c r="K604"/>
      <c r="L604"/>
      <c r="M604"/>
    </row>
    <row r="605" spans="11:13">
      <c r="K605"/>
      <c r="L605"/>
      <c r="M605"/>
    </row>
    <row r="606" spans="11:13">
      <c r="K606"/>
      <c r="L606"/>
      <c r="M606"/>
    </row>
    <row r="607" spans="11:13">
      <c r="K607"/>
      <c r="L607"/>
      <c r="M607"/>
    </row>
    <row r="608" spans="11:13">
      <c r="K608"/>
      <c r="L608"/>
      <c r="M608"/>
    </row>
    <row r="609" spans="11:13">
      <c r="K609"/>
      <c r="L609"/>
      <c r="M609"/>
    </row>
    <row r="610" spans="11:13">
      <c r="K610"/>
      <c r="L610"/>
      <c r="M610"/>
    </row>
    <row r="611" spans="11:13">
      <c r="K611"/>
      <c r="L611"/>
      <c r="M611"/>
    </row>
    <row r="612" spans="11:13">
      <c r="K612"/>
      <c r="L612"/>
      <c r="M612"/>
    </row>
    <row r="613" spans="11:13">
      <c r="K613"/>
      <c r="L613"/>
      <c r="M613"/>
    </row>
    <row r="614" spans="11:13">
      <c r="K614"/>
      <c r="L614"/>
      <c r="M614"/>
    </row>
    <row r="615" spans="11:13">
      <c r="K615"/>
      <c r="L615"/>
      <c r="M615"/>
    </row>
    <row r="616" spans="11:13">
      <c r="K616"/>
      <c r="L616"/>
      <c r="M616"/>
    </row>
    <row r="617" spans="11:13">
      <c r="K617"/>
      <c r="L617"/>
      <c r="M617"/>
    </row>
    <row r="618" spans="11:13">
      <c r="K618"/>
      <c r="L618"/>
      <c r="M618"/>
    </row>
    <row r="619" spans="11:13">
      <c r="K619"/>
      <c r="L619"/>
      <c r="M619"/>
    </row>
    <row r="620" spans="11:13">
      <c r="K620"/>
      <c r="L620"/>
      <c r="M620"/>
    </row>
    <row r="621" spans="11:13">
      <c r="K621"/>
      <c r="L621"/>
      <c r="M621"/>
    </row>
    <row r="622" spans="11:13">
      <c r="K622"/>
      <c r="L622"/>
      <c r="M622"/>
    </row>
    <row r="623" spans="11:13">
      <c r="K623"/>
      <c r="L623"/>
      <c r="M623"/>
    </row>
    <row r="624" spans="11:13">
      <c r="K624"/>
      <c r="L624"/>
      <c r="M624"/>
    </row>
    <row r="625" spans="11:13">
      <c r="K625"/>
      <c r="L625"/>
      <c r="M625"/>
    </row>
    <row r="626" spans="11:13">
      <c r="K626"/>
      <c r="L626"/>
      <c r="M626"/>
    </row>
    <row r="627" spans="11:13">
      <c r="K627"/>
      <c r="L627"/>
      <c r="M627"/>
    </row>
    <row r="628" spans="11:13">
      <c r="K628"/>
      <c r="L628"/>
      <c r="M628"/>
    </row>
    <row r="629" spans="11:13">
      <c r="K629"/>
      <c r="L629"/>
      <c r="M629"/>
    </row>
    <row r="630" spans="11:13">
      <c r="K630"/>
      <c r="L630"/>
      <c r="M630"/>
    </row>
    <row r="631" spans="11:13">
      <c r="K631"/>
      <c r="L631"/>
      <c r="M631"/>
    </row>
    <row r="632" spans="11:13">
      <c r="K632"/>
      <c r="L632"/>
      <c r="M632"/>
    </row>
    <row r="633" spans="11:13">
      <c r="K633"/>
      <c r="L633"/>
      <c r="M633"/>
    </row>
    <row r="634" spans="11:13">
      <c r="K634"/>
      <c r="L634"/>
      <c r="M634"/>
    </row>
    <row r="635" spans="11:13">
      <c r="K635"/>
      <c r="L635"/>
      <c r="M635"/>
    </row>
    <row r="636" spans="11:13">
      <c r="K636"/>
      <c r="L636"/>
      <c r="M636"/>
    </row>
    <row r="637" spans="11:13">
      <c r="K637"/>
      <c r="L637"/>
      <c r="M637"/>
    </row>
    <row r="638" spans="11:13">
      <c r="K638"/>
      <c r="L638"/>
      <c r="M638"/>
    </row>
    <row r="639" spans="11:13">
      <c r="K639"/>
      <c r="L639"/>
      <c r="M639"/>
    </row>
    <row r="640" spans="11:13">
      <c r="K640"/>
      <c r="L640"/>
      <c r="M640"/>
    </row>
    <row r="641" spans="11:13">
      <c r="K641"/>
      <c r="L641"/>
      <c r="M641"/>
    </row>
    <row r="642" spans="11:13">
      <c r="K642"/>
      <c r="L642"/>
      <c r="M642"/>
    </row>
    <row r="643" spans="11:13">
      <c r="K643"/>
      <c r="L643"/>
      <c r="M643"/>
    </row>
    <row r="644" spans="11:13">
      <c r="K644"/>
      <c r="L644"/>
      <c r="M644"/>
    </row>
    <row r="645" spans="11:13">
      <c r="K645"/>
      <c r="L645"/>
      <c r="M645"/>
    </row>
    <row r="646" spans="11:13">
      <c r="K646"/>
      <c r="L646"/>
      <c r="M646"/>
    </row>
    <row r="647" spans="11:13">
      <c r="K647"/>
      <c r="L647"/>
      <c r="M647"/>
    </row>
    <row r="648" spans="11:13">
      <c r="K648"/>
      <c r="L648"/>
      <c r="M648"/>
    </row>
    <row r="649" spans="11:13">
      <c r="K649"/>
      <c r="L649"/>
      <c r="M649"/>
    </row>
    <row r="650" spans="11:13">
      <c r="K650"/>
      <c r="L650"/>
      <c r="M650"/>
    </row>
    <row r="651" spans="11:13">
      <c r="K651"/>
      <c r="L651"/>
      <c r="M651"/>
    </row>
    <row r="652" spans="11:13">
      <c r="K652"/>
      <c r="L652"/>
      <c r="M652"/>
    </row>
    <row r="653" spans="11:13">
      <c r="K653"/>
      <c r="L653"/>
      <c r="M653"/>
    </row>
    <row r="654" spans="11:13">
      <c r="K654"/>
      <c r="L654"/>
      <c r="M654"/>
    </row>
    <row r="655" spans="11:13">
      <c r="K655"/>
      <c r="L655"/>
      <c r="M655"/>
    </row>
    <row r="656" spans="11:13">
      <c r="K656"/>
      <c r="L656"/>
      <c r="M656"/>
    </row>
    <row r="657" spans="11:13">
      <c r="K657"/>
      <c r="L657"/>
      <c r="M657"/>
    </row>
    <row r="658" spans="11:13">
      <c r="K658"/>
      <c r="L658"/>
      <c r="M658"/>
    </row>
    <row r="659" spans="11:13">
      <c r="K659"/>
      <c r="L659"/>
      <c r="M659"/>
    </row>
    <row r="660" spans="11:13">
      <c r="K660"/>
      <c r="L660"/>
      <c r="M660"/>
    </row>
    <row r="661" spans="11:13">
      <c r="K661"/>
      <c r="L661"/>
      <c r="M661"/>
    </row>
    <row r="662" spans="11:13">
      <c r="K662"/>
      <c r="L662"/>
      <c r="M662"/>
    </row>
    <row r="663" spans="11:13">
      <c r="K663"/>
      <c r="L663"/>
      <c r="M663"/>
    </row>
    <row r="664" spans="11:13">
      <c r="K664"/>
      <c r="L664"/>
      <c r="M664"/>
    </row>
    <row r="665" spans="11:13">
      <c r="K665"/>
      <c r="L665"/>
      <c r="M665"/>
    </row>
    <row r="666" spans="11:13">
      <c r="K666"/>
      <c r="L666"/>
      <c r="M666"/>
    </row>
    <row r="667" spans="11:13">
      <c r="K667"/>
      <c r="L667"/>
      <c r="M667"/>
    </row>
    <row r="668" spans="11:13">
      <c r="K668"/>
      <c r="L668"/>
      <c r="M668"/>
    </row>
    <row r="669" spans="11:13">
      <c r="K669"/>
      <c r="L669"/>
      <c r="M669"/>
    </row>
    <row r="670" spans="11:13">
      <c r="K670"/>
      <c r="L670"/>
      <c r="M670"/>
    </row>
    <row r="671" spans="11:13">
      <c r="K671"/>
      <c r="L671"/>
      <c r="M671"/>
    </row>
    <row r="672" spans="11:13">
      <c r="K672"/>
      <c r="L672"/>
      <c r="M672"/>
    </row>
    <row r="673" spans="11:13">
      <c r="K673"/>
      <c r="L673"/>
      <c r="M673"/>
    </row>
    <row r="674" spans="11:13">
      <c r="K674"/>
      <c r="L674"/>
      <c r="M674"/>
    </row>
    <row r="675" spans="11:13">
      <c r="K675"/>
      <c r="L675"/>
      <c r="M675"/>
    </row>
    <row r="676" spans="11:13">
      <c r="K676"/>
      <c r="L676"/>
      <c r="M676"/>
    </row>
    <row r="677" spans="11:13">
      <c r="K677"/>
      <c r="L677"/>
      <c r="M677"/>
    </row>
    <row r="678" spans="11:13">
      <c r="K678"/>
      <c r="L678"/>
      <c r="M678"/>
    </row>
    <row r="679" spans="11:13">
      <c r="K679"/>
      <c r="L679"/>
      <c r="M679"/>
    </row>
    <row r="680" spans="11:13">
      <c r="K680"/>
      <c r="L680"/>
      <c r="M680"/>
    </row>
    <row r="681" spans="11:13">
      <c r="K681"/>
      <c r="L681"/>
      <c r="M681"/>
    </row>
    <row r="682" spans="11:13">
      <c r="K682"/>
      <c r="L682"/>
      <c r="M682"/>
    </row>
    <row r="683" spans="11:13">
      <c r="K683"/>
      <c r="L683"/>
      <c r="M683"/>
    </row>
    <row r="684" spans="11:13">
      <c r="K684"/>
      <c r="L684"/>
      <c r="M684"/>
    </row>
    <row r="685" spans="11:13">
      <c r="K685"/>
      <c r="L685"/>
      <c r="M685"/>
    </row>
    <row r="686" spans="11:13">
      <c r="K686"/>
      <c r="L686"/>
      <c r="M686"/>
    </row>
    <row r="687" spans="11:13">
      <c r="K687"/>
      <c r="L687"/>
      <c r="M687"/>
    </row>
    <row r="688" spans="11:13">
      <c r="K688"/>
      <c r="L688"/>
      <c r="M688"/>
    </row>
    <row r="689" spans="11:13">
      <c r="K689"/>
      <c r="L689"/>
      <c r="M689"/>
    </row>
    <row r="690" spans="11:13">
      <c r="K690"/>
      <c r="L690"/>
      <c r="M690"/>
    </row>
    <row r="691" spans="11:13">
      <c r="K691"/>
      <c r="L691"/>
      <c r="M691"/>
    </row>
    <row r="692" spans="11:13">
      <c r="K692"/>
      <c r="L692"/>
      <c r="M692"/>
    </row>
    <row r="693" spans="11:13">
      <c r="K693"/>
      <c r="L693"/>
      <c r="M693"/>
    </row>
    <row r="694" spans="11:13">
      <c r="K694"/>
      <c r="L694"/>
      <c r="M694"/>
    </row>
    <row r="695" spans="11:13">
      <c r="K695"/>
      <c r="L695"/>
      <c r="M695"/>
    </row>
    <row r="696" spans="11:13">
      <c r="K696"/>
      <c r="L696"/>
      <c r="M696"/>
    </row>
    <row r="697" spans="11:13">
      <c r="K697"/>
      <c r="L697"/>
      <c r="M697"/>
    </row>
    <row r="698" spans="11:13">
      <c r="K698"/>
      <c r="L698"/>
      <c r="M698"/>
    </row>
    <row r="699" spans="11:13">
      <c r="K699"/>
      <c r="L699"/>
      <c r="M699"/>
    </row>
    <row r="700" spans="11:13">
      <c r="K700"/>
      <c r="L700"/>
      <c r="M700"/>
    </row>
    <row r="701" spans="11:13">
      <c r="K701"/>
      <c r="L701"/>
      <c r="M701"/>
    </row>
    <row r="702" spans="11:13">
      <c r="K702"/>
      <c r="L702"/>
      <c r="M702"/>
    </row>
    <row r="703" spans="11:13">
      <c r="K703"/>
      <c r="L703"/>
      <c r="M703"/>
    </row>
    <row r="704" spans="11:13">
      <c r="K704"/>
      <c r="L704"/>
      <c r="M704"/>
    </row>
    <row r="705" spans="11:13">
      <c r="K705"/>
      <c r="L705"/>
      <c r="M705"/>
    </row>
    <row r="706" spans="11:13">
      <c r="K706"/>
      <c r="L706"/>
      <c r="M706"/>
    </row>
    <row r="707" spans="11:13">
      <c r="K707"/>
      <c r="L707"/>
      <c r="M707"/>
    </row>
    <row r="708" spans="11:13">
      <c r="K708"/>
      <c r="L708"/>
      <c r="M708"/>
    </row>
    <row r="709" spans="11:13">
      <c r="K709"/>
      <c r="L709"/>
      <c r="M709"/>
    </row>
    <row r="710" spans="11:13">
      <c r="K710"/>
      <c r="L710"/>
      <c r="M710"/>
    </row>
    <row r="711" spans="11:13">
      <c r="K711"/>
      <c r="L711"/>
      <c r="M711"/>
    </row>
    <row r="712" spans="11:13">
      <c r="K712"/>
      <c r="L712"/>
      <c r="M712"/>
    </row>
    <row r="713" spans="11:13">
      <c r="K713"/>
      <c r="L713"/>
      <c r="M713"/>
    </row>
    <row r="714" spans="11:13">
      <c r="K714"/>
      <c r="L714"/>
      <c r="M714"/>
    </row>
    <row r="715" spans="11:13">
      <c r="K715"/>
      <c r="L715"/>
      <c r="M715"/>
    </row>
    <row r="716" spans="11:13">
      <c r="K716"/>
      <c r="L716"/>
      <c r="M716"/>
    </row>
    <row r="717" spans="11:13">
      <c r="K717"/>
      <c r="L717"/>
      <c r="M717"/>
    </row>
    <row r="718" spans="11:13">
      <c r="K718"/>
      <c r="L718"/>
      <c r="M718"/>
    </row>
    <row r="719" spans="11:13">
      <c r="K719"/>
      <c r="L719"/>
      <c r="M719"/>
    </row>
    <row r="720" spans="11:13">
      <c r="K720"/>
      <c r="L720"/>
      <c r="M720"/>
    </row>
    <row r="721" spans="11:13">
      <c r="K721"/>
      <c r="L721"/>
      <c r="M721"/>
    </row>
    <row r="722" spans="11:13">
      <c r="K722"/>
      <c r="L722"/>
      <c r="M722"/>
    </row>
    <row r="723" spans="11:13">
      <c r="K723"/>
      <c r="L723"/>
      <c r="M723"/>
    </row>
    <row r="724" spans="11:13">
      <c r="K724"/>
      <c r="L724"/>
      <c r="M724"/>
    </row>
    <row r="725" spans="11:13">
      <c r="K725"/>
      <c r="L725"/>
      <c r="M725"/>
    </row>
    <row r="726" spans="11:13">
      <c r="K726"/>
      <c r="L726"/>
      <c r="M726"/>
    </row>
    <row r="727" spans="11:13">
      <c r="K727"/>
      <c r="L727"/>
      <c r="M727"/>
    </row>
    <row r="728" spans="11:13">
      <c r="K728"/>
      <c r="L728"/>
      <c r="M728"/>
    </row>
    <row r="729" spans="11:13">
      <c r="K729"/>
      <c r="L729"/>
      <c r="M729"/>
    </row>
    <row r="730" spans="11:13">
      <c r="K730"/>
      <c r="L730"/>
      <c r="M730"/>
    </row>
    <row r="731" spans="11:13">
      <c r="K731"/>
      <c r="L731"/>
      <c r="M731"/>
    </row>
    <row r="732" spans="11:13">
      <c r="K732"/>
      <c r="L732"/>
      <c r="M732"/>
    </row>
    <row r="733" spans="11:13">
      <c r="K733"/>
      <c r="L733"/>
      <c r="M733"/>
    </row>
    <row r="734" spans="11:13">
      <c r="K734"/>
      <c r="L734"/>
      <c r="M734"/>
    </row>
    <row r="735" spans="11:13">
      <c r="K735"/>
      <c r="L735"/>
      <c r="M735"/>
    </row>
    <row r="736" spans="11:13">
      <c r="K736"/>
      <c r="L736"/>
      <c r="M736"/>
    </row>
    <row r="737" spans="11:13">
      <c r="K737"/>
      <c r="L737"/>
      <c r="M737"/>
    </row>
    <row r="738" spans="11:13">
      <c r="K738"/>
      <c r="L738"/>
      <c r="M738"/>
    </row>
    <row r="739" spans="11:13">
      <c r="K739"/>
      <c r="L739"/>
      <c r="M739"/>
    </row>
    <row r="740" spans="11:13">
      <c r="K740"/>
      <c r="L740"/>
      <c r="M740"/>
    </row>
    <row r="741" spans="11:13">
      <c r="K741"/>
      <c r="L741"/>
      <c r="M741"/>
    </row>
    <row r="742" spans="11:13">
      <c r="K742"/>
      <c r="L742"/>
      <c r="M742"/>
    </row>
    <row r="743" spans="11:13">
      <c r="K743"/>
      <c r="L743"/>
      <c r="M743"/>
    </row>
    <row r="744" spans="11:13">
      <c r="K744"/>
      <c r="L744"/>
      <c r="M744"/>
    </row>
    <row r="745" spans="11:13">
      <c r="K745"/>
      <c r="L745"/>
      <c r="M745"/>
    </row>
    <row r="746" spans="11:13">
      <c r="K746"/>
      <c r="L746"/>
      <c r="M746"/>
    </row>
    <row r="747" spans="11:13">
      <c r="K747"/>
      <c r="L747"/>
      <c r="M747"/>
    </row>
    <row r="748" spans="11:13">
      <c r="K748"/>
      <c r="L748"/>
      <c r="M748"/>
    </row>
    <row r="749" spans="11:13">
      <c r="K749"/>
      <c r="L749"/>
      <c r="M749"/>
    </row>
    <row r="750" spans="11:13">
      <c r="K750"/>
      <c r="L750"/>
      <c r="M750"/>
    </row>
    <row r="751" spans="11:13">
      <c r="K751"/>
      <c r="L751"/>
      <c r="M751"/>
    </row>
    <row r="752" spans="11:13">
      <c r="K752"/>
      <c r="L752"/>
      <c r="M752"/>
    </row>
    <row r="753" spans="11:13">
      <c r="K753"/>
      <c r="L753"/>
      <c r="M753"/>
    </row>
    <row r="754" spans="11:13">
      <c r="K754"/>
      <c r="L754"/>
      <c r="M754"/>
    </row>
    <row r="755" spans="11:13">
      <c r="K755"/>
      <c r="L755"/>
      <c r="M755"/>
    </row>
    <row r="756" spans="11:13">
      <c r="K756"/>
      <c r="L756"/>
      <c r="M756"/>
    </row>
    <row r="757" spans="11:13">
      <c r="K757"/>
      <c r="L757"/>
      <c r="M757"/>
    </row>
    <row r="758" spans="11:13">
      <c r="K758"/>
      <c r="L758"/>
      <c r="M758"/>
    </row>
    <row r="759" spans="11:13">
      <c r="K759"/>
      <c r="L759"/>
      <c r="M759"/>
    </row>
    <row r="760" spans="11:13">
      <c r="K760"/>
      <c r="L760"/>
      <c r="M760"/>
    </row>
    <row r="761" spans="11:13">
      <c r="K761"/>
      <c r="L761"/>
      <c r="M761"/>
    </row>
    <row r="762" spans="11:13">
      <c r="K762"/>
      <c r="L762"/>
      <c r="M762"/>
    </row>
    <row r="763" spans="11:13">
      <c r="K763"/>
      <c r="L763"/>
      <c r="M763"/>
    </row>
    <row r="764" spans="11:13">
      <c r="K764"/>
      <c r="L764"/>
      <c r="M764"/>
    </row>
    <row r="765" spans="11:13">
      <c r="K765"/>
      <c r="L765"/>
      <c r="M765"/>
    </row>
    <row r="766" spans="11:13">
      <c r="K766"/>
      <c r="L766"/>
      <c r="M766"/>
    </row>
    <row r="767" spans="11:13">
      <c r="K767"/>
      <c r="L767"/>
      <c r="M767"/>
    </row>
    <row r="768" spans="11:13">
      <c r="K768"/>
      <c r="L768"/>
      <c r="M768"/>
    </row>
    <row r="769" spans="11:13">
      <c r="K769"/>
      <c r="L769"/>
      <c r="M769"/>
    </row>
    <row r="770" spans="11:13">
      <c r="K770"/>
      <c r="L770"/>
      <c r="M770"/>
    </row>
    <row r="771" spans="11:13">
      <c r="K771"/>
      <c r="L771"/>
      <c r="M771"/>
    </row>
    <row r="772" spans="11:13">
      <c r="K772"/>
      <c r="L772"/>
      <c r="M772"/>
    </row>
    <row r="773" spans="11:13">
      <c r="K773"/>
      <c r="L773"/>
      <c r="M773"/>
    </row>
    <row r="774" spans="11:13">
      <c r="K774"/>
      <c r="L774"/>
      <c r="M774"/>
    </row>
    <row r="775" spans="11:13">
      <c r="K775"/>
      <c r="L775"/>
      <c r="M775"/>
    </row>
    <row r="776" spans="11:13">
      <c r="K776"/>
      <c r="L776"/>
      <c r="M776"/>
    </row>
    <row r="777" spans="11:13">
      <c r="K777"/>
      <c r="L777"/>
      <c r="M777"/>
    </row>
    <row r="778" spans="11:13">
      <c r="K778"/>
      <c r="L778"/>
      <c r="M778"/>
    </row>
    <row r="779" spans="11:13">
      <c r="K779"/>
      <c r="L779"/>
      <c r="M779"/>
    </row>
    <row r="780" spans="11:13">
      <c r="K780"/>
      <c r="L780"/>
      <c r="M780"/>
    </row>
    <row r="781" spans="11:13">
      <c r="K781"/>
      <c r="L781"/>
      <c r="M781"/>
    </row>
    <row r="782" spans="11:13">
      <c r="K782"/>
      <c r="L782"/>
      <c r="M782"/>
    </row>
    <row r="783" spans="11:13">
      <c r="K783"/>
      <c r="L783"/>
      <c r="M783"/>
    </row>
    <row r="784" spans="11:13">
      <c r="K784"/>
      <c r="L784"/>
      <c r="M784"/>
    </row>
    <row r="785" spans="11:13">
      <c r="K785"/>
      <c r="L785"/>
      <c r="M785"/>
    </row>
    <row r="786" spans="11:13">
      <c r="K786"/>
      <c r="L786"/>
      <c r="M786"/>
    </row>
    <row r="787" spans="11:13">
      <c r="K787"/>
      <c r="L787"/>
      <c r="M787"/>
    </row>
    <row r="788" spans="11:13">
      <c r="K788"/>
      <c r="L788"/>
      <c r="M788"/>
    </row>
    <row r="789" spans="11:13">
      <c r="K789"/>
      <c r="L789"/>
      <c r="M789"/>
    </row>
    <row r="790" spans="11:13">
      <c r="K790"/>
      <c r="L790"/>
      <c r="M790"/>
    </row>
    <row r="791" spans="11:13">
      <c r="K791"/>
      <c r="L791"/>
      <c r="M791"/>
    </row>
    <row r="792" spans="11:13">
      <c r="K792"/>
      <c r="L792"/>
      <c r="M792"/>
    </row>
    <row r="793" spans="11:13">
      <c r="K793"/>
      <c r="L793"/>
      <c r="M793"/>
    </row>
    <row r="794" spans="11:13">
      <c r="K794"/>
      <c r="L794"/>
      <c r="M794"/>
    </row>
    <row r="795" spans="11:13">
      <c r="K795"/>
      <c r="L795"/>
      <c r="M795"/>
    </row>
    <row r="796" spans="11:13">
      <c r="K796"/>
      <c r="L796"/>
      <c r="M796"/>
    </row>
    <row r="797" spans="11:13">
      <c r="K797"/>
      <c r="L797"/>
      <c r="M797"/>
    </row>
    <row r="798" spans="11:13">
      <c r="K798"/>
      <c r="L798"/>
      <c r="M798"/>
    </row>
    <row r="799" spans="11:13">
      <c r="K799"/>
      <c r="L799"/>
      <c r="M799"/>
    </row>
    <row r="800" spans="11:13">
      <c r="K800"/>
      <c r="L800"/>
      <c r="M800"/>
    </row>
    <row r="801" spans="11:13">
      <c r="K801"/>
      <c r="L801"/>
      <c r="M801"/>
    </row>
    <row r="802" spans="11:13">
      <c r="K802"/>
      <c r="L802"/>
      <c r="M802"/>
    </row>
    <row r="803" spans="11:13">
      <c r="K803"/>
      <c r="L803"/>
      <c r="M803"/>
    </row>
    <row r="804" spans="11:13">
      <c r="K804"/>
      <c r="L804"/>
      <c r="M804"/>
    </row>
    <row r="805" spans="11:13">
      <c r="K805"/>
      <c r="L805"/>
      <c r="M805"/>
    </row>
    <row r="806" spans="11:13">
      <c r="K806"/>
      <c r="L806"/>
      <c r="M806"/>
    </row>
    <row r="807" spans="11:13">
      <c r="K807"/>
      <c r="L807"/>
      <c r="M807"/>
    </row>
    <row r="808" spans="11:13">
      <c r="K808"/>
      <c r="L808"/>
      <c r="M808"/>
    </row>
    <row r="809" spans="11:13">
      <c r="K809"/>
      <c r="L809"/>
      <c r="M809"/>
    </row>
    <row r="810" spans="11:13">
      <c r="K810"/>
      <c r="L810"/>
      <c r="M810"/>
    </row>
    <row r="811" spans="11:13">
      <c r="K811"/>
      <c r="L811"/>
      <c r="M811"/>
    </row>
    <row r="812" spans="11:13">
      <c r="K812"/>
      <c r="L812"/>
      <c r="M812"/>
    </row>
    <row r="813" spans="11:13">
      <c r="K813"/>
      <c r="L813"/>
      <c r="M813"/>
    </row>
    <row r="814" spans="11:13">
      <c r="K814"/>
      <c r="L814"/>
      <c r="M814"/>
    </row>
    <row r="815" spans="11:13">
      <c r="K815"/>
      <c r="L815"/>
      <c r="M815"/>
    </row>
    <row r="816" spans="11:13">
      <c r="K816"/>
      <c r="L816"/>
      <c r="M816"/>
    </row>
    <row r="817" spans="11:13">
      <c r="K817"/>
      <c r="L817"/>
      <c r="M817"/>
    </row>
    <row r="818" spans="11:13">
      <c r="K818"/>
      <c r="L818"/>
      <c r="M818"/>
    </row>
    <row r="819" spans="11:13">
      <c r="K819"/>
      <c r="L819"/>
      <c r="M819"/>
    </row>
    <row r="820" spans="11:13">
      <c r="K820"/>
      <c r="L820"/>
      <c r="M820"/>
    </row>
    <row r="821" spans="11:13">
      <c r="K821"/>
      <c r="L821"/>
      <c r="M821"/>
    </row>
    <row r="822" spans="11:13">
      <c r="K822"/>
      <c r="L822"/>
      <c r="M822"/>
    </row>
    <row r="823" spans="11:13">
      <c r="K823"/>
      <c r="L823"/>
      <c r="M823"/>
    </row>
    <row r="824" spans="11:13">
      <c r="K824"/>
      <c r="L824"/>
      <c r="M824"/>
    </row>
    <row r="825" spans="11:13">
      <c r="K825"/>
      <c r="L825"/>
      <c r="M825"/>
    </row>
    <row r="826" spans="11:13">
      <c r="K826"/>
      <c r="L826"/>
      <c r="M826"/>
    </row>
    <row r="827" spans="11:13">
      <c r="K827"/>
      <c r="L827"/>
      <c r="M827"/>
    </row>
    <row r="828" spans="11:13">
      <c r="K828"/>
      <c r="L828"/>
      <c r="M828"/>
    </row>
    <row r="829" spans="11:13">
      <c r="K829"/>
      <c r="L829"/>
      <c r="M829"/>
    </row>
    <row r="830" spans="11:13">
      <c r="K830"/>
      <c r="L830"/>
      <c r="M830"/>
    </row>
    <row r="831" spans="11:13">
      <c r="K831"/>
      <c r="L831"/>
      <c r="M831"/>
    </row>
    <row r="832" spans="11:13">
      <c r="K832"/>
      <c r="L832"/>
      <c r="M832"/>
    </row>
    <row r="833" spans="11:13">
      <c r="K833"/>
      <c r="L833"/>
      <c r="M833"/>
    </row>
    <row r="834" spans="11:13">
      <c r="K834"/>
      <c r="L834"/>
      <c r="M834"/>
    </row>
    <row r="835" spans="11:13">
      <c r="K835"/>
      <c r="L835"/>
      <c r="M835"/>
    </row>
    <row r="836" spans="11:13">
      <c r="K836"/>
      <c r="L836"/>
      <c r="M836"/>
    </row>
    <row r="837" spans="11:13">
      <c r="K837"/>
      <c r="L837"/>
      <c r="M837"/>
    </row>
    <row r="838" spans="11:13">
      <c r="K838"/>
      <c r="L838"/>
      <c r="M838"/>
    </row>
    <row r="839" spans="11:13">
      <c r="K839"/>
      <c r="L839"/>
      <c r="M839"/>
    </row>
    <row r="840" spans="11:13">
      <c r="K840"/>
      <c r="L840"/>
      <c r="M840"/>
    </row>
    <row r="841" spans="11:13">
      <c r="K841"/>
      <c r="L841"/>
      <c r="M841"/>
    </row>
    <row r="842" spans="11:13">
      <c r="K842"/>
      <c r="L842"/>
      <c r="M842"/>
    </row>
    <row r="843" spans="11:13">
      <c r="K843"/>
      <c r="L843"/>
      <c r="M843"/>
    </row>
    <row r="844" spans="11:13">
      <c r="K844"/>
      <c r="L844"/>
      <c r="M844"/>
    </row>
    <row r="845" spans="11:13">
      <c r="K845"/>
      <c r="L845"/>
      <c r="M845"/>
    </row>
    <row r="846" spans="11:13">
      <c r="K846"/>
      <c r="L846"/>
      <c r="M846"/>
    </row>
    <row r="847" spans="11:13">
      <c r="K847"/>
      <c r="L847"/>
      <c r="M847"/>
    </row>
    <row r="848" spans="11:13">
      <c r="K848"/>
      <c r="L848"/>
      <c r="M848"/>
    </row>
    <row r="849" spans="11:13">
      <c r="K849"/>
      <c r="L849"/>
      <c r="M849"/>
    </row>
    <row r="850" spans="11:13">
      <c r="K850"/>
      <c r="L850"/>
      <c r="M850"/>
    </row>
    <row r="851" spans="11:13">
      <c r="K851"/>
      <c r="L851"/>
      <c r="M851"/>
    </row>
    <row r="852" spans="11:13">
      <c r="K852"/>
      <c r="L852"/>
      <c r="M852"/>
    </row>
    <row r="853" spans="11:13">
      <c r="K853"/>
      <c r="L853"/>
      <c r="M853"/>
    </row>
    <row r="854" spans="11:13">
      <c r="K854"/>
      <c r="L854"/>
      <c r="M854"/>
    </row>
    <row r="855" spans="11:13">
      <c r="K855"/>
      <c r="L855"/>
      <c r="M855"/>
    </row>
    <row r="856" spans="11:13">
      <c r="K856"/>
      <c r="L856"/>
      <c r="M856"/>
    </row>
    <row r="857" spans="11:13">
      <c r="K857"/>
      <c r="L857"/>
      <c r="M857"/>
    </row>
    <row r="858" spans="11:13">
      <c r="K858"/>
      <c r="L858"/>
      <c r="M858"/>
    </row>
    <row r="859" spans="11:13">
      <c r="K859"/>
      <c r="L859"/>
      <c r="M859"/>
    </row>
    <row r="860" spans="11:13">
      <c r="K860"/>
      <c r="L860"/>
      <c r="M860"/>
    </row>
    <row r="861" spans="11:13">
      <c r="K861"/>
      <c r="L861"/>
      <c r="M861"/>
    </row>
    <row r="862" spans="11:13">
      <c r="K862"/>
      <c r="L862"/>
      <c r="M862"/>
    </row>
    <row r="863" spans="11:13">
      <c r="K863"/>
      <c r="L863"/>
      <c r="M863"/>
    </row>
    <row r="864" spans="11:13">
      <c r="K864"/>
      <c r="L864"/>
      <c r="M864"/>
    </row>
    <row r="865" spans="11:13">
      <c r="K865"/>
      <c r="L865"/>
      <c r="M865"/>
    </row>
    <row r="866" spans="11:13">
      <c r="K866"/>
      <c r="L866"/>
      <c r="M866"/>
    </row>
    <row r="867" spans="11:13">
      <c r="K867"/>
      <c r="L867"/>
      <c r="M867"/>
    </row>
    <row r="868" spans="11:13">
      <c r="K868"/>
      <c r="L868"/>
      <c r="M868"/>
    </row>
    <row r="869" spans="11:13">
      <c r="K869"/>
      <c r="L869"/>
      <c r="M869"/>
    </row>
    <row r="870" spans="11:13">
      <c r="K870"/>
      <c r="L870"/>
      <c r="M870"/>
    </row>
    <row r="871" spans="11:13">
      <c r="K871"/>
      <c r="L871"/>
      <c r="M871"/>
    </row>
    <row r="872" spans="11:13">
      <c r="K872"/>
      <c r="L872"/>
      <c r="M872"/>
    </row>
    <row r="873" spans="11:13">
      <c r="K873"/>
      <c r="L873"/>
      <c r="M873"/>
    </row>
    <row r="874" spans="11:13">
      <c r="K874"/>
      <c r="L874"/>
      <c r="M874"/>
    </row>
    <row r="875" spans="11:13">
      <c r="K875"/>
      <c r="L875"/>
      <c r="M875"/>
    </row>
    <row r="876" spans="11:13">
      <c r="K876"/>
      <c r="L876"/>
      <c r="M876"/>
    </row>
    <row r="877" spans="11:13">
      <c r="K877"/>
      <c r="L877"/>
      <c r="M877"/>
    </row>
    <row r="878" spans="11:13">
      <c r="K878"/>
      <c r="L878"/>
      <c r="M878"/>
    </row>
    <row r="879" spans="11:13">
      <c r="K879"/>
      <c r="L879"/>
      <c r="M879"/>
    </row>
    <row r="880" spans="11:13">
      <c r="K880"/>
      <c r="L880"/>
      <c r="M880"/>
    </row>
    <row r="881" spans="11:13">
      <c r="K881"/>
      <c r="L881"/>
      <c r="M881"/>
    </row>
    <row r="882" spans="11:13">
      <c r="K882"/>
      <c r="L882"/>
      <c r="M882"/>
    </row>
    <row r="883" spans="11:13">
      <c r="K883"/>
      <c r="L883"/>
      <c r="M883"/>
    </row>
    <row r="884" spans="11:13">
      <c r="K884"/>
      <c r="L884"/>
      <c r="M884"/>
    </row>
    <row r="885" spans="11:13">
      <c r="K885"/>
      <c r="L885"/>
      <c r="M885"/>
    </row>
    <row r="886" spans="11:13">
      <c r="K886"/>
      <c r="L886"/>
      <c r="M886"/>
    </row>
    <row r="887" spans="11:13">
      <c r="K887"/>
      <c r="L887"/>
      <c r="M887"/>
    </row>
    <row r="888" spans="11:13">
      <c r="K888"/>
      <c r="L888"/>
      <c r="M888"/>
    </row>
    <row r="889" spans="11:13">
      <c r="K889"/>
      <c r="L889"/>
      <c r="M889"/>
    </row>
    <row r="890" spans="11:13">
      <c r="K890"/>
      <c r="L890"/>
      <c r="M890"/>
    </row>
    <row r="891" spans="11:13">
      <c r="K891"/>
      <c r="L891"/>
      <c r="M891"/>
    </row>
    <row r="892" spans="11:13">
      <c r="K892"/>
      <c r="L892"/>
      <c r="M892"/>
    </row>
    <row r="893" spans="11:13">
      <c r="K893"/>
      <c r="L893"/>
      <c r="M893"/>
    </row>
    <row r="894" spans="11:13">
      <c r="K894"/>
      <c r="L894"/>
      <c r="M894"/>
    </row>
    <row r="895" spans="11:13">
      <c r="K895"/>
      <c r="L895"/>
      <c r="M895"/>
    </row>
    <row r="896" spans="11:13">
      <c r="K896"/>
      <c r="L896"/>
      <c r="M896"/>
    </row>
    <row r="897" spans="11:13">
      <c r="K897"/>
      <c r="L897"/>
      <c r="M897"/>
    </row>
    <row r="898" spans="11:13">
      <c r="K898"/>
      <c r="L898"/>
      <c r="M898"/>
    </row>
    <row r="899" spans="11:13">
      <c r="K899"/>
      <c r="L899"/>
      <c r="M899"/>
    </row>
    <row r="900" spans="11:13">
      <c r="K900"/>
      <c r="L900"/>
      <c r="M900"/>
    </row>
    <row r="901" spans="11:13">
      <c r="K901"/>
      <c r="L901"/>
      <c r="M901"/>
    </row>
    <row r="902" spans="11:13">
      <c r="K902"/>
      <c r="L902"/>
      <c r="M902"/>
    </row>
    <row r="903" spans="11:13">
      <c r="K903"/>
      <c r="L903"/>
      <c r="M903"/>
    </row>
    <row r="904" spans="11:13">
      <c r="K904"/>
      <c r="L904"/>
      <c r="M904"/>
    </row>
    <row r="905" spans="11:13">
      <c r="K905"/>
      <c r="L905"/>
      <c r="M905"/>
    </row>
    <row r="906" spans="11:13">
      <c r="K906"/>
      <c r="L906"/>
      <c r="M906"/>
    </row>
    <row r="907" spans="11:13">
      <c r="K907"/>
      <c r="L907"/>
      <c r="M907"/>
    </row>
    <row r="908" spans="11:13">
      <c r="K908"/>
      <c r="L908"/>
      <c r="M908"/>
    </row>
    <row r="909" spans="11:13">
      <c r="K909"/>
      <c r="L909"/>
      <c r="M909"/>
    </row>
    <row r="910" spans="11:13">
      <c r="K910"/>
      <c r="L910"/>
      <c r="M910"/>
    </row>
    <row r="911" spans="11:13">
      <c r="K911"/>
      <c r="L911"/>
      <c r="M911"/>
    </row>
    <row r="912" spans="11:13">
      <c r="K912"/>
      <c r="L912"/>
      <c r="M912"/>
    </row>
    <row r="913" spans="11:13">
      <c r="K913"/>
      <c r="L913"/>
      <c r="M913"/>
    </row>
    <row r="914" spans="11:13">
      <c r="K914"/>
      <c r="L914"/>
      <c r="M914"/>
    </row>
    <row r="915" spans="11:13">
      <c r="K915"/>
      <c r="L915"/>
      <c r="M915"/>
    </row>
    <row r="916" spans="11:13">
      <c r="K916"/>
      <c r="L916"/>
      <c r="M916"/>
    </row>
    <row r="917" spans="11:13">
      <c r="K917"/>
      <c r="L917"/>
      <c r="M917"/>
    </row>
    <row r="918" spans="11:13">
      <c r="K918"/>
      <c r="L918"/>
      <c r="M918"/>
    </row>
    <row r="919" spans="11:13">
      <c r="K919"/>
      <c r="L919"/>
      <c r="M919"/>
    </row>
    <row r="920" spans="11:13">
      <c r="K920"/>
      <c r="L920"/>
      <c r="M920"/>
    </row>
    <row r="921" spans="11:13">
      <c r="K921"/>
      <c r="L921"/>
      <c r="M921"/>
    </row>
    <row r="922" spans="11:13">
      <c r="K922"/>
      <c r="L922"/>
      <c r="M922"/>
    </row>
    <row r="923" spans="11:13">
      <c r="K923"/>
      <c r="L923"/>
      <c r="M923"/>
    </row>
    <row r="924" spans="11:13">
      <c r="K924"/>
      <c r="L924"/>
      <c r="M924"/>
    </row>
    <row r="925" spans="11:13">
      <c r="K925"/>
      <c r="L925"/>
      <c r="M925"/>
    </row>
    <row r="926" spans="11:13">
      <c r="K926"/>
      <c r="L926"/>
      <c r="M926"/>
    </row>
    <row r="927" spans="11:13">
      <c r="K927"/>
      <c r="L927"/>
      <c r="M927"/>
    </row>
    <row r="928" spans="11:13">
      <c r="K928"/>
      <c r="L928"/>
      <c r="M928"/>
    </row>
    <row r="929" spans="10:13">
      <c r="K929"/>
      <c r="L929"/>
      <c r="M929"/>
    </row>
    <row r="930" spans="10:13">
      <c r="K930"/>
      <c r="L930"/>
      <c r="M930"/>
    </row>
    <row r="931" spans="10:13">
      <c r="K931"/>
      <c r="L931"/>
      <c r="M931"/>
    </row>
    <row r="932" spans="10:13">
      <c r="K932"/>
      <c r="L932"/>
      <c r="M932"/>
    </row>
    <row r="933" spans="10:13">
      <c r="J933"/>
      <c r="K933"/>
      <c r="L933"/>
    </row>
    <row r="934" spans="10:13">
      <c r="J934"/>
      <c r="K934"/>
      <c r="L934"/>
    </row>
    <row r="935" spans="10:13">
      <c r="J935"/>
      <c r="K935"/>
      <c r="L935"/>
    </row>
    <row r="936" spans="10:13">
      <c r="J936"/>
      <c r="K936"/>
      <c r="L936"/>
    </row>
    <row r="937" spans="10:13">
      <c r="J937"/>
      <c r="K937"/>
      <c r="L937"/>
    </row>
    <row r="938" spans="10:13">
      <c r="J938"/>
      <c r="K938"/>
      <c r="L938"/>
    </row>
    <row r="939" spans="10:13">
      <c r="J939"/>
      <c r="K939"/>
      <c r="L939"/>
    </row>
    <row r="940" spans="10:13">
      <c r="J940"/>
      <c r="K940"/>
      <c r="L940"/>
    </row>
    <row r="941" spans="10:13">
      <c r="J941"/>
      <c r="K941"/>
      <c r="L941"/>
    </row>
    <row r="942" spans="10:13">
      <c r="J942"/>
      <c r="K942"/>
      <c r="L942"/>
    </row>
    <row r="943" spans="10:13">
      <c r="J943"/>
      <c r="K943"/>
      <c r="L943"/>
    </row>
    <row r="944" spans="10:13">
      <c r="J944"/>
      <c r="K944"/>
      <c r="L944"/>
    </row>
    <row r="945" spans="10:12">
      <c r="J945"/>
      <c r="K945"/>
      <c r="L945"/>
    </row>
    <row r="946" spans="10:12">
      <c r="J946"/>
      <c r="K946"/>
      <c r="L946"/>
    </row>
    <row r="947" spans="10:12">
      <c r="J947"/>
      <c r="K947"/>
      <c r="L947"/>
    </row>
    <row r="948" spans="10:12">
      <c r="J948"/>
      <c r="K948"/>
      <c r="L948"/>
    </row>
    <row r="949" spans="10:12">
      <c r="J949"/>
      <c r="K949"/>
      <c r="L949"/>
    </row>
    <row r="950" spans="10:12">
      <c r="J950"/>
      <c r="K950"/>
      <c r="L950"/>
    </row>
    <row r="951" spans="10:12">
      <c r="J951"/>
      <c r="K951"/>
      <c r="L951"/>
    </row>
    <row r="952" spans="10:12">
      <c r="J952"/>
      <c r="K952"/>
      <c r="L952"/>
    </row>
    <row r="953" spans="10:12">
      <c r="J953"/>
      <c r="K953"/>
      <c r="L953"/>
    </row>
    <row r="954" spans="10:12">
      <c r="J954"/>
      <c r="K954"/>
      <c r="L954"/>
    </row>
    <row r="955" spans="10:12">
      <c r="J955"/>
      <c r="K955"/>
      <c r="L955"/>
    </row>
    <row r="956" spans="10:12">
      <c r="J956"/>
      <c r="K956"/>
      <c r="L956"/>
    </row>
    <row r="957" spans="10:12">
      <c r="J957"/>
      <c r="K957"/>
      <c r="L957"/>
    </row>
    <row r="958" spans="10:12">
      <c r="J958"/>
      <c r="K958"/>
      <c r="L958"/>
    </row>
    <row r="959" spans="10:12">
      <c r="J959"/>
      <c r="K959"/>
      <c r="L959"/>
    </row>
    <row r="960" spans="10:12">
      <c r="J960"/>
      <c r="K960"/>
      <c r="L960"/>
    </row>
    <row r="961" spans="10:12">
      <c r="J961"/>
      <c r="K961"/>
      <c r="L961"/>
    </row>
    <row r="962" spans="10:12">
      <c r="J962"/>
      <c r="K962"/>
      <c r="L962"/>
    </row>
    <row r="963" spans="10:12">
      <c r="J963"/>
      <c r="K963"/>
      <c r="L963"/>
    </row>
    <row r="964" spans="10:12">
      <c r="J964"/>
      <c r="K964"/>
      <c r="L964"/>
    </row>
    <row r="965" spans="10:12">
      <c r="J965"/>
      <c r="K965"/>
      <c r="L965"/>
    </row>
    <row r="966" spans="10:12">
      <c r="J966"/>
      <c r="K966"/>
      <c r="L966"/>
    </row>
    <row r="967" spans="10:12">
      <c r="J967"/>
      <c r="K967"/>
      <c r="L967"/>
    </row>
    <row r="968" spans="10:12">
      <c r="J968"/>
      <c r="K968"/>
      <c r="L968"/>
    </row>
    <row r="969" spans="10:12">
      <c r="J969"/>
      <c r="K969"/>
      <c r="L969"/>
    </row>
    <row r="970" spans="10:12">
      <c r="J970"/>
      <c r="K970"/>
      <c r="L970"/>
    </row>
    <row r="971" spans="10:12">
      <c r="J971"/>
      <c r="K971"/>
      <c r="L971"/>
    </row>
    <row r="972" spans="10:12">
      <c r="J972"/>
      <c r="K972"/>
      <c r="L972"/>
    </row>
    <row r="973" spans="10:12">
      <c r="J973"/>
      <c r="K973"/>
      <c r="L973"/>
    </row>
    <row r="974" spans="10:12">
      <c r="J974"/>
      <c r="K974"/>
      <c r="L974"/>
    </row>
    <row r="975" spans="10:12">
      <c r="J975"/>
      <c r="K975"/>
      <c r="L975"/>
    </row>
    <row r="976" spans="10:12">
      <c r="J976"/>
      <c r="K976"/>
      <c r="L976"/>
    </row>
    <row r="977" spans="10:12">
      <c r="J977"/>
      <c r="K977"/>
      <c r="L977"/>
    </row>
    <row r="978" spans="10:12">
      <c r="J978"/>
      <c r="K978"/>
      <c r="L978"/>
    </row>
    <row r="979" spans="10:12">
      <c r="J979"/>
      <c r="K979"/>
      <c r="L979"/>
    </row>
    <row r="980" spans="10:12">
      <c r="J980"/>
      <c r="K980"/>
      <c r="L980"/>
    </row>
    <row r="981" spans="10:12">
      <c r="J981"/>
      <c r="K981"/>
      <c r="L981"/>
    </row>
    <row r="982" spans="10:12">
      <c r="J982"/>
      <c r="K982"/>
      <c r="L982"/>
    </row>
    <row r="983" spans="10:12">
      <c r="J983"/>
      <c r="K983"/>
      <c r="L983"/>
    </row>
    <row r="984" spans="10:12">
      <c r="J984"/>
      <c r="K984"/>
      <c r="L984"/>
    </row>
    <row r="985" spans="10:12">
      <c r="J985"/>
      <c r="K985"/>
      <c r="L985"/>
    </row>
    <row r="986" spans="10:12">
      <c r="J986"/>
      <c r="K986"/>
      <c r="L986"/>
    </row>
    <row r="987" spans="10:12">
      <c r="J987"/>
      <c r="K987"/>
      <c r="L987"/>
    </row>
    <row r="988" spans="10:12">
      <c r="J988"/>
      <c r="K988"/>
      <c r="L988"/>
    </row>
    <row r="989" spans="10:12">
      <c r="J989"/>
      <c r="K989"/>
      <c r="L989"/>
    </row>
    <row r="990" spans="10:12">
      <c r="J990"/>
      <c r="K990"/>
      <c r="L990"/>
    </row>
    <row r="991" spans="10:12">
      <c r="J991"/>
      <c r="K991"/>
      <c r="L991"/>
    </row>
    <row r="992" spans="10:12">
      <c r="J992"/>
      <c r="K992"/>
      <c r="L992"/>
    </row>
    <row r="993" spans="10:12">
      <c r="J993"/>
      <c r="K993"/>
      <c r="L993"/>
    </row>
    <row r="994" spans="10:12">
      <c r="J994"/>
      <c r="K994"/>
      <c r="L994"/>
    </row>
    <row r="995" spans="10:12">
      <c r="J995"/>
      <c r="K995"/>
      <c r="L995"/>
    </row>
    <row r="996" spans="10:12">
      <c r="J996"/>
      <c r="K996"/>
      <c r="L996"/>
    </row>
    <row r="997" spans="10:12">
      <c r="J997"/>
      <c r="K997"/>
      <c r="L997"/>
    </row>
    <row r="998" spans="10:12">
      <c r="J998"/>
      <c r="K998"/>
      <c r="L998"/>
    </row>
    <row r="999" spans="10:12">
      <c r="J999"/>
      <c r="K999"/>
      <c r="L999"/>
    </row>
    <row r="1000" spans="10:12">
      <c r="J1000"/>
      <c r="K1000"/>
      <c r="L1000"/>
    </row>
    <row r="1001" spans="10:12">
      <c r="J1001"/>
      <c r="K1001"/>
      <c r="L1001"/>
    </row>
    <row r="1002" spans="10:12">
      <c r="J1002"/>
      <c r="K1002"/>
      <c r="L1002"/>
    </row>
    <row r="1003" spans="10:12">
      <c r="J1003"/>
      <c r="K1003"/>
      <c r="L1003"/>
    </row>
    <row r="1004" spans="10:12">
      <c r="J1004"/>
      <c r="K1004"/>
      <c r="L1004"/>
    </row>
    <row r="1005" spans="10:12">
      <c r="J1005"/>
      <c r="K1005"/>
      <c r="L1005"/>
    </row>
    <row r="1006" spans="10:12">
      <c r="J1006"/>
      <c r="K1006"/>
      <c r="L1006"/>
    </row>
    <row r="1007" spans="10:12">
      <c r="J1007"/>
      <c r="K1007"/>
      <c r="L1007"/>
    </row>
    <row r="1008" spans="10:12">
      <c r="J1008"/>
      <c r="K1008"/>
      <c r="L1008"/>
    </row>
    <row r="1009" spans="10:12">
      <c r="J1009"/>
      <c r="K1009"/>
      <c r="L1009"/>
    </row>
    <row r="1010" spans="10:12">
      <c r="J1010"/>
      <c r="K1010"/>
      <c r="L1010"/>
    </row>
    <row r="1011" spans="10:12">
      <c r="J1011"/>
      <c r="K1011"/>
      <c r="L1011"/>
    </row>
    <row r="1012" spans="10:12">
      <c r="J1012"/>
      <c r="K1012"/>
      <c r="L1012"/>
    </row>
    <row r="1013" spans="10:12">
      <c r="J1013"/>
      <c r="K1013"/>
      <c r="L1013"/>
    </row>
    <row r="1014" spans="10:12">
      <c r="J1014"/>
      <c r="K1014"/>
      <c r="L1014"/>
    </row>
    <row r="1015" spans="10:12">
      <c r="J1015"/>
      <c r="K1015"/>
      <c r="L1015"/>
    </row>
    <row r="1016" spans="10:12">
      <c r="J1016"/>
      <c r="K1016"/>
      <c r="L1016"/>
    </row>
    <row r="1017" spans="10:12">
      <c r="J1017"/>
      <c r="K1017"/>
      <c r="L1017"/>
    </row>
    <row r="1018" spans="10:12">
      <c r="J1018"/>
      <c r="K1018"/>
      <c r="L1018"/>
    </row>
    <row r="1019" spans="10:12">
      <c r="J1019"/>
      <c r="K1019"/>
      <c r="L1019"/>
    </row>
    <row r="1020" spans="10:12">
      <c r="J1020"/>
      <c r="K1020"/>
      <c r="L1020"/>
    </row>
    <row r="1021" spans="10:12">
      <c r="J1021"/>
      <c r="K1021"/>
      <c r="L1021"/>
    </row>
    <row r="1022" spans="10:12">
      <c r="J1022"/>
      <c r="K1022"/>
      <c r="L1022"/>
    </row>
    <row r="1023" spans="10:12">
      <c r="J1023"/>
      <c r="K1023"/>
      <c r="L1023"/>
    </row>
    <row r="1024" spans="10:12">
      <c r="J1024"/>
      <c r="K1024"/>
      <c r="L1024"/>
    </row>
    <row r="1025" spans="10:12">
      <c r="J1025"/>
      <c r="K1025"/>
      <c r="L1025"/>
    </row>
    <row r="1026" spans="10:12">
      <c r="J1026"/>
      <c r="K1026"/>
      <c r="L1026"/>
    </row>
    <row r="1027" spans="10:12">
      <c r="J1027"/>
      <c r="K1027"/>
      <c r="L1027"/>
    </row>
    <row r="1028" spans="10:12">
      <c r="J1028"/>
      <c r="K1028"/>
      <c r="L1028"/>
    </row>
    <row r="1029" spans="10:12">
      <c r="J1029"/>
      <c r="K1029"/>
      <c r="L1029"/>
    </row>
    <row r="1030" spans="10:12">
      <c r="J1030"/>
      <c r="K1030"/>
      <c r="L1030"/>
    </row>
    <row r="1031" spans="10:12">
      <c r="J1031"/>
      <c r="K1031"/>
      <c r="L1031"/>
    </row>
    <row r="1032" spans="10:12">
      <c r="J1032"/>
      <c r="K1032"/>
      <c r="L1032"/>
    </row>
    <row r="1033" spans="10:12">
      <c r="J1033"/>
      <c r="K1033"/>
      <c r="L1033"/>
    </row>
    <row r="1034" spans="10:12">
      <c r="J1034"/>
      <c r="K1034"/>
      <c r="L1034"/>
    </row>
    <row r="1035" spans="10:12">
      <c r="J1035"/>
      <c r="K1035"/>
      <c r="L1035"/>
    </row>
    <row r="1036" spans="10:12">
      <c r="J1036"/>
      <c r="K1036"/>
      <c r="L1036"/>
    </row>
    <row r="1037" spans="10:12">
      <c r="J1037"/>
      <c r="K1037"/>
      <c r="L1037"/>
    </row>
    <row r="1038" spans="10:12">
      <c r="J1038"/>
      <c r="K1038"/>
      <c r="L1038"/>
    </row>
    <row r="1039" spans="10:12">
      <c r="J1039"/>
      <c r="K1039"/>
      <c r="L1039"/>
    </row>
    <row r="1040" spans="10:12">
      <c r="J1040"/>
      <c r="K1040"/>
      <c r="L1040"/>
    </row>
    <row r="1041" spans="10:12">
      <c r="J1041"/>
      <c r="K1041"/>
      <c r="L1041"/>
    </row>
    <row r="1042" spans="10:12">
      <c r="J1042"/>
      <c r="K1042"/>
      <c r="L1042"/>
    </row>
    <row r="1043" spans="10:12">
      <c r="J1043"/>
      <c r="K1043"/>
      <c r="L1043"/>
    </row>
    <row r="1044" spans="10:12">
      <c r="J1044"/>
      <c r="K1044"/>
      <c r="L1044"/>
    </row>
    <row r="1045" spans="10:12">
      <c r="J1045"/>
      <c r="K1045"/>
      <c r="L1045"/>
    </row>
    <row r="1046" spans="10:12">
      <c r="J1046"/>
      <c r="K1046"/>
      <c r="L1046"/>
    </row>
    <row r="1047" spans="10:12">
      <c r="J1047"/>
      <c r="K1047"/>
      <c r="L1047"/>
    </row>
    <row r="1048" spans="10:12">
      <c r="J1048"/>
      <c r="K1048"/>
      <c r="L1048"/>
    </row>
    <row r="1049" spans="10:12">
      <c r="J1049"/>
      <c r="K1049"/>
      <c r="L1049"/>
    </row>
    <row r="1050" spans="10:12">
      <c r="J1050"/>
      <c r="K1050"/>
      <c r="L1050"/>
    </row>
    <row r="1051" spans="10:12">
      <c r="J1051"/>
      <c r="K1051"/>
      <c r="L1051"/>
    </row>
    <row r="1052" spans="10:12">
      <c r="J1052"/>
      <c r="K1052"/>
      <c r="L1052"/>
    </row>
    <row r="1053" spans="10:12">
      <c r="J1053"/>
      <c r="K1053"/>
      <c r="L1053"/>
    </row>
    <row r="1054" spans="10:12">
      <c r="J1054"/>
      <c r="K1054"/>
      <c r="L1054"/>
    </row>
    <row r="1055" spans="10:12">
      <c r="J1055"/>
      <c r="K1055"/>
      <c r="L1055"/>
    </row>
    <row r="1056" spans="10:12">
      <c r="J1056"/>
      <c r="K1056"/>
      <c r="L1056"/>
    </row>
    <row r="1057" spans="10:12">
      <c r="J1057"/>
      <c r="K1057"/>
      <c r="L1057"/>
    </row>
    <row r="1058" spans="10:12">
      <c r="J1058"/>
      <c r="K1058"/>
      <c r="L1058"/>
    </row>
    <row r="1059" spans="10:12">
      <c r="J1059"/>
      <c r="K1059"/>
      <c r="L1059"/>
    </row>
    <row r="1060" spans="10:12">
      <c r="J1060"/>
      <c r="K1060"/>
      <c r="L1060"/>
    </row>
    <row r="1061" spans="10:12">
      <c r="J1061"/>
      <c r="K1061"/>
      <c r="L1061"/>
    </row>
    <row r="1062" spans="10:12">
      <c r="J1062"/>
      <c r="K1062"/>
      <c r="L1062"/>
    </row>
    <row r="1063" spans="10:12">
      <c r="J1063"/>
      <c r="K1063"/>
      <c r="L1063"/>
    </row>
    <row r="1064" spans="10:12">
      <c r="J1064"/>
      <c r="K1064"/>
      <c r="L1064"/>
    </row>
    <row r="1065" spans="10:12">
      <c r="J1065"/>
      <c r="K1065"/>
      <c r="L1065"/>
    </row>
    <row r="1066" spans="10:12">
      <c r="J1066"/>
      <c r="K1066"/>
      <c r="L1066"/>
    </row>
    <row r="1067" spans="10:12">
      <c r="J1067"/>
      <c r="K1067"/>
      <c r="L1067"/>
    </row>
    <row r="1068" spans="10:12">
      <c r="J1068"/>
      <c r="K1068"/>
      <c r="L1068"/>
    </row>
    <row r="1069" spans="10:12">
      <c r="J1069"/>
      <c r="K1069"/>
      <c r="L1069"/>
    </row>
    <row r="1070" spans="10:12">
      <c r="J1070"/>
      <c r="K1070"/>
      <c r="L1070"/>
    </row>
    <row r="1071" spans="10:12">
      <c r="J1071"/>
      <c r="K1071"/>
      <c r="L1071"/>
    </row>
    <row r="1072" spans="10:12">
      <c r="J1072"/>
      <c r="K1072"/>
      <c r="L1072"/>
    </row>
    <row r="1073" spans="10:12">
      <c r="J1073"/>
      <c r="K1073"/>
      <c r="L1073"/>
    </row>
    <row r="1074" spans="10:12">
      <c r="J1074"/>
      <c r="K1074"/>
      <c r="L1074"/>
    </row>
    <row r="1075" spans="10:12">
      <c r="J1075"/>
      <c r="K1075"/>
      <c r="L1075"/>
    </row>
    <row r="1076" spans="10:12">
      <c r="J1076"/>
      <c r="K1076"/>
      <c r="L1076"/>
    </row>
    <row r="1077" spans="10:12">
      <c r="J1077"/>
      <c r="K1077"/>
      <c r="L1077"/>
    </row>
    <row r="1078" spans="10:12">
      <c r="J1078"/>
      <c r="K1078"/>
      <c r="L1078"/>
    </row>
    <row r="1079" spans="10:12">
      <c r="J1079"/>
      <c r="K1079"/>
      <c r="L1079"/>
    </row>
    <row r="1080" spans="10:12">
      <c r="J1080"/>
      <c r="K1080"/>
      <c r="L1080"/>
    </row>
    <row r="1081" spans="10:12">
      <c r="J1081"/>
      <c r="K1081"/>
      <c r="L1081"/>
    </row>
    <row r="1082" spans="10:12">
      <c r="J1082"/>
      <c r="K1082"/>
      <c r="L1082"/>
    </row>
    <row r="1083" spans="10:12">
      <c r="J1083"/>
      <c r="K1083"/>
      <c r="L1083"/>
    </row>
    <row r="1084" spans="10:12">
      <c r="J1084"/>
      <c r="K1084"/>
      <c r="L1084"/>
    </row>
    <row r="1085" spans="10:12">
      <c r="J1085"/>
      <c r="K1085"/>
      <c r="L1085"/>
    </row>
    <row r="1086" spans="10:12">
      <c r="J1086"/>
      <c r="K1086"/>
      <c r="L1086"/>
    </row>
    <row r="1087" spans="10:12">
      <c r="J1087"/>
      <c r="K1087"/>
      <c r="L1087"/>
    </row>
    <row r="1088" spans="10:12">
      <c r="J1088"/>
      <c r="K1088"/>
      <c r="L1088"/>
    </row>
    <row r="1089" spans="10:12">
      <c r="J1089"/>
      <c r="K1089"/>
      <c r="L1089"/>
    </row>
    <row r="1090" spans="10:12">
      <c r="J1090"/>
      <c r="K1090"/>
      <c r="L1090"/>
    </row>
    <row r="1091" spans="10:12">
      <c r="J1091"/>
      <c r="K1091"/>
      <c r="L1091"/>
    </row>
    <row r="1092" spans="10:12">
      <c r="J1092"/>
      <c r="K1092"/>
      <c r="L1092"/>
    </row>
    <row r="1093" spans="10:12">
      <c r="J1093"/>
      <c r="K1093"/>
      <c r="L1093"/>
    </row>
    <row r="1094" spans="10:12">
      <c r="J1094"/>
      <c r="K1094"/>
      <c r="L1094"/>
    </row>
    <row r="1095" spans="10:12">
      <c r="J1095"/>
      <c r="K1095"/>
      <c r="L1095"/>
    </row>
    <row r="1096" spans="10:12">
      <c r="J1096"/>
      <c r="K1096"/>
      <c r="L1096"/>
    </row>
    <row r="1097" spans="10:12">
      <c r="J1097"/>
      <c r="K1097"/>
      <c r="L1097"/>
    </row>
    <row r="1098" spans="10:12">
      <c r="J1098"/>
      <c r="K1098"/>
      <c r="L1098"/>
    </row>
    <row r="1099" spans="10:12">
      <c r="J1099"/>
      <c r="K1099"/>
      <c r="L1099"/>
    </row>
    <row r="1100" spans="10:12">
      <c r="J1100"/>
      <c r="K1100"/>
      <c r="L1100"/>
    </row>
    <row r="1101" spans="10:12">
      <c r="J1101"/>
      <c r="K1101"/>
      <c r="L1101"/>
    </row>
    <row r="1102" spans="10:12">
      <c r="J1102"/>
      <c r="K1102"/>
      <c r="L1102"/>
    </row>
    <row r="1103" spans="10:12">
      <c r="J1103"/>
      <c r="K1103"/>
      <c r="L1103"/>
    </row>
    <row r="1104" spans="10:12">
      <c r="J1104"/>
      <c r="K1104"/>
      <c r="L1104"/>
    </row>
    <row r="1105" spans="10:12">
      <c r="J1105"/>
      <c r="K1105"/>
      <c r="L1105"/>
    </row>
    <row r="1106" spans="10:12">
      <c r="J1106"/>
      <c r="K1106"/>
      <c r="L1106"/>
    </row>
    <row r="1107" spans="10:12">
      <c r="J1107"/>
      <c r="K1107"/>
      <c r="L1107"/>
    </row>
    <row r="1108" spans="10:12">
      <c r="J1108"/>
      <c r="K1108"/>
      <c r="L1108"/>
    </row>
    <row r="1109" spans="10:12">
      <c r="J1109"/>
      <c r="K1109"/>
      <c r="L1109"/>
    </row>
    <row r="1110" spans="10:12">
      <c r="J1110"/>
      <c r="K1110"/>
      <c r="L1110"/>
    </row>
    <row r="1111" spans="10:12">
      <c r="J1111"/>
      <c r="K1111"/>
      <c r="L1111"/>
    </row>
    <row r="1112" spans="10:12">
      <c r="J1112"/>
      <c r="K1112"/>
      <c r="L1112"/>
    </row>
    <row r="1113" spans="10:12">
      <c r="J1113"/>
      <c r="K1113"/>
      <c r="L1113"/>
    </row>
    <row r="1114" spans="10:12">
      <c r="J1114"/>
      <c r="K1114"/>
      <c r="L1114"/>
    </row>
    <row r="1115" spans="10:12">
      <c r="J1115"/>
      <c r="K1115"/>
      <c r="L1115"/>
    </row>
    <row r="1116" spans="10:12">
      <c r="J1116"/>
      <c r="K1116"/>
      <c r="L1116"/>
    </row>
    <row r="1117" spans="10:12">
      <c r="J1117"/>
      <c r="K1117"/>
      <c r="L1117"/>
    </row>
    <row r="1118" spans="10:12">
      <c r="J1118"/>
      <c r="K1118"/>
      <c r="L1118"/>
    </row>
    <row r="1119" spans="10:12">
      <c r="J1119"/>
      <c r="K1119"/>
      <c r="L1119"/>
    </row>
    <row r="1120" spans="10:12">
      <c r="J1120"/>
      <c r="K1120"/>
      <c r="L1120"/>
    </row>
    <row r="1121" spans="10:12">
      <c r="J1121"/>
      <c r="K1121"/>
      <c r="L1121"/>
    </row>
    <row r="1122" spans="10:12">
      <c r="J1122"/>
      <c r="K1122"/>
      <c r="L1122"/>
    </row>
    <row r="1123" spans="10:12">
      <c r="J1123"/>
      <c r="K1123"/>
      <c r="L1123"/>
    </row>
    <row r="1124" spans="10:12">
      <c r="J1124"/>
      <c r="K1124"/>
      <c r="L1124"/>
    </row>
    <row r="1125" spans="10:12">
      <c r="J1125"/>
      <c r="K1125"/>
      <c r="L1125"/>
    </row>
    <row r="1126" spans="10:12">
      <c r="J1126"/>
      <c r="K1126"/>
      <c r="L1126"/>
    </row>
    <row r="1127" spans="10:12">
      <c r="J1127"/>
      <c r="K1127"/>
      <c r="L1127"/>
    </row>
    <row r="1128" spans="10:12">
      <c r="J1128"/>
      <c r="K1128"/>
      <c r="L1128"/>
    </row>
    <row r="1129" spans="10:12">
      <c r="J1129"/>
      <c r="K1129"/>
      <c r="L1129"/>
    </row>
    <row r="1130" spans="10:12">
      <c r="J1130"/>
      <c r="K1130"/>
      <c r="L1130"/>
    </row>
    <row r="1131" spans="10:12">
      <c r="J1131"/>
      <c r="K1131"/>
      <c r="L1131"/>
    </row>
    <row r="1132" spans="10:12">
      <c r="J1132"/>
      <c r="K1132"/>
      <c r="L1132"/>
    </row>
    <row r="1133" spans="10:12">
      <c r="J1133"/>
      <c r="K1133"/>
      <c r="L1133"/>
    </row>
    <row r="1134" spans="10:12">
      <c r="J1134"/>
      <c r="K1134"/>
      <c r="L1134"/>
    </row>
    <row r="1135" spans="10:12">
      <c r="J1135"/>
      <c r="K1135"/>
      <c r="L1135"/>
    </row>
    <row r="1136" spans="10:12">
      <c r="J1136"/>
      <c r="K1136"/>
      <c r="L1136"/>
    </row>
    <row r="1137" spans="10:12">
      <c r="J1137"/>
      <c r="K1137"/>
      <c r="L1137"/>
    </row>
    <row r="1138" spans="10:12">
      <c r="J1138"/>
      <c r="K1138"/>
      <c r="L1138"/>
    </row>
    <row r="1139" spans="10:12">
      <c r="J1139"/>
      <c r="K1139"/>
      <c r="L1139"/>
    </row>
    <row r="1140" spans="10:12">
      <c r="J1140"/>
      <c r="K1140"/>
      <c r="L1140"/>
    </row>
    <row r="1141" spans="10:12">
      <c r="J1141"/>
      <c r="K1141"/>
      <c r="L1141"/>
    </row>
    <row r="1142" spans="10:12">
      <c r="J1142"/>
      <c r="K1142"/>
      <c r="L1142"/>
    </row>
    <row r="1143" spans="10:12">
      <c r="J1143"/>
      <c r="K1143"/>
      <c r="L1143"/>
    </row>
    <row r="1144" spans="10:12">
      <c r="J1144"/>
      <c r="K1144"/>
      <c r="L1144"/>
    </row>
    <row r="1145" spans="10:12">
      <c r="J1145"/>
      <c r="K1145"/>
      <c r="L1145"/>
    </row>
    <row r="1146" spans="10:12">
      <c r="J1146"/>
      <c r="K1146"/>
      <c r="L1146"/>
    </row>
    <row r="1147" spans="10:12">
      <c r="J1147"/>
      <c r="K1147"/>
      <c r="L1147"/>
    </row>
    <row r="1148" spans="10:12">
      <c r="J1148"/>
      <c r="K1148"/>
      <c r="L1148"/>
    </row>
    <row r="1149" spans="10:12">
      <c r="J1149"/>
      <c r="K1149"/>
      <c r="L1149"/>
    </row>
    <row r="1150" spans="10:12">
      <c r="J1150"/>
      <c r="K1150"/>
      <c r="L1150"/>
    </row>
    <row r="1151" spans="10:12">
      <c r="J1151"/>
      <c r="K1151"/>
      <c r="L1151"/>
    </row>
    <row r="1152" spans="10:12">
      <c r="J1152"/>
      <c r="K1152"/>
      <c r="L1152"/>
    </row>
    <row r="1153" spans="10:12">
      <c r="J1153"/>
      <c r="K1153"/>
      <c r="L1153"/>
    </row>
    <row r="1154" spans="10:12">
      <c r="J1154"/>
      <c r="K1154"/>
      <c r="L1154"/>
    </row>
    <row r="1155" spans="10:12">
      <c r="J1155"/>
      <c r="K1155"/>
      <c r="L1155"/>
    </row>
    <row r="1156" spans="10:12">
      <c r="J1156"/>
      <c r="K1156"/>
      <c r="L1156"/>
    </row>
    <row r="1157" spans="10:12">
      <c r="J1157"/>
      <c r="K1157"/>
      <c r="L1157"/>
    </row>
    <row r="1158" spans="10:12">
      <c r="J1158"/>
      <c r="K1158"/>
      <c r="L1158"/>
    </row>
    <row r="1159" spans="10:12">
      <c r="J1159"/>
      <c r="K1159"/>
      <c r="L1159"/>
    </row>
    <row r="1160" spans="10:12">
      <c r="J1160"/>
      <c r="K1160"/>
      <c r="L1160"/>
    </row>
    <row r="1161" spans="10:12">
      <c r="J1161"/>
      <c r="K1161"/>
      <c r="L1161"/>
    </row>
    <row r="1162" spans="10:12">
      <c r="J1162"/>
      <c r="K1162"/>
      <c r="L1162"/>
    </row>
    <row r="1163" spans="10:12">
      <c r="J1163"/>
      <c r="K1163"/>
      <c r="L1163"/>
    </row>
    <row r="1164" spans="10:12">
      <c r="J1164"/>
      <c r="K1164"/>
      <c r="L1164"/>
    </row>
    <row r="1165" spans="10:12">
      <c r="J1165"/>
      <c r="K1165"/>
      <c r="L1165"/>
    </row>
    <row r="1166" spans="10:12">
      <c r="J1166"/>
      <c r="K1166"/>
      <c r="L1166"/>
    </row>
    <row r="1167" spans="10:12">
      <c r="J1167"/>
      <c r="K1167"/>
      <c r="L1167"/>
    </row>
    <row r="1168" spans="10:12">
      <c r="J1168"/>
      <c r="K1168"/>
      <c r="L1168"/>
    </row>
    <row r="1169" spans="10:12">
      <c r="J1169"/>
      <c r="K1169"/>
      <c r="L1169"/>
    </row>
    <row r="1170" spans="10:12">
      <c r="J1170"/>
      <c r="K1170"/>
      <c r="L1170"/>
    </row>
    <row r="1171" spans="10:12">
      <c r="J1171"/>
      <c r="K1171"/>
      <c r="L1171"/>
    </row>
    <row r="1172" spans="10:12">
      <c r="J1172"/>
      <c r="K1172"/>
      <c r="L1172"/>
    </row>
    <row r="1173" spans="10:12">
      <c r="J1173"/>
      <c r="K1173"/>
      <c r="L1173"/>
    </row>
    <row r="1174" spans="10:12">
      <c r="J1174"/>
      <c r="K1174"/>
      <c r="L1174"/>
    </row>
    <row r="1175" spans="10:12">
      <c r="J1175"/>
      <c r="K1175"/>
      <c r="L1175"/>
    </row>
    <row r="1176" spans="10:12">
      <c r="J1176"/>
      <c r="K1176"/>
      <c r="L1176"/>
    </row>
    <row r="1177" spans="10:12">
      <c r="J1177"/>
      <c r="K1177"/>
      <c r="L1177"/>
    </row>
    <row r="1178" spans="10:12">
      <c r="J1178"/>
      <c r="K1178"/>
      <c r="L1178"/>
    </row>
    <row r="1179" spans="10:12">
      <c r="J1179"/>
      <c r="K1179"/>
      <c r="L1179"/>
    </row>
    <row r="1180" spans="10:12">
      <c r="J1180"/>
      <c r="K1180"/>
      <c r="L1180"/>
    </row>
    <row r="1181" spans="10:12">
      <c r="J1181"/>
      <c r="K1181"/>
      <c r="L1181"/>
    </row>
    <row r="1182" spans="10:12">
      <c r="J1182"/>
      <c r="K1182"/>
      <c r="L1182"/>
    </row>
    <row r="1183" spans="10:12">
      <c r="J1183"/>
      <c r="K1183"/>
      <c r="L1183"/>
    </row>
    <row r="1184" spans="10:12">
      <c r="J1184"/>
      <c r="K1184"/>
      <c r="L1184"/>
    </row>
    <row r="1185" spans="10:12">
      <c r="J1185"/>
      <c r="K1185"/>
      <c r="L1185"/>
    </row>
    <row r="1186" spans="10:12">
      <c r="J1186"/>
      <c r="K1186"/>
      <c r="L1186"/>
    </row>
    <row r="1187" spans="10:12">
      <c r="J1187"/>
      <c r="K1187"/>
      <c r="L1187"/>
    </row>
    <row r="1188" spans="10:12">
      <c r="J1188"/>
      <c r="K1188"/>
      <c r="L1188"/>
    </row>
    <row r="1189" spans="10:12">
      <c r="J1189"/>
      <c r="K1189"/>
      <c r="L1189"/>
    </row>
    <row r="1190" spans="10:12">
      <c r="J1190"/>
      <c r="K1190"/>
      <c r="L1190"/>
    </row>
    <row r="1191" spans="10:12">
      <c r="J1191"/>
      <c r="K1191"/>
      <c r="L1191"/>
    </row>
    <row r="1192" spans="10:12">
      <c r="J1192"/>
      <c r="K1192"/>
      <c r="L1192"/>
    </row>
    <row r="1193" spans="10:12">
      <c r="J1193"/>
      <c r="K1193"/>
      <c r="L1193"/>
    </row>
    <row r="1194" spans="10:12">
      <c r="J1194"/>
      <c r="K1194"/>
      <c r="L1194"/>
    </row>
    <row r="1195" spans="10:12">
      <c r="J1195"/>
      <c r="K1195"/>
      <c r="L1195"/>
    </row>
    <row r="1196" spans="10:12">
      <c r="J1196"/>
      <c r="K1196"/>
      <c r="L1196"/>
    </row>
    <row r="1197" spans="10:12">
      <c r="J1197"/>
      <c r="K1197"/>
      <c r="L1197"/>
    </row>
    <row r="1198" spans="10:12">
      <c r="J1198"/>
      <c r="K1198"/>
      <c r="L1198"/>
    </row>
    <row r="1199" spans="10:12">
      <c r="J1199"/>
      <c r="K1199"/>
      <c r="L1199"/>
    </row>
    <row r="1200" spans="10:12">
      <c r="J1200"/>
      <c r="K1200"/>
      <c r="L1200"/>
    </row>
    <row r="1201" spans="10:12">
      <c r="J1201"/>
      <c r="K1201"/>
      <c r="L1201"/>
    </row>
    <row r="1202" spans="10:12">
      <c r="J1202"/>
      <c r="K1202"/>
      <c r="L1202"/>
    </row>
    <row r="1203" spans="10:12">
      <c r="J1203"/>
      <c r="K1203"/>
      <c r="L1203"/>
    </row>
    <row r="1204" spans="10:12">
      <c r="J1204"/>
      <c r="K1204"/>
      <c r="L1204"/>
    </row>
    <row r="1205" spans="10:12">
      <c r="J1205"/>
      <c r="K1205"/>
      <c r="L1205"/>
    </row>
    <row r="1206" spans="10:12">
      <c r="J1206"/>
      <c r="K1206"/>
      <c r="L1206"/>
    </row>
    <row r="1207" spans="10:12">
      <c r="J1207"/>
      <c r="K1207"/>
      <c r="L1207"/>
    </row>
    <row r="1208" spans="10:12">
      <c r="J1208"/>
      <c r="K1208"/>
      <c r="L1208"/>
    </row>
    <row r="1209" spans="10:12">
      <c r="J1209"/>
      <c r="K1209"/>
      <c r="L1209"/>
    </row>
    <row r="1210" spans="10:12">
      <c r="J1210"/>
      <c r="K1210"/>
      <c r="L1210"/>
    </row>
    <row r="1211" spans="10:12">
      <c r="J1211"/>
      <c r="K1211"/>
      <c r="L1211"/>
    </row>
    <row r="1212" spans="10:12">
      <c r="J1212"/>
      <c r="K1212"/>
      <c r="L1212"/>
    </row>
    <row r="1213" spans="10:12">
      <c r="J1213"/>
      <c r="K1213"/>
      <c r="L1213"/>
    </row>
    <row r="1214" spans="10:12">
      <c r="J1214"/>
      <c r="K1214"/>
      <c r="L1214"/>
    </row>
    <row r="1215" spans="10:12">
      <c r="J1215"/>
      <c r="K1215"/>
      <c r="L1215"/>
    </row>
    <row r="1216" spans="10:12">
      <c r="J1216"/>
      <c r="K1216"/>
      <c r="L1216"/>
    </row>
    <row r="1217" spans="10:12">
      <c r="J1217"/>
      <c r="K1217"/>
      <c r="L1217"/>
    </row>
    <row r="1218" spans="10:12">
      <c r="J1218"/>
      <c r="K1218"/>
      <c r="L1218"/>
    </row>
    <row r="1219" spans="10:12">
      <c r="J1219"/>
      <c r="K1219"/>
      <c r="L1219"/>
    </row>
    <row r="1220" spans="10:12">
      <c r="J1220"/>
      <c r="K1220"/>
      <c r="L1220"/>
    </row>
    <row r="1221" spans="10:12">
      <c r="J1221"/>
      <c r="K1221"/>
      <c r="L1221"/>
    </row>
    <row r="1222" spans="10:12">
      <c r="J1222"/>
      <c r="K1222"/>
      <c r="L1222"/>
    </row>
    <row r="1223" spans="10:12">
      <c r="J1223"/>
      <c r="K1223"/>
      <c r="L1223"/>
    </row>
    <row r="1224" spans="10:12">
      <c r="J1224"/>
      <c r="K1224"/>
      <c r="L1224"/>
    </row>
    <row r="1225" spans="10:12">
      <c r="J1225"/>
      <c r="K1225"/>
      <c r="L1225"/>
    </row>
    <row r="1226" spans="10:12">
      <c r="J1226"/>
      <c r="K1226"/>
      <c r="L1226"/>
    </row>
    <row r="1227" spans="10:12">
      <c r="J1227"/>
      <c r="K1227"/>
      <c r="L1227"/>
    </row>
    <row r="1228" spans="10:12">
      <c r="J1228"/>
      <c r="K1228"/>
      <c r="L1228"/>
    </row>
    <row r="1229" spans="10:12">
      <c r="J1229"/>
      <c r="K1229"/>
      <c r="L1229"/>
    </row>
    <row r="1230" spans="10:12">
      <c r="J1230"/>
      <c r="K1230"/>
      <c r="L1230"/>
    </row>
    <row r="1231" spans="10:12">
      <c r="J1231"/>
      <c r="K1231"/>
      <c r="L1231"/>
    </row>
    <row r="1232" spans="10:12">
      <c r="J1232"/>
      <c r="K1232"/>
      <c r="L1232"/>
    </row>
    <row r="1233" spans="10:12">
      <c r="J1233"/>
      <c r="K1233"/>
      <c r="L1233"/>
    </row>
    <row r="1234" spans="10:12">
      <c r="J1234"/>
      <c r="K1234"/>
      <c r="L1234"/>
    </row>
    <row r="1235" spans="10:12">
      <c r="J1235"/>
      <c r="K1235"/>
      <c r="L1235"/>
    </row>
    <row r="1236" spans="10:12">
      <c r="J1236"/>
      <c r="K1236"/>
      <c r="L1236"/>
    </row>
    <row r="1237" spans="10:12">
      <c r="J1237"/>
      <c r="K1237"/>
      <c r="L1237"/>
    </row>
    <row r="1238" spans="10:12">
      <c r="J1238"/>
      <c r="K1238"/>
      <c r="L1238"/>
    </row>
    <row r="1239" spans="10:12">
      <c r="J1239"/>
      <c r="K1239"/>
      <c r="L1239"/>
    </row>
    <row r="1240" spans="10:12">
      <c r="J1240"/>
      <c r="K1240"/>
      <c r="L1240"/>
    </row>
    <row r="1241" spans="10:12">
      <c r="J1241"/>
      <c r="K1241"/>
      <c r="L1241"/>
    </row>
    <row r="1242" spans="10:12">
      <c r="J1242"/>
      <c r="K1242"/>
      <c r="L1242"/>
    </row>
    <row r="1243" spans="10:12">
      <c r="J1243"/>
      <c r="K1243"/>
      <c r="L1243"/>
    </row>
    <row r="1244" spans="10:12">
      <c r="J1244"/>
      <c r="K1244"/>
      <c r="L1244"/>
    </row>
    <row r="1245" spans="10:12">
      <c r="J1245"/>
      <c r="K1245"/>
      <c r="L1245"/>
    </row>
    <row r="1246" spans="10:12">
      <c r="J1246"/>
      <c r="K1246"/>
      <c r="L1246"/>
    </row>
    <row r="1247" spans="10:12">
      <c r="J1247"/>
      <c r="K1247"/>
      <c r="L1247"/>
    </row>
    <row r="1248" spans="10:12">
      <c r="J1248"/>
      <c r="K1248"/>
      <c r="L1248"/>
    </row>
    <row r="1249" spans="10:12">
      <c r="J1249"/>
      <c r="K1249"/>
      <c r="L1249"/>
    </row>
    <row r="1250" spans="10:12">
      <c r="J1250"/>
      <c r="K1250"/>
      <c r="L1250"/>
    </row>
    <row r="1251" spans="10:12">
      <c r="J1251"/>
      <c r="K1251"/>
      <c r="L1251"/>
    </row>
    <row r="1252" spans="10:12">
      <c r="J1252"/>
      <c r="K1252"/>
      <c r="L1252"/>
    </row>
    <row r="1253" spans="10:12">
      <c r="J1253"/>
      <c r="K1253"/>
      <c r="L1253"/>
    </row>
    <row r="1254" spans="10:12">
      <c r="J1254"/>
      <c r="K1254"/>
      <c r="L1254"/>
    </row>
    <row r="1255" spans="10:12">
      <c r="J1255"/>
      <c r="K1255"/>
      <c r="L1255"/>
    </row>
    <row r="1256" spans="10:12">
      <c r="J1256"/>
      <c r="K1256"/>
      <c r="L1256"/>
    </row>
    <row r="1257" spans="10:12">
      <c r="J1257"/>
      <c r="K1257"/>
      <c r="L1257"/>
    </row>
    <row r="1258" spans="10:12">
      <c r="J1258"/>
      <c r="K1258"/>
      <c r="L1258"/>
    </row>
    <row r="1259" spans="10:12">
      <c r="J1259"/>
      <c r="K1259"/>
      <c r="L1259"/>
    </row>
    <row r="1260" spans="10:12">
      <c r="J1260"/>
      <c r="K1260"/>
      <c r="L1260"/>
    </row>
    <row r="1261" spans="10:12">
      <c r="J1261"/>
      <c r="K1261"/>
      <c r="L1261"/>
    </row>
    <row r="1262" spans="10:12">
      <c r="J1262"/>
      <c r="K1262"/>
      <c r="L1262"/>
    </row>
    <row r="1263" spans="10:12">
      <c r="J1263"/>
      <c r="K1263"/>
      <c r="L1263"/>
    </row>
    <row r="1264" spans="10:12">
      <c r="J1264"/>
      <c r="K1264"/>
      <c r="L1264"/>
    </row>
    <row r="1265" spans="10:12">
      <c r="J1265"/>
      <c r="K1265"/>
      <c r="L1265"/>
    </row>
    <row r="1266" spans="10:12">
      <c r="J1266"/>
      <c r="K1266"/>
      <c r="L1266"/>
    </row>
    <row r="1267" spans="10:12">
      <c r="J1267"/>
      <c r="K1267"/>
      <c r="L1267"/>
    </row>
    <row r="1268" spans="10:12">
      <c r="J1268"/>
      <c r="K1268"/>
      <c r="L1268"/>
    </row>
    <row r="1269" spans="10:12">
      <c r="J1269"/>
      <c r="K1269"/>
      <c r="L1269"/>
    </row>
    <row r="1270" spans="10:12">
      <c r="J1270"/>
      <c r="K1270"/>
      <c r="L1270"/>
    </row>
    <row r="1271" spans="10:12">
      <c r="J1271"/>
      <c r="K1271"/>
      <c r="L1271"/>
    </row>
    <row r="1272" spans="10:12">
      <c r="J1272"/>
      <c r="K1272"/>
      <c r="L1272"/>
    </row>
    <row r="1273" spans="10:12">
      <c r="J1273"/>
      <c r="K1273"/>
      <c r="L1273"/>
    </row>
    <row r="1274" spans="10:12">
      <c r="J1274"/>
      <c r="K1274"/>
      <c r="L1274"/>
    </row>
    <row r="1275" spans="10:12">
      <c r="J1275"/>
      <c r="K1275"/>
      <c r="L1275"/>
    </row>
    <row r="1276" spans="10:12">
      <c r="J1276"/>
      <c r="K1276"/>
      <c r="L1276"/>
    </row>
    <row r="1277" spans="10:12">
      <c r="J1277"/>
      <c r="K1277"/>
      <c r="L1277"/>
    </row>
    <row r="1278" spans="10:12">
      <c r="J1278"/>
      <c r="K1278"/>
      <c r="L1278"/>
    </row>
    <row r="1279" spans="10:12">
      <c r="J1279"/>
      <c r="K1279"/>
      <c r="L1279"/>
    </row>
    <row r="1280" spans="10:12">
      <c r="J1280"/>
      <c r="K1280"/>
      <c r="L1280"/>
    </row>
    <row r="1281" spans="10:12">
      <c r="J1281"/>
      <c r="K1281"/>
      <c r="L1281"/>
    </row>
    <row r="1282" spans="10:12">
      <c r="J1282"/>
      <c r="K1282"/>
      <c r="L1282"/>
    </row>
    <row r="1283" spans="10:12">
      <c r="J1283"/>
      <c r="K1283"/>
      <c r="L1283"/>
    </row>
    <row r="1284" spans="10:12">
      <c r="J1284"/>
      <c r="K1284"/>
      <c r="L1284"/>
    </row>
    <row r="1285" spans="10:12">
      <c r="J1285"/>
      <c r="K1285"/>
      <c r="L1285"/>
    </row>
    <row r="1286" spans="10:12">
      <c r="J1286"/>
      <c r="K1286"/>
      <c r="L1286"/>
    </row>
    <row r="1287" spans="10:12">
      <c r="J1287"/>
      <c r="K1287"/>
      <c r="L1287"/>
    </row>
    <row r="1288" spans="10:12">
      <c r="J1288"/>
      <c r="K1288"/>
      <c r="L1288"/>
    </row>
    <row r="1289" spans="10:12">
      <c r="J1289"/>
      <c r="K1289"/>
      <c r="L1289"/>
    </row>
    <row r="1290" spans="10:12">
      <c r="J1290"/>
      <c r="K1290"/>
      <c r="L1290"/>
    </row>
    <row r="1291" spans="10:12">
      <c r="J1291"/>
      <c r="K1291"/>
      <c r="L1291"/>
    </row>
    <row r="1292" spans="10:12">
      <c r="J1292"/>
      <c r="K1292"/>
      <c r="L1292"/>
    </row>
    <row r="1293" spans="10:12">
      <c r="J1293"/>
      <c r="K1293"/>
      <c r="L1293"/>
    </row>
    <row r="1294" spans="10:12">
      <c r="J1294"/>
      <c r="K1294"/>
      <c r="L1294"/>
    </row>
    <row r="1295" spans="10:12">
      <c r="J1295"/>
      <c r="K1295"/>
      <c r="L1295"/>
    </row>
    <row r="1296" spans="10:12">
      <c r="J1296"/>
      <c r="K1296"/>
      <c r="L1296"/>
    </row>
    <row r="1297" spans="10:12">
      <c r="J1297"/>
      <c r="K1297"/>
      <c r="L1297"/>
    </row>
    <row r="1298" spans="10:12">
      <c r="J1298"/>
      <c r="K1298"/>
      <c r="L1298"/>
    </row>
    <row r="1299" spans="10:12">
      <c r="J1299"/>
      <c r="K1299"/>
      <c r="L1299"/>
    </row>
    <row r="1300" spans="10:12">
      <c r="J1300"/>
      <c r="K1300"/>
      <c r="L1300"/>
    </row>
    <row r="1301" spans="10:12">
      <c r="J1301"/>
      <c r="K1301"/>
      <c r="L1301"/>
    </row>
    <row r="1302" spans="10:12">
      <c r="J1302"/>
      <c r="K1302"/>
      <c r="L1302"/>
    </row>
    <row r="1303" spans="10:12">
      <c r="J1303"/>
      <c r="K1303"/>
      <c r="L1303"/>
    </row>
    <row r="1304" spans="10:12">
      <c r="J1304"/>
      <c r="K1304"/>
      <c r="L1304"/>
    </row>
    <row r="1305" spans="10:12">
      <c r="J1305"/>
      <c r="K1305"/>
      <c r="L1305"/>
    </row>
    <row r="1306" spans="10:12">
      <c r="J1306"/>
      <c r="K1306"/>
      <c r="L1306"/>
    </row>
    <row r="1307" spans="10:12">
      <c r="J1307"/>
      <c r="K1307"/>
      <c r="L1307"/>
    </row>
    <row r="1308" spans="10:12">
      <c r="J1308"/>
      <c r="K1308"/>
      <c r="L1308"/>
    </row>
    <row r="1309" spans="10:12">
      <c r="J1309"/>
      <c r="K1309"/>
      <c r="L1309"/>
    </row>
    <row r="1310" spans="10:12">
      <c r="J1310"/>
      <c r="K1310"/>
      <c r="L1310"/>
    </row>
    <row r="1311" spans="10:12">
      <c r="J1311"/>
      <c r="K1311"/>
      <c r="L1311"/>
    </row>
    <row r="1312" spans="10:12">
      <c r="J1312"/>
      <c r="K1312"/>
      <c r="L1312"/>
    </row>
    <row r="1313" spans="10:12">
      <c r="J1313"/>
      <c r="K1313"/>
      <c r="L1313"/>
    </row>
    <row r="1314" spans="10:12">
      <c r="J1314"/>
      <c r="K1314"/>
      <c r="L1314"/>
    </row>
    <row r="1315" spans="10:12">
      <c r="J1315"/>
      <c r="K1315"/>
      <c r="L1315"/>
    </row>
    <row r="1316" spans="10:12">
      <c r="J1316"/>
      <c r="K1316"/>
      <c r="L1316"/>
    </row>
    <row r="1317" spans="10:12">
      <c r="J1317"/>
      <c r="K1317"/>
      <c r="L1317"/>
    </row>
    <row r="1318" spans="10:12">
      <c r="J1318"/>
      <c r="K1318"/>
      <c r="L1318"/>
    </row>
    <row r="1319" spans="10:12">
      <c r="J1319"/>
      <c r="K1319"/>
      <c r="L1319"/>
    </row>
    <row r="1320" spans="10:12">
      <c r="J1320"/>
      <c r="K1320"/>
      <c r="L1320"/>
    </row>
    <row r="1321" spans="10:12">
      <c r="J1321"/>
      <c r="K1321"/>
      <c r="L1321"/>
    </row>
    <row r="1322" spans="10:12">
      <c r="J1322"/>
      <c r="K1322"/>
      <c r="L1322"/>
    </row>
    <row r="1323" spans="10:12">
      <c r="J1323"/>
      <c r="K1323"/>
      <c r="L1323"/>
    </row>
    <row r="1324" spans="10:12">
      <c r="J1324"/>
      <c r="K1324"/>
      <c r="L1324"/>
    </row>
    <row r="1325" spans="10:12">
      <c r="J1325"/>
      <c r="K1325"/>
      <c r="L1325"/>
    </row>
    <row r="1326" spans="10:12">
      <c r="J1326"/>
      <c r="K1326"/>
      <c r="L1326"/>
    </row>
    <row r="1327" spans="10:12">
      <c r="J1327"/>
      <c r="K1327"/>
      <c r="L1327"/>
    </row>
    <row r="1328" spans="10:12">
      <c r="J1328"/>
      <c r="K1328"/>
      <c r="L1328"/>
    </row>
    <row r="1329" spans="10:12">
      <c r="J1329"/>
      <c r="K1329"/>
      <c r="L1329"/>
    </row>
    <row r="1330" spans="10:12">
      <c r="J1330"/>
      <c r="K1330"/>
      <c r="L1330"/>
    </row>
    <row r="1331" spans="10:12">
      <c r="J1331"/>
      <c r="K1331"/>
      <c r="L1331"/>
    </row>
    <row r="1332" spans="10:12">
      <c r="J1332"/>
      <c r="K1332"/>
      <c r="L1332"/>
    </row>
    <row r="1333" spans="10:12">
      <c r="J1333"/>
      <c r="K1333"/>
      <c r="L1333"/>
    </row>
    <row r="1334" spans="10:12">
      <c r="J1334"/>
      <c r="K1334"/>
      <c r="L1334"/>
    </row>
    <row r="1335" spans="10:12">
      <c r="J1335"/>
      <c r="K1335"/>
      <c r="L1335"/>
    </row>
    <row r="1336" spans="10:12">
      <c r="J1336"/>
      <c r="K1336"/>
      <c r="L1336"/>
    </row>
    <row r="1337" spans="10:12">
      <c r="J1337"/>
      <c r="K1337"/>
      <c r="L1337"/>
    </row>
    <row r="1338" spans="10:12">
      <c r="J1338"/>
      <c r="K1338"/>
      <c r="L1338"/>
    </row>
    <row r="1339" spans="10:12">
      <c r="J1339"/>
      <c r="K1339"/>
      <c r="L1339"/>
    </row>
    <row r="1340" spans="10:12">
      <c r="J1340"/>
      <c r="K1340"/>
      <c r="L1340"/>
    </row>
    <row r="1341" spans="10:12">
      <c r="J1341"/>
      <c r="K1341"/>
      <c r="L1341"/>
    </row>
    <row r="1342" spans="10:12">
      <c r="J1342"/>
      <c r="K1342"/>
      <c r="L1342"/>
    </row>
    <row r="1343" spans="10:12">
      <c r="J1343"/>
      <c r="K1343"/>
      <c r="L1343"/>
    </row>
    <row r="1344" spans="10:12">
      <c r="J1344"/>
      <c r="K1344"/>
      <c r="L1344"/>
    </row>
    <row r="1345" spans="10:12">
      <c r="J1345"/>
      <c r="K1345"/>
      <c r="L1345"/>
    </row>
    <row r="1346" spans="10:12">
      <c r="J1346"/>
      <c r="K1346"/>
      <c r="L1346"/>
    </row>
    <row r="1347" spans="10:12">
      <c r="J1347"/>
      <c r="K1347"/>
      <c r="L1347"/>
    </row>
    <row r="1348" spans="10:12">
      <c r="J1348"/>
      <c r="K1348"/>
      <c r="L1348"/>
    </row>
    <row r="1349" spans="10:12">
      <c r="J1349"/>
      <c r="K1349"/>
      <c r="L1349"/>
    </row>
    <row r="1350" spans="10:12">
      <c r="J1350"/>
      <c r="K1350"/>
      <c r="L1350"/>
    </row>
    <row r="1351" spans="10:12">
      <c r="J1351"/>
      <c r="K1351"/>
      <c r="L1351"/>
    </row>
    <row r="1352" spans="10:12">
      <c r="J1352"/>
      <c r="K1352"/>
      <c r="L1352"/>
    </row>
    <row r="1353" spans="10:12">
      <c r="J1353"/>
      <c r="K1353"/>
      <c r="L1353"/>
    </row>
    <row r="1354" spans="10:12">
      <c r="J1354"/>
      <c r="K1354"/>
      <c r="L1354"/>
    </row>
    <row r="1355" spans="10:12">
      <c r="J1355"/>
      <c r="K1355"/>
      <c r="L1355"/>
    </row>
    <row r="1356" spans="10:12">
      <c r="J1356"/>
      <c r="K1356"/>
      <c r="L1356"/>
    </row>
    <row r="1357" spans="10:12">
      <c r="J1357"/>
      <c r="K1357"/>
      <c r="L1357"/>
    </row>
    <row r="1358" spans="10:12">
      <c r="J1358"/>
      <c r="K1358"/>
      <c r="L1358"/>
    </row>
    <row r="1359" spans="10:12">
      <c r="J1359"/>
      <c r="K1359"/>
      <c r="L1359"/>
    </row>
    <row r="1360" spans="10:12">
      <c r="J1360"/>
      <c r="K1360"/>
      <c r="L1360"/>
    </row>
    <row r="1361" spans="10:12">
      <c r="J1361"/>
      <c r="K1361"/>
      <c r="L1361"/>
    </row>
    <row r="1362" spans="10:12">
      <c r="J1362"/>
      <c r="K1362"/>
      <c r="L1362"/>
    </row>
    <row r="1363" spans="10:12">
      <c r="J1363"/>
      <c r="K1363"/>
      <c r="L1363"/>
    </row>
    <row r="1364" spans="10:12">
      <c r="J1364"/>
      <c r="K1364"/>
      <c r="L1364"/>
    </row>
    <row r="1365" spans="10:12">
      <c r="J1365"/>
      <c r="K1365"/>
      <c r="L1365"/>
    </row>
    <row r="1366" spans="10:12">
      <c r="J1366"/>
      <c r="K1366"/>
      <c r="L1366"/>
    </row>
    <row r="1367" spans="10:12">
      <c r="J1367"/>
      <c r="K1367"/>
      <c r="L1367"/>
    </row>
    <row r="1368" spans="10:12">
      <c r="J1368"/>
      <c r="K1368"/>
      <c r="L1368"/>
    </row>
    <row r="1369" spans="10:12">
      <c r="J1369"/>
      <c r="K1369"/>
      <c r="L1369"/>
    </row>
    <row r="1370" spans="10:12">
      <c r="J1370"/>
      <c r="K1370"/>
      <c r="L1370"/>
    </row>
    <row r="1371" spans="10:12">
      <c r="J1371"/>
      <c r="K1371"/>
      <c r="L1371"/>
    </row>
    <row r="1372" spans="10:12">
      <c r="J1372"/>
      <c r="K1372"/>
      <c r="L1372"/>
    </row>
    <row r="1373" spans="10:12">
      <c r="J1373"/>
      <c r="K1373"/>
      <c r="L1373"/>
    </row>
    <row r="1374" spans="10:12">
      <c r="J1374"/>
      <c r="K1374"/>
      <c r="L1374"/>
    </row>
    <row r="1375" spans="10:12">
      <c r="J1375"/>
      <c r="K1375"/>
      <c r="L1375"/>
    </row>
    <row r="1376" spans="10:12">
      <c r="J1376"/>
      <c r="K1376"/>
      <c r="L1376"/>
    </row>
    <row r="1377" spans="10:12">
      <c r="J1377"/>
      <c r="K1377"/>
      <c r="L1377"/>
    </row>
    <row r="1378" spans="10:12">
      <c r="J1378"/>
      <c r="K1378"/>
      <c r="L1378"/>
    </row>
    <row r="1379" spans="10:12">
      <c r="J1379"/>
      <c r="K1379"/>
      <c r="L1379"/>
    </row>
    <row r="1380" spans="10:12">
      <c r="J1380"/>
      <c r="K1380"/>
      <c r="L1380"/>
    </row>
    <row r="1381" spans="10:12">
      <c r="J1381"/>
      <c r="K1381"/>
      <c r="L1381"/>
    </row>
    <row r="1382" spans="10:12">
      <c r="J1382"/>
      <c r="K1382"/>
      <c r="L1382"/>
    </row>
    <row r="1383" spans="10:12">
      <c r="J1383"/>
      <c r="K1383"/>
      <c r="L1383"/>
    </row>
    <row r="1384" spans="10:12">
      <c r="J1384"/>
      <c r="K1384"/>
      <c r="L1384"/>
    </row>
    <row r="1385" spans="10:12">
      <c r="J1385"/>
      <c r="K1385"/>
      <c r="L1385"/>
    </row>
    <row r="1386" spans="10:12">
      <c r="J1386"/>
      <c r="K1386"/>
      <c r="L1386"/>
    </row>
    <row r="1387" spans="10:12">
      <c r="J1387"/>
      <c r="K1387"/>
      <c r="L1387"/>
    </row>
    <row r="1388" spans="10:12">
      <c r="J1388"/>
      <c r="K1388"/>
      <c r="L1388"/>
    </row>
    <row r="1389" spans="10:12">
      <c r="J1389"/>
      <c r="K1389"/>
      <c r="L1389"/>
    </row>
    <row r="1390" spans="10:12">
      <c r="J1390"/>
      <c r="K1390"/>
      <c r="L1390"/>
    </row>
    <row r="1391" spans="10:12">
      <c r="J1391"/>
      <c r="K1391"/>
      <c r="L1391"/>
    </row>
    <row r="1392" spans="10:12">
      <c r="J1392"/>
      <c r="K1392"/>
      <c r="L1392"/>
    </row>
    <row r="1393" spans="10:12">
      <c r="J1393"/>
      <c r="K1393"/>
      <c r="L1393"/>
    </row>
    <row r="1394" spans="10:12">
      <c r="J1394"/>
      <c r="K1394"/>
      <c r="L1394"/>
    </row>
    <row r="1395" spans="10:12">
      <c r="J1395"/>
      <c r="K1395"/>
      <c r="L1395"/>
    </row>
    <row r="1396" spans="10:12">
      <c r="J1396"/>
      <c r="K1396"/>
      <c r="L1396"/>
    </row>
    <row r="1397" spans="10:12">
      <c r="J1397"/>
      <c r="K1397"/>
      <c r="L1397"/>
    </row>
    <row r="1398" spans="10:12">
      <c r="J1398"/>
      <c r="K1398"/>
      <c r="L1398"/>
    </row>
    <row r="1399" spans="10:12">
      <c r="J1399"/>
      <c r="K1399"/>
      <c r="L1399"/>
    </row>
    <row r="1400" spans="10:12">
      <c r="J1400"/>
      <c r="K1400"/>
      <c r="L1400"/>
    </row>
    <row r="1401" spans="10:12">
      <c r="J1401"/>
      <c r="K1401"/>
      <c r="L1401"/>
    </row>
    <row r="1402" spans="10:12">
      <c r="J1402"/>
      <c r="K1402"/>
      <c r="L1402"/>
    </row>
    <row r="1403" spans="10:12">
      <c r="J1403"/>
      <c r="K1403"/>
      <c r="L1403"/>
    </row>
    <row r="1404" spans="10:12">
      <c r="J1404"/>
      <c r="K1404"/>
      <c r="L1404"/>
    </row>
    <row r="1405" spans="10:12">
      <c r="J1405"/>
      <c r="K1405"/>
      <c r="L1405"/>
    </row>
    <row r="1406" spans="10:12">
      <c r="J1406"/>
      <c r="K1406"/>
      <c r="L1406"/>
    </row>
    <row r="1407" spans="10:12">
      <c r="J1407"/>
      <c r="K1407"/>
      <c r="L1407"/>
    </row>
    <row r="1408" spans="10:12">
      <c r="J1408"/>
      <c r="K1408"/>
      <c r="L1408"/>
    </row>
    <row r="1409" spans="10:12">
      <c r="J1409"/>
      <c r="K1409"/>
      <c r="L1409"/>
    </row>
    <row r="1410" spans="10:12">
      <c r="J1410"/>
      <c r="K1410"/>
      <c r="L1410"/>
    </row>
    <row r="1411" spans="10:12">
      <c r="J1411"/>
      <c r="K1411"/>
      <c r="L1411"/>
    </row>
    <row r="1412" spans="10:12">
      <c r="J1412"/>
      <c r="K1412"/>
      <c r="L1412"/>
    </row>
    <row r="1413" spans="10:12">
      <c r="J1413"/>
      <c r="K1413"/>
      <c r="L1413"/>
    </row>
    <row r="1414" spans="10:12">
      <c r="J1414"/>
      <c r="K1414"/>
      <c r="L1414"/>
    </row>
    <row r="1415" spans="10:12">
      <c r="J1415"/>
      <c r="K1415"/>
      <c r="L1415"/>
    </row>
    <row r="1416" spans="10:12">
      <c r="J1416"/>
      <c r="K1416"/>
      <c r="L1416"/>
    </row>
    <row r="1417" spans="10:12">
      <c r="J1417"/>
      <c r="K1417"/>
      <c r="L1417"/>
    </row>
    <row r="1418" spans="10:12">
      <c r="J1418"/>
      <c r="K1418"/>
      <c r="L1418"/>
    </row>
    <row r="1419" spans="10:12">
      <c r="J1419"/>
      <c r="K1419"/>
      <c r="L1419"/>
    </row>
    <row r="1420" spans="10:12">
      <c r="J1420"/>
      <c r="K1420"/>
      <c r="L1420"/>
    </row>
    <row r="1421" spans="10:12">
      <c r="J1421"/>
      <c r="K1421"/>
      <c r="L1421"/>
    </row>
    <row r="1422" spans="10:12">
      <c r="J1422"/>
      <c r="K1422"/>
      <c r="L1422"/>
    </row>
    <row r="1423" spans="10:12">
      <c r="J1423"/>
      <c r="K1423"/>
      <c r="L1423"/>
    </row>
    <row r="1424" spans="10:12">
      <c r="J1424"/>
      <c r="K1424"/>
      <c r="L1424"/>
    </row>
    <row r="1425" spans="10:12">
      <c r="J1425"/>
      <c r="K1425"/>
      <c r="L1425"/>
    </row>
    <row r="1426" spans="10:12">
      <c r="J1426"/>
      <c r="K1426"/>
      <c r="L1426"/>
    </row>
    <row r="1427" spans="10:12">
      <c r="J1427"/>
      <c r="K1427"/>
      <c r="L1427"/>
    </row>
    <row r="1428" spans="10:12">
      <c r="J1428"/>
      <c r="K1428"/>
      <c r="L1428"/>
    </row>
    <row r="1429" spans="10:12">
      <c r="J1429"/>
      <c r="K1429"/>
      <c r="L1429"/>
    </row>
    <row r="1430" spans="10:12">
      <c r="J1430"/>
      <c r="K1430"/>
      <c r="L1430"/>
    </row>
    <row r="1431" spans="10:12">
      <c r="J1431"/>
      <c r="K1431"/>
      <c r="L1431"/>
    </row>
    <row r="1432" spans="10:12">
      <c r="J1432"/>
      <c r="K1432"/>
      <c r="L1432"/>
    </row>
    <row r="1433" spans="10:12">
      <c r="J1433"/>
      <c r="K1433"/>
      <c r="L1433"/>
    </row>
    <row r="1434" spans="10:12">
      <c r="J1434"/>
      <c r="K1434"/>
      <c r="L1434"/>
    </row>
    <row r="1435" spans="10:12">
      <c r="J1435"/>
      <c r="K1435"/>
      <c r="L1435"/>
    </row>
    <row r="1436" spans="10:12">
      <c r="J1436"/>
      <c r="K1436"/>
      <c r="L1436"/>
    </row>
    <row r="1437" spans="10:12">
      <c r="J1437"/>
      <c r="K1437"/>
      <c r="L1437"/>
    </row>
    <row r="1438" spans="10:12">
      <c r="J1438"/>
      <c r="K1438"/>
      <c r="L1438"/>
    </row>
    <row r="1439" spans="10:12">
      <c r="J1439"/>
      <c r="K1439"/>
      <c r="L1439"/>
    </row>
    <row r="1440" spans="10:12">
      <c r="J1440"/>
      <c r="K1440"/>
      <c r="L1440"/>
    </row>
    <row r="1441" spans="10:12">
      <c r="J1441"/>
      <c r="K1441"/>
      <c r="L1441"/>
    </row>
    <row r="1442" spans="10:12">
      <c r="J1442"/>
      <c r="K1442"/>
      <c r="L1442"/>
    </row>
    <row r="1443" spans="10:12">
      <c r="J1443"/>
      <c r="K1443"/>
      <c r="L1443"/>
    </row>
    <row r="1444" spans="10:12">
      <c r="J1444"/>
      <c r="K1444"/>
      <c r="L1444"/>
    </row>
    <row r="1445" spans="10:12">
      <c r="J1445"/>
      <c r="K1445"/>
      <c r="L1445"/>
    </row>
    <row r="1446" spans="10:12">
      <c r="J1446"/>
      <c r="K1446"/>
      <c r="L1446"/>
    </row>
    <row r="1447" spans="10:12">
      <c r="J1447"/>
      <c r="K1447"/>
      <c r="L1447"/>
    </row>
    <row r="1448" spans="10:12">
      <c r="J1448"/>
      <c r="K1448"/>
      <c r="L1448"/>
    </row>
    <row r="1449" spans="10:12">
      <c r="J1449"/>
      <c r="K1449"/>
      <c r="L1449"/>
    </row>
    <row r="1450" spans="10:12">
      <c r="J1450"/>
      <c r="K1450"/>
      <c r="L1450"/>
    </row>
    <row r="1451" spans="10:12">
      <c r="J1451"/>
      <c r="K1451"/>
      <c r="L1451"/>
    </row>
    <row r="1452" spans="10:12">
      <c r="J1452"/>
      <c r="K1452"/>
      <c r="L1452"/>
    </row>
    <row r="1453" spans="10:12">
      <c r="J1453"/>
      <c r="K1453"/>
      <c r="L1453"/>
    </row>
    <row r="1454" spans="10:12">
      <c r="J1454"/>
      <c r="K1454"/>
      <c r="L1454"/>
    </row>
    <row r="1455" spans="10:12">
      <c r="J1455"/>
      <c r="K1455"/>
      <c r="L1455"/>
    </row>
    <row r="1456" spans="10:12">
      <c r="J1456"/>
      <c r="K1456"/>
      <c r="L1456"/>
    </row>
    <row r="1457" spans="10:12">
      <c r="J1457"/>
      <c r="K1457"/>
      <c r="L1457"/>
    </row>
    <row r="1458" spans="10:12">
      <c r="J1458"/>
      <c r="K1458"/>
      <c r="L1458"/>
    </row>
    <row r="1459" spans="10:12">
      <c r="J1459"/>
      <c r="K1459"/>
      <c r="L1459"/>
    </row>
    <row r="1460" spans="10:12">
      <c r="J1460"/>
      <c r="K1460"/>
      <c r="L1460"/>
    </row>
    <row r="1461" spans="10:12">
      <c r="J1461"/>
      <c r="K1461"/>
      <c r="L1461"/>
    </row>
    <row r="1462" spans="10:12">
      <c r="J1462"/>
      <c r="K1462"/>
      <c r="L1462"/>
    </row>
    <row r="1463" spans="10:12">
      <c r="J1463"/>
      <c r="K1463"/>
      <c r="L1463"/>
    </row>
    <row r="1464" spans="10:12">
      <c r="J1464"/>
      <c r="K1464"/>
      <c r="L1464"/>
    </row>
    <row r="1465" spans="10:12">
      <c r="J1465"/>
      <c r="K1465"/>
      <c r="L1465"/>
    </row>
    <row r="1466" spans="10:12">
      <c r="J1466"/>
      <c r="K1466"/>
      <c r="L1466"/>
    </row>
    <row r="1467" spans="10:12">
      <c r="J1467"/>
      <c r="K1467"/>
      <c r="L1467"/>
    </row>
    <row r="1468" spans="10:12">
      <c r="J1468"/>
      <c r="K1468"/>
      <c r="L1468"/>
    </row>
    <row r="1469" spans="10:12">
      <c r="J1469"/>
      <c r="K1469"/>
      <c r="L1469"/>
    </row>
    <row r="1470" spans="10:12">
      <c r="J1470"/>
      <c r="K1470"/>
      <c r="L1470"/>
    </row>
    <row r="1471" spans="10:12">
      <c r="J1471"/>
      <c r="K1471"/>
      <c r="L1471"/>
    </row>
    <row r="1472" spans="10:12">
      <c r="J1472"/>
      <c r="K1472"/>
      <c r="L1472"/>
    </row>
    <row r="1473" spans="10:12">
      <c r="J1473"/>
      <c r="K1473"/>
      <c r="L1473"/>
    </row>
    <row r="1474" spans="10:12">
      <c r="J1474"/>
      <c r="K1474"/>
      <c r="L1474"/>
    </row>
    <row r="1475" spans="10:12">
      <c r="J1475"/>
      <c r="K1475"/>
      <c r="L1475"/>
    </row>
    <row r="1476" spans="10:12">
      <c r="J1476"/>
      <c r="K1476"/>
      <c r="L1476"/>
    </row>
    <row r="1477" spans="10:12">
      <c r="J1477"/>
      <c r="K1477"/>
      <c r="L1477"/>
    </row>
    <row r="1478" spans="10:12">
      <c r="J1478"/>
      <c r="K1478"/>
      <c r="L1478"/>
    </row>
    <row r="1479" spans="10:12">
      <c r="J1479"/>
      <c r="K1479"/>
      <c r="L1479"/>
    </row>
    <row r="1480" spans="10:12">
      <c r="J1480"/>
      <c r="K1480"/>
      <c r="L1480"/>
    </row>
    <row r="1481" spans="10:12">
      <c r="J1481"/>
      <c r="K1481"/>
      <c r="L1481"/>
    </row>
    <row r="1482" spans="10:12">
      <c r="J1482"/>
      <c r="K1482"/>
      <c r="L1482"/>
    </row>
    <row r="1483" spans="10:12">
      <c r="J1483"/>
      <c r="K1483"/>
      <c r="L1483"/>
    </row>
    <row r="1484" spans="10:12">
      <c r="J1484"/>
      <c r="K1484"/>
      <c r="L1484"/>
    </row>
    <row r="1485" spans="10:12">
      <c r="J1485"/>
      <c r="K1485"/>
      <c r="L1485"/>
    </row>
    <row r="1486" spans="10:12">
      <c r="J1486"/>
      <c r="K1486"/>
      <c r="L1486"/>
    </row>
    <row r="1487" spans="10:12">
      <c r="J1487"/>
      <c r="K1487"/>
      <c r="L1487"/>
    </row>
    <row r="1488" spans="10:12">
      <c r="J1488"/>
      <c r="K1488"/>
      <c r="L1488"/>
    </row>
    <row r="1489" spans="10:12">
      <c r="J1489"/>
      <c r="K1489"/>
      <c r="L1489"/>
    </row>
    <row r="1490" spans="10:12">
      <c r="J1490"/>
      <c r="K1490"/>
      <c r="L1490"/>
    </row>
    <row r="1491" spans="10:12">
      <c r="J1491"/>
      <c r="K1491"/>
      <c r="L1491"/>
    </row>
    <row r="1492" spans="10:12">
      <c r="J1492"/>
      <c r="K1492"/>
      <c r="L1492"/>
    </row>
    <row r="1493" spans="10:12">
      <c r="J1493"/>
      <c r="K1493"/>
      <c r="L1493"/>
    </row>
    <row r="1494" spans="10:12">
      <c r="J1494"/>
      <c r="K1494"/>
      <c r="L1494"/>
    </row>
    <row r="1495" spans="10:12">
      <c r="J1495"/>
      <c r="K1495"/>
      <c r="L1495"/>
    </row>
    <row r="1496" spans="10:12">
      <c r="J1496"/>
      <c r="K1496"/>
      <c r="L1496"/>
    </row>
    <row r="1497" spans="10:12">
      <c r="J1497"/>
      <c r="K1497"/>
      <c r="L1497"/>
    </row>
    <row r="1498" spans="10:12">
      <c r="J1498"/>
      <c r="K1498"/>
      <c r="L1498"/>
    </row>
    <row r="1499" spans="10:12">
      <c r="J1499"/>
      <c r="K1499"/>
      <c r="L1499"/>
    </row>
    <row r="1500" spans="10:12">
      <c r="J1500"/>
      <c r="K1500"/>
      <c r="L1500"/>
    </row>
    <row r="1501" spans="10:12">
      <c r="J1501"/>
      <c r="K1501"/>
      <c r="L1501"/>
    </row>
    <row r="1502" spans="10:12">
      <c r="J1502"/>
      <c r="K1502"/>
      <c r="L1502"/>
    </row>
    <row r="1503" spans="10:12">
      <c r="J1503"/>
      <c r="K1503"/>
      <c r="L1503"/>
    </row>
    <row r="1504" spans="10:12">
      <c r="J1504"/>
      <c r="K1504"/>
      <c r="L1504"/>
    </row>
    <row r="1505" spans="10:12">
      <c r="J1505"/>
      <c r="K1505"/>
      <c r="L1505"/>
    </row>
    <row r="1506" spans="10:12">
      <c r="J1506"/>
      <c r="K1506"/>
      <c r="L1506"/>
    </row>
    <row r="1507" spans="10:12">
      <c r="J1507"/>
      <c r="K1507"/>
      <c r="L1507"/>
    </row>
    <row r="1508" spans="10:12">
      <c r="J1508"/>
      <c r="K1508"/>
      <c r="L1508"/>
    </row>
    <row r="1509" spans="10:12">
      <c r="J1509"/>
      <c r="K1509"/>
      <c r="L1509"/>
    </row>
    <row r="1510" spans="10:12">
      <c r="J1510"/>
      <c r="K1510"/>
      <c r="L1510"/>
    </row>
    <row r="1511" spans="10:12">
      <c r="J1511"/>
      <c r="K1511"/>
      <c r="L1511"/>
    </row>
    <row r="1512" spans="10:12">
      <c r="J1512"/>
      <c r="K1512"/>
      <c r="L1512"/>
    </row>
    <row r="1513" spans="10:12">
      <c r="J1513"/>
      <c r="K1513"/>
      <c r="L1513"/>
    </row>
    <row r="1514" spans="10:12">
      <c r="J1514"/>
      <c r="K1514"/>
      <c r="L1514"/>
    </row>
    <row r="1515" spans="10:12">
      <c r="J1515"/>
      <c r="K1515"/>
      <c r="L1515"/>
    </row>
    <row r="1516" spans="10:12">
      <c r="J1516"/>
      <c r="K1516"/>
      <c r="L1516"/>
    </row>
    <row r="1517" spans="10:12">
      <c r="J1517"/>
      <c r="K1517"/>
      <c r="L1517"/>
    </row>
    <row r="1518" spans="10:12">
      <c r="J1518"/>
      <c r="K1518"/>
      <c r="L1518"/>
    </row>
    <row r="1519" spans="10:12">
      <c r="J1519"/>
      <c r="K1519"/>
      <c r="L1519"/>
    </row>
    <row r="1520" spans="10:12">
      <c r="J1520"/>
      <c r="K1520"/>
      <c r="L1520"/>
    </row>
    <row r="1521" spans="10:12">
      <c r="J1521"/>
      <c r="K1521"/>
      <c r="L1521"/>
    </row>
    <row r="1522" spans="10:12">
      <c r="J1522"/>
      <c r="K1522"/>
      <c r="L1522"/>
    </row>
    <row r="1523" spans="10:12">
      <c r="J1523"/>
      <c r="K1523"/>
      <c r="L1523"/>
    </row>
    <row r="1524" spans="10:12">
      <c r="J1524"/>
      <c r="K1524"/>
      <c r="L1524"/>
    </row>
    <row r="1525" spans="10:12">
      <c r="J1525"/>
      <c r="K1525"/>
      <c r="L1525"/>
    </row>
    <row r="1526" spans="10:12">
      <c r="J1526"/>
      <c r="K1526"/>
      <c r="L1526"/>
    </row>
    <row r="1527" spans="10:12">
      <c r="J1527"/>
      <c r="K1527"/>
      <c r="L1527"/>
    </row>
    <row r="1528" spans="10:12">
      <c r="J1528"/>
      <c r="K1528"/>
      <c r="L1528"/>
    </row>
    <row r="1529" spans="10:12">
      <c r="J1529"/>
      <c r="K1529"/>
      <c r="L1529"/>
    </row>
    <row r="1530" spans="10:12">
      <c r="J1530"/>
      <c r="K1530"/>
      <c r="L1530"/>
    </row>
    <row r="1531" spans="10:12">
      <c r="J1531"/>
      <c r="K1531"/>
      <c r="L1531"/>
    </row>
    <row r="1532" spans="10:12">
      <c r="J1532"/>
      <c r="K1532"/>
      <c r="L1532"/>
    </row>
    <row r="1533" spans="10:12">
      <c r="J1533"/>
      <c r="K1533"/>
      <c r="L1533"/>
    </row>
    <row r="1534" spans="10:12">
      <c r="J1534"/>
      <c r="K1534"/>
      <c r="L1534"/>
    </row>
    <row r="1535" spans="10:12">
      <c r="J1535"/>
      <c r="K1535"/>
      <c r="L1535"/>
    </row>
    <row r="1536" spans="10:12">
      <c r="J1536"/>
      <c r="K1536"/>
      <c r="L1536"/>
    </row>
    <row r="1537" spans="10:12">
      <c r="J1537"/>
      <c r="K1537"/>
      <c r="L1537"/>
    </row>
    <row r="1538" spans="10:12">
      <c r="J1538"/>
      <c r="K1538"/>
      <c r="L1538"/>
    </row>
    <row r="1539" spans="10:12">
      <c r="J1539"/>
      <c r="K1539"/>
      <c r="L1539"/>
    </row>
    <row r="1540" spans="10:12">
      <c r="J1540"/>
      <c r="K1540"/>
      <c r="L1540"/>
    </row>
    <row r="1541" spans="10:12">
      <c r="J1541"/>
      <c r="K1541"/>
      <c r="L1541"/>
    </row>
    <row r="1542" spans="10:12">
      <c r="J1542"/>
      <c r="K1542"/>
      <c r="L1542"/>
    </row>
    <row r="1543" spans="10:12">
      <c r="J1543"/>
      <c r="K1543"/>
      <c r="L1543"/>
    </row>
    <row r="1544" spans="10:12">
      <c r="J1544"/>
      <c r="K1544"/>
      <c r="L1544"/>
    </row>
    <row r="1545" spans="10:12">
      <c r="J1545"/>
      <c r="K1545"/>
      <c r="L1545"/>
    </row>
    <row r="1546" spans="10:12">
      <c r="J1546"/>
      <c r="K1546"/>
      <c r="L1546"/>
    </row>
    <row r="1547" spans="10:12">
      <c r="J1547"/>
      <c r="K1547"/>
      <c r="L1547"/>
    </row>
    <row r="1548" spans="10:12">
      <c r="J1548"/>
      <c r="K1548"/>
      <c r="L1548"/>
    </row>
    <row r="1549" spans="10:12">
      <c r="J1549"/>
      <c r="K1549"/>
      <c r="L1549"/>
    </row>
    <row r="1550" spans="10:12">
      <c r="J1550"/>
      <c r="K1550"/>
      <c r="L1550"/>
    </row>
    <row r="1551" spans="10:12">
      <c r="J1551"/>
      <c r="K1551"/>
      <c r="L1551"/>
    </row>
    <row r="1552" spans="10:12">
      <c r="J1552"/>
      <c r="K1552"/>
      <c r="L1552"/>
    </row>
    <row r="1553" spans="10:12">
      <c r="J1553"/>
      <c r="K1553"/>
      <c r="L1553"/>
    </row>
    <row r="1554" spans="10:12">
      <c r="J1554"/>
      <c r="K1554"/>
      <c r="L1554"/>
    </row>
    <row r="1555" spans="10:12">
      <c r="J1555"/>
      <c r="K1555"/>
      <c r="L1555"/>
    </row>
    <row r="1556" spans="10:12">
      <c r="J1556"/>
      <c r="K1556"/>
      <c r="L1556"/>
    </row>
    <row r="1557" spans="10:12">
      <c r="J1557"/>
      <c r="K1557"/>
      <c r="L1557"/>
    </row>
    <row r="1558" spans="10:12">
      <c r="J1558"/>
      <c r="K1558"/>
      <c r="L1558"/>
    </row>
    <row r="1559" spans="10:12">
      <c r="J1559"/>
      <c r="K1559"/>
      <c r="L1559"/>
    </row>
    <row r="1560" spans="10:12">
      <c r="J1560"/>
      <c r="K1560"/>
      <c r="L1560"/>
    </row>
    <row r="1561" spans="10:12">
      <c r="J1561"/>
      <c r="K1561"/>
      <c r="L1561"/>
    </row>
    <row r="1562" spans="10:12">
      <c r="J1562"/>
      <c r="K1562"/>
      <c r="L1562"/>
    </row>
    <row r="1563" spans="10:12">
      <c r="J1563"/>
      <c r="K1563"/>
      <c r="L1563"/>
    </row>
    <row r="1564" spans="10:12">
      <c r="J1564"/>
      <c r="K1564"/>
      <c r="L1564"/>
    </row>
    <row r="1565" spans="10:12">
      <c r="J1565"/>
      <c r="K1565"/>
      <c r="L1565"/>
    </row>
    <row r="1566" spans="10:12">
      <c r="J1566"/>
      <c r="K1566"/>
      <c r="L1566"/>
    </row>
    <row r="1567" spans="10:12">
      <c r="J1567"/>
      <c r="K1567"/>
      <c r="L1567"/>
    </row>
    <row r="1568" spans="10:12">
      <c r="J1568"/>
      <c r="K1568"/>
      <c r="L1568"/>
    </row>
    <row r="1569" spans="10:12">
      <c r="J1569"/>
      <c r="K1569"/>
      <c r="L1569"/>
    </row>
    <row r="1570" spans="10:12">
      <c r="J1570"/>
      <c r="K1570"/>
      <c r="L1570"/>
    </row>
    <row r="1571" spans="10:12">
      <c r="J1571"/>
      <c r="K1571"/>
      <c r="L1571"/>
    </row>
    <row r="1572" spans="10:12">
      <c r="J1572"/>
      <c r="K1572"/>
      <c r="L1572"/>
    </row>
    <row r="1573" spans="10:12">
      <c r="J1573"/>
      <c r="K1573"/>
      <c r="L1573"/>
    </row>
    <row r="1574" spans="10:12">
      <c r="J1574"/>
      <c r="K1574"/>
      <c r="L1574"/>
    </row>
    <row r="1575" spans="10:12">
      <c r="J1575"/>
      <c r="K1575"/>
      <c r="L1575"/>
    </row>
    <row r="1576" spans="10:12">
      <c r="J1576"/>
      <c r="K1576"/>
      <c r="L1576"/>
    </row>
    <row r="1577" spans="10:12">
      <c r="J1577"/>
      <c r="K1577"/>
      <c r="L1577"/>
    </row>
    <row r="1578" spans="10:12">
      <c r="J1578"/>
      <c r="K1578"/>
      <c r="L1578"/>
    </row>
    <row r="1579" spans="10:12">
      <c r="J1579"/>
      <c r="K1579"/>
      <c r="L1579"/>
    </row>
    <row r="1580" spans="10:12">
      <c r="J1580"/>
      <c r="K1580"/>
      <c r="L1580"/>
    </row>
    <row r="1581" spans="10:12">
      <c r="J1581"/>
      <c r="K1581"/>
      <c r="L1581"/>
    </row>
    <row r="1582" spans="10:12">
      <c r="J1582"/>
      <c r="K1582"/>
      <c r="L1582"/>
    </row>
    <row r="1583" spans="10:12">
      <c r="J1583"/>
      <c r="K1583"/>
      <c r="L1583"/>
    </row>
    <row r="1584" spans="10:12">
      <c r="J1584"/>
      <c r="K1584"/>
      <c r="L1584"/>
    </row>
    <row r="1585" spans="10:12">
      <c r="J1585"/>
      <c r="K1585"/>
      <c r="L1585"/>
    </row>
    <row r="1586" spans="10:12">
      <c r="J1586"/>
      <c r="K1586"/>
      <c r="L1586"/>
    </row>
    <row r="1587" spans="10:12">
      <c r="J1587"/>
      <c r="K1587"/>
      <c r="L1587"/>
    </row>
    <row r="1588" spans="10:12">
      <c r="J1588"/>
      <c r="K1588"/>
      <c r="L1588"/>
    </row>
    <row r="1589" spans="10:12">
      <c r="J1589"/>
      <c r="K1589"/>
      <c r="L1589"/>
    </row>
    <row r="1590" spans="10:12">
      <c r="J1590"/>
      <c r="K1590"/>
      <c r="L1590"/>
    </row>
    <row r="1591" spans="10:12">
      <c r="J1591"/>
      <c r="K1591"/>
      <c r="L1591"/>
    </row>
    <row r="1592" spans="10:12">
      <c r="J1592"/>
      <c r="K1592"/>
      <c r="L1592"/>
    </row>
    <row r="1593" spans="10:12">
      <c r="J1593"/>
      <c r="K1593"/>
      <c r="L1593"/>
    </row>
    <row r="1594" spans="10:12">
      <c r="J1594"/>
      <c r="K1594"/>
      <c r="L1594"/>
    </row>
    <row r="1595" spans="10:12">
      <c r="J1595"/>
      <c r="K1595"/>
      <c r="L1595"/>
    </row>
    <row r="1596" spans="10:12">
      <c r="J1596"/>
      <c r="K1596"/>
      <c r="L1596"/>
    </row>
    <row r="1597" spans="10:12">
      <c r="J1597"/>
      <c r="K1597"/>
      <c r="L1597"/>
    </row>
    <row r="1598" spans="10:12">
      <c r="J1598"/>
      <c r="K1598"/>
      <c r="L1598"/>
    </row>
    <row r="1599" spans="10:12">
      <c r="J1599"/>
      <c r="K1599"/>
      <c r="L1599"/>
    </row>
    <row r="1600" spans="10:12">
      <c r="J1600"/>
      <c r="K1600"/>
      <c r="L1600"/>
    </row>
    <row r="1601" spans="10:12">
      <c r="J1601"/>
      <c r="K1601"/>
      <c r="L1601"/>
    </row>
    <row r="1602" spans="10:12">
      <c r="J1602"/>
      <c r="K1602"/>
      <c r="L1602"/>
    </row>
    <row r="1603" spans="10:12">
      <c r="J1603"/>
      <c r="K1603"/>
      <c r="L1603"/>
    </row>
    <row r="1604" spans="10:12">
      <c r="J1604"/>
      <c r="K1604"/>
      <c r="L1604"/>
    </row>
    <row r="1605" spans="10:12">
      <c r="J1605"/>
      <c r="K1605"/>
      <c r="L1605"/>
    </row>
    <row r="1606" spans="10:12">
      <c r="J1606"/>
      <c r="K1606"/>
      <c r="L1606"/>
    </row>
    <row r="1607" spans="10:12">
      <c r="J1607"/>
      <c r="K1607"/>
      <c r="L1607"/>
    </row>
    <row r="1608" spans="10:12">
      <c r="J1608"/>
      <c r="K1608"/>
      <c r="L1608"/>
    </row>
    <row r="1609" spans="10:12">
      <c r="J1609"/>
      <c r="K1609"/>
      <c r="L1609"/>
    </row>
    <row r="1610" spans="10:12">
      <c r="J1610"/>
      <c r="K1610"/>
      <c r="L1610"/>
    </row>
    <row r="1611" spans="10:12">
      <c r="J1611"/>
      <c r="K1611"/>
      <c r="L1611"/>
    </row>
    <row r="1612" spans="10:12">
      <c r="J1612"/>
      <c r="K1612"/>
      <c r="L1612"/>
    </row>
    <row r="1613" spans="10:12">
      <c r="J1613"/>
      <c r="K1613"/>
      <c r="L1613"/>
    </row>
    <row r="1614" spans="10:12">
      <c r="J1614"/>
      <c r="K1614"/>
      <c r="L1614"/>
    </row>
    <row r="1615" spans="10:12">
      <c r="J1615"/>
      <c r="K1615"/>
      <c r="L1615"/>
    </row>
    <row r="1616" spans="10:12">
      <c r="J1616"/>
      <c r="K1616"/>
      <c r="L1616"/>
    </row>
    <row r="1617" spans="10:12">
      <c r="J1617"/>
      <c r="K1617"/>
      <c r="L1617"/>
    </row>
    <row r="1618" spans="10:12">
      <c r="J1618"/>
      <c r="K1618"/>
      <c r="L1618"/>
    </row>
    <row r="1619" spans="10:12">
      <c r="J1619"/>
      <c r="K1619"/>
      <c r="L1619"/>
    </row>
    <row r="1620" spans="10:12">
      <c r="J1620"/>
      <c r="K1620"/>
      <c r="L1620"/>
    </row>
    <row r="1621" spans="10:12">
      <c r="J1621"/>
      <c r="K1621"/>
      <c r="L1621"/>
    </row>
    <row r="1622" spans="10:12">
      <c r="J1622"/>
      <c r="K1622"/>
      <c r="L1622"/>
    </row>
    <row r="1623" spans="10:12">
      <c r="J1623"/>
      <c r="K1623"/>
      <c r="L1623"/>
    </row>
    <row r="1624" spans="10:12">
      <c r="J1624"/>
      <c r="K1624"/>
      <c r="L1624"/>
    </row>
    <row r="1625" spans="10:12">
      <c r="J1625"/>
      <c r="K1625"/>
      <c r="L1625"/>
    </row>
    <row r="1626" spans="10:12">
      <c r="J1626"/>
      <c r="K1626"/>
      <c r="L1626"/>
    </row>
    <row r="1627" spans="10:12">
      <c r="J1627"/>
      <c r="K1627"/>
      <c r="L1627"/>
    </row>
    <row r="1628" spans="10:12">
      <c r="J1628"/>
      <c r="K1628"/>
      <c r="L1628"/>
    </row>
    <row r="1629" spans="10:12">
      <c r="J1629"/>
      <c r="K1629"/>
      <c r="L1629"/>
    </row>
    <row r="1630" spans="10:12">
      <c r="J1630"/>
      <c r="K1630"/>
      <c r="L1630"/>
    </row>
    <row r="1631" spans="10:12">
      <c r="J1631"/>
      <c r="K1631"/>
      <c r="L1631"/>
    </row>
    <row r="1632" spans="10:12">
      <c r="J1632"/>
      <c r="K1632"/>
      <c r="L1632"/>
    </row>
    <row r="1633" spans="10:12">
      <c r="J1633"/>
      <c r="K1633"/>
      <c r="L1633"/>
    </row>
    <row r="1634" spans="10:12">
      <c r="J1634"/>
      <c r="K1634"/>
      <c r="L1634"/>
    </row>
    <row r="1635" spans="10:12">
      <c r="J1635"/>
      <c r="K1635"/>
      <c r="L1635"/>
    </row>
    <row r="1636" spans="10:12">
      <c r="J1636"/>
      <c r="K1636"/>
      <c r="L1636"/>
    </row>
    <row r="1637" spans="10:12">
      <c r="J1637"/>
      <c r="K1637"/>
      <c r="L1637"/>
    </row>
    <row r="1638" spans="10:12">
      <c r="J1638"/>
      <c r="K1638"/>
      <c r="L1638"/>
    </row>
    <row r="1639" spans="10:12">
      <c r="J1639"/>
      <c r="K1639"/>
      <c r="L1639"/>
    </row>
    <row r="1640" spans="10:12">
      <c r="J1640"/>
      <c r="K1640"/>
      <c r="L1640"/>
    </row>
    <row r="1641" spans="10:12">
      <c r="J1641"/>
      <c r="K1641"/>
      <c r="L1641"/>
    </row>
    <row r="1642" spans="10:12">
      <c r="J1642"/>
      <c r="K1642"/>
      <c r="L1642"/>
    </row>
    <row r="1643" spans="10:12">
      <c r="J1643"/>
      <c r="K1643"/>
      <c r="L1643"/>
    </row>
    <row r="1644" spans="10:12">
      <c r="J1644"/>
      <c r="K1644"/>
      <c r="L1644"/>
    </row>
    <row r="1645" spans="10:12">
      <c r="J1645"/>
      <c r="K1645"/>
      <c r="L1645"/>
    </row>
    <row r="1646" spans="10:12">
      <c r="J1646"/>
      <c r="K1646"/>
      <c r="L1646"/>
    </row>
    <row r="1647" spans="10:12">
      <c r="J1647"/>
      <c r="K1647"/>
      <c r="L1647"/>
    </row>
    <row r="1648" spans="10:12">
      <c r="J1648"/>
      <c r="K1648"/>
      <c r="L1648"/>
    </row>
    <row r="1649" spans="10:12">
      <c r="J1649"/>
      <c r="K1649"/>
      <c r="L1649"/>
    </row>
    <row r="1650" spans="10:12">
      <c r="J1650"/>
      <c r="K1650"/>
      <c r="L1650"/>
    </row>
    <row r="1651" spans="10:12">
      <c r="J1651"/>
      <c r="K1651"/>
      <c r="L1651"/>
    </row>
    <row r="1652" spans="10:12">
      <c r="J1652"/>
      <c r="K1652"/>
      <c r="L1652"/>
    </row>
    <row r="1653" spans="10:12">
      <c r="J1653"/>
      <c r="K1653"/>
      <c r="L1653"/>
    </row>
    <row r="1654" spans="10:12">
      <c r="J1654"/>
      <c r="K1654"/>
      <c r="L1654"/>
    </row>
    <row r="1655" spans="10:12">
      <c r="J1655"/>
      <c r="K1655"/>
      <c r="L1655"/>
    </row>
    <row r="1656" spans="10:12">
      <c r="J1656"/>
      <c r="K1656"/>
      <c r="L1656"/>
    </row>
    <row r="1657" spans="10:12">
      <c r="J1657"/>
      <c r="K1657"/>
      <c r="L1657"/>
    </row>
    <row r="1658" spans="10:12">
      <c r="J1658"/>
      <c r="K1658"/>
      <c r="L1658"/>
    </row>
    <row r="1659" spans="10:12">
      <c r="J1659"/>
      <c r="K1659"/>
      <c r="L1659"/>
    </row>
    <row r="1660" spans="10:12">
      <c r="J1660"/>
      <c r="K1660"/>
      <c r="L1660"/>
    </row>
    <row r="1661" spans="10:12">
      <c r="J1661"/>
      <c r="K1661"/>
      <c r="L1661"/>
    </row>
    <row r="1662" spans="10:12">
      <c r="J1662"/>
      <c r="K1662"/>
      <c r="L1662"/>
    </row>
    <row r="1663" spans="10:12">
      <c r="J1663"/>
      <c r="K1663"/>
      <c r="L1663"/>
    </row>
    <row r="1664" spans="10:12">
      <c r="J1664"/>
      <c r="K1664"/>
      <c r="L1664"/>
    </row>
    <row r="1665" spans="10:12">
      <c r="J1665"/>
      <c r="K1665"/>
      <c r="L1665"/>
    </row>
    <row r="1666" spans="10:12">
      <c r="J1666"/>
      <c r="K1666"/>
      <c r="L1666"/>
    </row>
    <row r="1667" spans="10:12">
      <c r="J1667"/>
      <c r="K1667"/>
      <c r="L1667"/>
    </row>
    <row r="1668" spans="10:12">
      <c r="J1668"/>
      <c r="K1668"/>
      <c r="L1668"/>
    </row>
    <row r="1669" spans="10:12">
      <c r="J1669"/>
      <c r="K1669"/>
      <c r="L1669"/>
    </row>
    <row r="1670" spans="10:12">
      <c r="J1670"/>
      <c r="K1670"/>
      <c r="L1670"/>
    </row>
    <row r="1671" spans="10:12">
      <c r="J1671"/>
      <c r="K1671"/>
      <c r="L1671"/>
    </row>
    <row r="1672" spans="10:12">
      <c r="J1672"/>
      <c r="K1672"/>
      <c r="L1672"/>
    </row>
    <row r="1673" spans="10:12">
      <c r="J1673"/>
      <c r="K1673"/>
      <c r="L1673"/>
    </row>
    <row r="1674" spans="10:12">
      <c r="J1674"/>
      <c r="K1674"/>
      <c r="L1674"/>
    </row>
    <row r="1675" spans="10:12">
      <c r="J1675"/>
      <c r="K1675"/>
      <c r="L1675"/>
    </row>
    <row r="1676" spans="10:12">
      <c r="J1676"/>
      <c r="K1676"/>
      <c r="L1676"/>
    </row>
    <row r="1677" spans="10:12">
      <c r="J1677"/>
      <c r="K1677"/>
      <c r="L1677"/>
    </row>
    <row r="1678" spans="10:12">
      <c r="J1678"/>
      <c r="K1678"/>
      <c r="L1678"/>
    </row>
    <row r="1679" spans="10:12">
      <c r="J1679"/>
      <c r="K1679"/>
      <c r="L1679"/>
    </row>
    <row r="1680" spans="10:12">
      <c r="J1680"/>
      <c r="K1680"/>
      <c r="L1680"/>
    </row>
    <row r="1681" spans="10:12">
      <c r="J1681"/>
      <c r="K1681"/>
      <c r="L1681"/>
    </row>
    <row r="1682" spans="10:12">
      <c r="J1682"/>
      <c r="K1682"/>
      <c r="L1682"/>
    </row>
    <row r="1683" spans="10:12">
      <c r="J1683"/>
      <c r="K1683"/>
      <c r="L1683"/>
    </row>
    <row r="1684" spans="10:12">
      <c r="J1684"/>
      <c r="K1684"/>
      <c r="L1684"/>
    </row>
    <row r="1685" spans="10:12">
      <c r="J1685"/>
      <c r="K1685"/>
      <c r="L1685"/>
    </row>
    <row r="1686" spans="10:12">
      <c r="J1686"/>
      <c r="K1686"/>
      <c r="L1686"/>
    </row>
    <row r="1687" spans="10:12">
      <c r="J1687"/>
      <c r="K1687"/>
      <c r="L1687"/>
    </row>
    <row r="1688" spans="10:12">
      <c r="J1688"/>
      <c r="K1688"/>
      <c r="L1688"/>
    </row>
    <row r="1689" spans="10:12">
      <c r="J1689"/>
      <c r="K1689"/>
      <c r="L1689"/>
    </row>
    <row r="1690" spans="10:12">
      <c r="J1690"/>
      <c r="K1690"/>
      <c r="L1690"/>
    </row>
    <row r="1691" spans="10:12">
      <c r="J1691"/>
      <c r="K1691"/>
      <c r="L1691"/>
    </row>
    <row r="1692" spans="10:12">
      <c r="J1692"/>
      <c r="K1692"/>
      <c r="L1692"/>
    </row>
    <row r="1693" spans="10:12">
      <c r="J1693"/>
      <c r="K1693"/>
      <c r="L1693"/>
    </row>
    <row r="1694" spans="10:12">
      <c r="J1694"/>
      <c r="K1694"/>
      <c r="L1694"/>
    </row>
    <row r="1695" spans="10:12">
      <c r="J1695"/>
      <c r="K1695"/>
      <c r="L1695"/>
    </row>
    <row r="1696" spans="10:12">
      <c r="J1696"/>
      <c r="K1696"/>
      <c r="L1696"/>
    </row>
    <row r="1697" spans="10:12">
      <c r="J1697"/>
      <c r="K1697"/>
      <c r="L1697"/>
    </row>
    <row r="1698" spans="10:12">
      <c r="J1698"/>
      <c r="K1698"/>
      <c r="L1698"/>
    </row>
    <row r="1699" spans="10:12">
      <c r="J1699"/>
      <c r="K1699"/>
      <c r="L1699"/>
    </row>
    <row r="1700" spans="10:12">
      <c r="J1700"/>
      <c r="K1700"/>
      <c r="L1700"/>
    </row>
    <row r="1701" spans="10:12">
      <c r="J1701"/>
      <c r="K1701"/>
      <c r="L1701"/>
    </row>
    <row r="1702" spans="10:12">
      <c r="J1702"/>
      <c r="K1702"/>
      <c r="L1702"/>
    </row>
    <row r="1703" spans="10:12">
      <c r="J1703"/>
      <c r="K1703"/>
      <c r="L1703"/>
    </row>
    <row r="1704" spans="10:12">
      <c r="J1704"/>
      <c r="K1704"/>
      <c r="L1704"/>
    </row>
    <row r="1705" spans="10:12">
      <c r="J1705"/>
      <c r="K1705"/>
      <c r="L1705"/>
    </row>
    <row r="1706" spans="10:12">
      <c r="J1706"/>
      <c r="K1706"/>
      <c r="L1706"/>
    </row>
    <row r="1707" spans="10:12">
      <c r="J1707"/>
      <c r="K1707"/>
      <c r="L1707"/>
    </row>
    <row r="1708" spans="10:12">
      <c r="J1708"/>
      <c r="K1708"/>
      <c r="L1708"/>
    </row>
    <row r="1709" spans="10:12">
      <c r="J1709"/>
      <c r="K1709"/>
      <c r="L1709"/>
    </row>
    <row r="1710" spans="10:12">
      <c r="J1710"/>
      <c r="K1710"/>
      <c r="L1710"/>
    </row>
    <row r="1711" spans="10:12">
      <c r="J1711"/>
      <c r="K1711"/>
      <c r="L1711"/>
    </row>
    <row r="1712" spans="10:12">
      <c r="J1712"/>
      <c r="K1712"/>
      <c r="L1712"/>
    </row>
    <row r="1713" spans="10:12">
      <c r="J1713"/>
      <c r="K1713"/>
      <c r="L1713"/>
    </row>
    <row r="1714" spans="10:12">
      <c r="J1714"/>
      <c r="K1714"/>
      <c r="L1714"/>
    </row>
    <row r="1715" spans="10:12">
      <c r="J1715"/>
      <c r="K1715"/>
      <c r="L1715"/>
    </row>
    <row r="1716" spans="10:12">
      <c r="J1716"/>
      <c r="K1716"/>
      <c r="L1716"/>
    </row>
    <row r="1717" spans="10:12">
      <c r="J1717"/>
      <c r="K1717"/>
      <c r="L1717"/>
    </row>
    <row r="1718" spans="10:12">
      <c r="J1718"/>
      <c r="K1718"/>
      <c r="L1718"/>
    </row>
    <row r="1719" spans="10:12">
      <c r="J1719"/>
      <c r="K1719"/>
      <c r="L1719"/>
    </row>
    <row r="1720" spans="10:12">
      <c r="J1720"/>
      <c r="K1720"/>
      <c r="L1720"/>
    </row>
    <row r="1721" spans="10:12">
      <c r="J1721"/>
      <c r="K1721"/>
      <c r="L1721"/>
    </row>
    <row r="1722" spans="10:12">
      <c r="J1722"/>
      <c r="K1722"/>
      <c r="L1722"/>
    </row>
    <row r="1723" spans="10:12">
      <c r="J1723"/>
      <c r="K1723"/>
      <c r="L1723"/>
    </row>
    <row r="1724" spans="10:12">
      <c r="J1724"/>
      <c r="K1724"/>
      <c r="L1724"/>
    </row>
    <row r="1725" spans="10:12">
      <c r="J1725"/>
      <c r="K1725"/>
      <c r="L1725"/>
    </row>
    <row r="1726" spans="10:12">
      <c r="J1726"/>
      <c r="K1726"/>
      <c r="L1726"/>
    </row>
    <row r="1727" spans="10:12">
      <c r="J1727"/>
      <c r="K1727"/>
      <c r="L1727"/>
    </row>
    <row r="1728" spans="10:12">
      <c r="J1728"/>
      <c r="K1728"/>
      <c r="L1728"/>
    </row>
    <row r="1729" spans="10:12">
      <c r="J1729"/>
      <c r="K1729"/>
      <c r="L1729"/>
    </row>
    <row r="1730" spans="10:12">
      <c r="J1730"/>
      <c r="K1730"/>
      <c r="L1730"/>
    </row>
    <row r="1731" spans="10:12">
      <c r="J1731"/>
      <c r="K1731"/>
      <c r="L1731"/>
    </row>
    <row r="1732" spans="10:12">
      <c r="J1732"/>
      <c r="K1732"/>
      <c r="L1732"/>
    </row>
    <row r="1733" spans="10:12">
      <c r="J1733"/>
      <c r="K1733"/>
      <c r="L1733"/>
    </row>
    <row r="1734" spans="10:12">
      <c r="J1734"/>
      <c r="K1734"/>
      <c r="L1734"/>
    </row>
    <row r="1735" spans="10:12">
      <c r="J1735"/>
      <c r="K1735"/>
      <c r="L1735"/>
    </row>
    <row r="1736" spans="10:12">
      <c r="J1736"/>
      <c r="K1736"/>
      <c r="L1736"/>
    </row>
    <row r="1737" spans="10:12">
      <c r="J1737"/>
      <c r="K1737"/>
      <c r="L1737"/>
    </row>
    <row r="1738" spans="10:12">
      <c r="J1738"/>
      <c r="K1738"/>
      <c r="L1738"/>
    </row>
    <row r="1739" spans="10:12">
      <c r="J1739"/>
      <c r="K1739"/>
      <c r="L1739"/>
    </row>
    <row r="1740" spans="10:12">
      <c r="J1740"/>
      <c r="K1740"/>
      <c r="L1740"/>
    </row>
    <row r="1741" spans="10:12">
      <c r="J1741"/>
      <c r="K1741"/>
      <c r="L1741"/>
    </row>
    <row r="1742" spans="10:12">
      <c r="J1742"/>
      <c r="K1742"/>
      <c r="L1742"/>
    </row>
    <row r="1743" spans="10:12">
      <c r="J1743"/>
      <c r="K1743"/>
      <c r="L1743"/>
    </row>
    <row r="1744" spans="10:12">
      <c r="J1744"/>
      <c r="K1744"/>
      <c r="L1744"/>
    </row>
    <row r="1745" spans="10:12">
      <c r="J1745"/>
      <c r="K1745"/>
      <c r="L1745"/>
    </row>
    <row r="1746" spans="10:12">
      <c r="J1746"/>
      <c r="K1746"/>
      <c r="L1746"/>
    </row>
    <row r="1747" spans="10:12">
      <c r="J1747"/>
      <c r="K1747"/>
      <c r="L1747"/>
    </row>
    <row r="1748" spans="10:12">
      <c r="J1748"/>
      <c r="K1748"/>
      <c r="L1748"/>
    </row>
    <row r="1749" spans="10:12">
      <c r="J1749"/>
      <c r="K1749"/>
      <c r="L1749"/>
    </row>
    <row r="1750" spans="10:12">
      <c r="J1750"/>
      <c r="K1750"/>
      <c r="L1750"/>
    </row>
    <row r="1751" spans="10:12">
      <c r="J1751"/>
      <c r="K1751"/>
      <c r="L1751"/>
    </row>
    <row r="1752" spans="10:12">
      <c r="J1752"/>
      <c r="K1752"/>
      <c r="L1752"/>
    </row>
    <row r="1753" spans="10:12">
      <c r="J1753"/>
      <c r="K1753"/>
      <c r="L1753"/>
    </row>
    <row r="1754" spans="10:12">
      <c r="J1754"/>
      <c r="K1754"/>
      <c r="L1754"/>
    </row>
    <row r="1755" spans="10:12">
      <c r="J1755"/>
      <c r="K1755"/>
      <c r="L1755"/>
    </row>
    <row r="1756" spans="10:12">
      <c r="J1756"/>
      <c r="K1756"/>
      <c r="L1756"/>
    </row>
    <row r="1757" spans="10:12">
      <c r="J1757"/>
      <c r="K1757"/>
      <c r="L1757"/>
    </row>
    <row r="1758" spans="10:12">
      <c r="J1758"/>
      <c r="K1758"/>
      <c r="L1758"/>
    </row>
    <row r="1759" spans="10:12">
      <c r="J1759"/>
      <c r="K1759"/>
      <c r="L1759"/>
    </row>
    <row r="1760" spans="10:12">
      <c r="J1760"/>
      <c r="K1760"/>
      <c r="L1760"/>
    </row>
    <row r="1761" spans="10:12">
      <c r="J1761"/>
      <c r="K1761"/>
      <c r="L1761"/>
    </row>
    <row r="1762" spans="10:12">
      <c r="J1762"/>
      <c r="K1762"/>
      <c r="L1762"/>
    </row>
    <row r="1763" spans="10:12">
      <c r="J1763"/>
      <c r="K1763"/>
      <c r="L1763"/>
    </row>
    <row r="1764" spans="10:12">
      <c r="J1764"/>
      <c r="K1764"/>
      <c r="L1764"/>
    </row>
    <row r="1765" spans="10:12">
      <c r="J1765"/>
      <c r="K1765"/>
      <c r="L1765"/>
    </row>
    <row r="1766" spans="10:12">
      <c r="J1766"/>
      <c r="K1766"/>
      <c r="L1766"/>
    </row>
    <row r="1767" spans="10:12">
      <c r="J1767"/>
      <c r="K1767"/>
      <c r="L1767"/>
    </row>
    <row r="1768" spans="10:12">
      <c r="J1768"/>
      <c r="K1768"/>
      <c r="L1768"/>
    </row>
    <row r="1769" spans="10:12">
      <c r="J1769"/>
      <c r="K1769"/>
      <c r="L1769"/>
    </row>
    <row r="1770" spans="10:12">
      <c r="J1770"/>
      <c r="K1770"/>
      <c r="L1770"/>
    </row>
    <row r="1771" spans="10:12">
      <c r="J1771"/>
      <c r="K1771"/>
      <c r="L1771"/>
    </row>
    <row r="1772" spans="10:12">
      <c r="J1772"/>
      <c r="K1772"/>
      <c r="L1772"/>
    </row>
    <row r="1773" spans="10:12">
      <c r="J1773"/>
      <c r="K1773"/>
      <c r="L1773"/>
    </row>
    <row r="1774" spans="10:12">
      <c r="J1774"/>
      <c r="K1774"/>
      <c r="L1774"/>
    </row>
    <row r="1775" spans="10:12">
      <c r="J1775"/>
      <c r="K1775"/>
      <c r="L1775"/>
    </row>
    <row r="1776" spans="10:12">
      <c r="J1776"/>
      <c r="K1776"/>
      <c r="L1776"/>
    </row>
    <row r="1777" spans="10:12">
      <c r="J1777"/>
      <c r="K1777"/>
      <c r="L1777"/>
    </row>
    <row r="1778" spans="10:12">
      <c r="J1778"/>
      <c r="K1778"/>
      <c r="L1778"/>
    </row>
    <row r="1779" spans="10:12">
      <c r="J1779"/>
      <c r="K1779"/>
      <c r="L1779"/>
    </row>
    <row r="1780" spans="10:12">
      <c r="J1780"/>
      <c r="K1780"/>
      <c r="L1780"/>
    </row>
    <row r="1781" spans="10:12">
      <c r="J1781"/>
      <c r="K1781"/>
      <c r="L1781"/>
    </row>
    <row r="1782" spans="10:12">
      <c r="J1782"/>
      <c r="K1782"/>
      <c r="L1782"/>
    </row>
    <row r="1783" spans="10:12">
      <c r="J1783"/>
      <c r="K1783"/>
      <c r="L1783"/>
    </row>
    <row r="1784" spans="10:12">
      <c r="J1784"/>
      <c r="K1784"/>
      <c r="L1784"/>
    </row>
    <row r="1785" spans="10:12">
      <c r="J1785"/>
      <c r="K1785"/>
      <c r="L1785"/>
    </row>
    <row r="1786" spans="10:12">
      <c r="J1786"/>
      <c r="K1786"/>
      <c r="L1786"/>
    </row>
    <row r="1787" spans="10:12">
      <c r="J1787"/>
      <c r="K1787"/>
      <c r="L1787"/>
    </row>
    <row r="1788" spans="10:12">
      <c r="J1788"/>
      <c r="K1788"/>
      <c r="L1788"/>
    </row>
    <row r="1789" spans="10:12">
      <c r="J1789"/>
      <c r="K1789"/>
      <c r="L1789"/>
    </row>
    <row r="1790" spans="10:12">
      <c r="J1790"/>
      <c r="K1790"/>
      <c r="L1790"/>
    </row>
    <row r="1791" spans="10:12">
      <c r="J1791"/>
      <c r="K1791"/>
      <c r="L1791"/>
    </row>
    <row r="1792" spans="10:12">
      <c r="J1792"/>
      <c r="K1792"/>
      <c r="L1792"/>
    </row>
    <row r="1793" spans="10:12">
      <c r="J1793"/>
      <c r="K1793"/>
      <c r="L1793"/>
    </row>
    <row r="1794" spans="10:12">
      <c r="J1794"/>
      <c r="K1794"/>
      <c r="L1794"/>
    </row>
    <row r="1795" spans="10:12">
      <c r="J1795"/>
      <c r="K1795"/>
      <c r="L1795"/>
    </row>
    <row r="1796" spans="10:12">
      <c r="J1796"/>
      <c r="K1796"/>
      <c r="L1796"/>
    </row>
    <row r="1797" spans="10:12">
      <c r="J1797"/>
      <c r="K1797"/>
      <c r="L1797"/>
    </row>
    <row r="1798" spans="10:12">
      <c r="J1798"/>
      <c r="K1798"/>
      <c r="L1798"/>
    </row>
    <row r="1799" spans="10:12">
      <c r="J1799"/>
      <c r="K1799"/>
      <c r="L1799"/>
    </row>
    <row r="1800" spans="10:12">
      <c r="J1800"/>
      <c r="K1800"/>
      <c r="L1800"/>
    </row>
    <row r="1801" spans="10:12">
      <c r="J1801"/>
      <c r="K1801"/>
      <c r="L1801"/>
    </row>
    <row r="1802" spans="10:12">
      <c r="J1802"/>
      <c r="K1802"/>
      <c r="L1802"/>
    </row>
    <row r="1803" spans="10:12">
      <c r="J1803"/>
      <c r="K1803"/>
      <c r="L1803"/>
    </row>
    <row r="1804" spans="10:12">
      <c r="J1804"/>
      <c r="K1804"/>
      <c r="L1804"/>
    </row>
    <row r="1805" spans="10:12">
      <c r="J1805"/>
      <c r="K1805"/>
      <c r="L1805"/>
    </row>
    <row r="1806" spans="10:12">
      <c r="J1806"/>
      <c r="K1806"/>
      <c r="L1806"/>
    </row>
    <row r="1807" spans="10:12">
      <c r="J1807"/>
      <c r="K1807"/>
      <c r="L1807"/>
    </row>
    <row r="1808" spans="10:12">
      <c r="J1808"/>
      <c r="K1808"/>
      <c r="L1808"/>
    </row>
    <row r="1809" spans="10:12">
      <c r="J1809"/>
      <c r="K1809"/>
      <c r="L1809"/>
    </row>
    <row r="1810" spans="10:12">
      <c r="J1810"/>
      <c r="K1810"/>
      <c r="L1810"/>
    </row>
    <row r="1811" spans="10:12">
      <c r="J1811"/>
      <c r="K1811"/>
      <c r="L1811"/>
    </row>
    <row r="1812" spans="10:12">
      <c r="J1812"/>
      <c r="K1812"/>
      <c r="L1812"/>
    </row>
    <row r="1813" spans="10:12">
      <c r="J1813"/>
      <c r="K1813"/>
      <c r="L1813"/>
    </row>
    <row r="1814" spans="10:12">
      <c r="J1814"/>
      <c r="K1814"/>
      <c r="L1814"/>
    </row>
    <row r="1815" spans="10:12">
      <c r="J1815"/>
      <c r="K1815"/>
      <c r="L1815"/>
    </row>
    <row r="1816" spans="10:12">
      <c r="J1816"/>
      <c r="K1816"/>
      <c r="L1816"/>
    </row>
    <row r="1817" spans="10:12">
      <c r="J1817"/>
      <c r="K1817"/>
      <c r="L1817"/>
    </row>
    <row r="1818" spans="10:12">
      <c r="J1818"/>
      <c r="K1818"/>
      <c r="L1818"/>
    </row>
    <row r="1819" spans="10:12">
      <c r="J1819"/>
      <c r="K1819"/>
      <c r="L1819"/>
    </row>
    <row r="1820" spans="10:12">
      <c r="J1820"/>
      <c r="K1820"/>
      <c r="L1820"/>
    </row>
    <row r="1821" spans="10:12">
      <c r="J1821"/>
      <c r="K1821"/>
      <c r="L1821"/>
    </row>
    <row r="1822" spans="10:12">
      <c r="J1822"/>
      <c r="K1822"/>
      <c r="L1822"/>
    </row>
    <row r="1823" spans="10:12">
      <c r="J1823"/>
      <c r="K1823"/>
      <c r="L1823"/>
    </row>
    <row r="1824" spans="10:12">
      <c r="J1824"/>
      <c r="K1824"/>
      <c r="L1824"/>
    </row>
    <row r="1825" spans="10:12">
      <c r="J1825"/>
      <c r="K1825"/>
      <c r="L1825"/>
    </row>
    <row r="1826" spans="10:12">
      <c r="J1826"/>
      <c r="K1826"/>
      <c r="L1826"/>
    </row>
    <row r="1827" spans="10:12">
      <c r="J1827"/>
      <c r="K1827"/>
      <c r="L1827"/>
    </row>
    <row r="1828" spans="10:12">
      <c r="J1828"/>
      <c r="K1828"/>
      <c r="L1828"/>
    </row>
    <row r="1829" spans="10:12">
      <c r="J1829"/>
      <c r="K1829"/>
      <c r="L1829"/>
    </row>
    <row r="1830" spans="10:12">
      <c r="J1830"/>
      <c r="K1830"/>
      <c r="L1830"/>
    </row>
    <row r="1831" spans="10:12">
      <c r="J1831"/>
      <c r="K1831"/>
      <c r="L1831"/>
    </row>
    <row r="1832" spans="10:12">
      <c r="J1832"/>
      <c r="K1832"/>
      <c r="L1832"/>
    </row>
    <row r="1833" spans="10:12">
      <c r="J1833"/>
      <c r="K1833"/>
      <c r="L1833"/>
    </row>
    <row r="1834" spans="10:12">
      <c r="J1834"/>
      <c r="K1834"/>
      <c r="L1834"/>
    </row>
    <row r="1835" spans="10:12">
      <c r="J1835"/>
      <c r="K1835"/>
      <c r="L1835"/>
    </row>
    <row r="1836" spans="10:12">
      <c r="J1836"/>
      <c r="K1836"/>
      <c r="L1836"/>
    </row>
    <row r="1837" spans="10:12">
      <c r="J1837"/>
      <c r="K1837"/>
      <c r="L1837"/>
    </row>
    <row r="1838" spans="10:12">
      <c r="J1838"/>
      <c r="K1838"/>
      <c r="L1838"/>
    </row>
    <row r="1839" spans="10:12">
      <c r="J1839"/>
      <c r="K1839"/>
      <c r="L1839"/>
    </row>
    <row r="1840" spans="10:12">
      <c r="J1840"/>
      <c r="K1840"/>
      <c r="L1840"/>
    </row>
    <row r="1841" spans="10:12">
      <c r="J1841"/>
      <c r="K1841"/>
      <c r="L1841"/>
    </row>
    <row r="1842" spans="10:12">
      <c r="J1842"/>
      <c r="K1842"/>
      <c r="L1842"/>
    </row>
    <row r="1843" spans="10:12">
      <c r="J1843"/>
      <c r="K1843"/>
      <c r="L1843"/>
    </row>
    <row r="1844" spans="10:12">
      <c r="J1844"/>
      <c r="K1844"/>
      <c r="L1844"/>
    </row>
    <row r="1845" spans="10:12">
      <c r="J1845"/>
      <c r="K1845"/>
      <c r="L1845"/>
    </row>
    <row r="1846" spans="10:12">
      <c r="J1846"/>
      <c r="K1846"/>
      <c r="L1846"/>
    </row>
    <row r="1847" spans="10:12">
      <c r="J1847"/>
      <c r="K1847"/>
      <c r="L1847"/>
    </row>
    <row r="1848" spans="10:12">
      <c r="J1848"/>
      <c r="K1848"/>
      <c r="L1848"/>
    </row>
    <row r="1849" spans="10:12">
      <c r="J1849"/>
      <c r="K1849"/>
      <c r="L1849"/>
    </row>
    <row r="1850" spans="10:12">
      <c r="J1850"/>
      <c r="K1850"/>
      <c r="L1850"/>
    </row>
    <row r="1851" spans="10:12">
      <c r="J1851"/>
      <c r="K1851"/>
      <c r="L1851"/>
    </row>
    <row r="1852" spans="10:12">
      <c r="J1852"/>
      <c r="K1852"/>
      <c r="L1852"/>
    </row>
    <row r="1853" spans="10:12">
      <c r="J1853"/>
      <c r="K1853"/>
      <c r="L1853"/>
    </row>
    <row r="1854" spans="10:12">
      <c r="J1854"/>
      <c r="K1854"/>
      <c r="L1854"/>
    </row>
    <row r="1855" spans="10:12">
      <c r="J1855"/>
      <c r="K1855"/>
      <c r="L1855"/>
    </row>
    <row r="1856" spans="10:12">
      <c r="J1856"/>
      <c r="K1856"/>
      <c r="L1856"/>
    </row>
    <row r="1857" spans="10:12">
      <c r="J1857"/>
      <c r="K1857"/>
      <c r="L1857"/>
    </row>
    <row r="1858" spans="10:12">
      <c r="J1858"/>
      <c r="K1858"/>
      <c r="L1858"/>
    </row>
    <row r="1859" spans="10:12">
      <c r="J1859"/>
      <c r="K1859"/>
      <c r="L1859"/>
    </row>
    <row r="1860" spans="10:12">
      <c r="J1860"/>
      <c r="K1860"/>
      <c r="L1860"/>
    </row>
    <row r="1861" spans="10:12">
      <c r="J1861"/>
      <c r="K1861"/>
      <c r="L1861"/>
    </row>
    <row r="1862" spans="10:12">
      <c r="J1862"/>
      <c r="K1862"/>
      <c r="L1862"/>
    </row>
    <row r="1863" spans="10:12">
      <c r="J1863"/>
      <c r="K1863"/>
      <c r="L1863"/>
    </row>
    <row r="1864" spans="10:12">
      <c r="J1864"/>
      <c r="K1864"/>
      <c r="L1864"/>
    </row>
    <row r="1865" spans="10:12">
      <c r="J1865"/>
      <c r="K1865"/>
      <c r="L1865"/>
    </row>
    <row r="1866" spans="10:12">
      <c r="J1866"/>
      <c r="K1866"/>
      <c r="L1866"/>
    </row>
    <row r="1867" spans="10:12">
      <c r="J1867"/>
      <c r="K1867"/>
      <c r="L1867"/>
    </row>
    <row r="1868" spans="10:12">
      <c r="J1868"/>
      <c r="K1868"/>
      <c r="L1868"/>
    </row>
    <row r="1869" spans="10:12">
      <c r="J1869"/>
      <c r="K1869"/>
      <c r="L1869"/>
    </row>
    <row r="1870" spans="10:12">
      <c r="J1870"/>
      <c r="K1870"/>
      <c r="L1870"/>
    </row>
    <row r="1871" spans="10:12">
      <c r="J1871"/>
      <c r="K1871"/>
      <c r="L1871"/>
    </row>
    <row r="1872" spans="10:12">
      <c r="J1872"/>
      <c r="K1872"/>
      <c r="L1872"/>
    </row>
    <row r="1873" spans="10:12">
      <c r="J1873"/>
      <c r="K1873"/>
      <c r="L1873"/>
    </row>
    <row r="1874" spans="10:12">
      <c r="J1874"/>
      <c r="K1874"/>
      <c r="L1874"/>
    </row>
    <row r="1875" spans="10:12">
      <c r="J1875"/>
      <c r="K1875"/>
      <c r="L1875"/>
    </row>
    <row r="1876" spans="10:12">
      <c r="J1876"/>
      <c r="K1876"/>
      <c r="L1876"/>
    </row>
    <row r="1877" spans="10:12">
      <c r="J1877"/>
      <c r="K1877"/>
      <c r="L1877"/>
    </row>
    <row r="1878" spans="10:12">
      <c r="J1878"/>
      <c r="K1878"/>
      <c r="L1878"/>
    </row>
    <row r="1879" spans="10:12">
      <c r="J1879"/>
      <c r="K1879"/>
      <c r="L1879"/>
    </row>
    <row r="1880" spans="10:12">
      <c r="J1880"/>
      <c r="K1880"/>
      <c r="L1880"/>
    </row>
    <row r="1881" spans="10:12">
      <c r="J1881"/>
      <c r="K1881"/>
      <c r="L1881"/>
    </row>
    <row r="1882" spans="10:12">
      <c r="J1882"/>
      <c r="K1882"/>
      <c r="L1882"/>
    </row>
    <row r="1883" spans="10:12">
      <c r="J1883"/>
      <c r="K1883"/>
      <c r="L1883"/>
    </row>
    <row r="1884" spans="10:12">
      <c r="J1884"/>
      <c r="K1884"/>
      <c r="L1884"/>
    </row>
    <row r="1885" spans="10:12">
      <c r="J1885"/>
      <c r="K1885"/>
      <c r="L1885"/>
    </row>
    <row r="1886" spans="10:12">
      <c r="J1886"/>
      <c r="K1886"/>
      <c r="L1886"/>
    </row>
    <row r="1887" spans="10:12">
      <c r="J1887"/>
      <c r="K1887"/>
      <c r="L1887"/>
    </row>
    <row r="1888" spans="10:12">
      <c r="J1888"/>
      <c r="K1888"/>
      <c r="L1888"/>
    </row>
    <row r="1889" spans="10:12">
      <c r="J1889"/>
      <c r="K1889"/>
      <c r="L1889"/>
    </row>
    <row r="1890" spans="10:12">
      <c r="J1890"/>
      <c r="K1890"/>
      <c r="L1890"/>
    </row>
    <row r="1891" spans="10:12">
      <c r="J1891"/>
      <c r="K1891"/>
      <c r="L1891"/>
    </row>
    <row r="1892" spans="10:12">
      <c r="J1892"/>
      <c r="K1892"/>
      <c r="L1892"/>
    </row>
    <row r="1893" spans="10:12">
      <c r="J1893"/>
      <c r="K1893"/>
      <c r="L1893"/>
    </row>
    <row r="1894" spans="10:12">
      <c r="J1894"/>
      <c r="K1894"/>
      <c r="L1894"/>
    </row>
    <row r="1895" spans="10:12">
      <c r="J1895"/>
      <c r="K1895"/>
      <c r="L1895"/>
    </row>
    <row r="1896" spans="10:12">
      <c r="J1896"/>
      <c r="K1896"/>
      <c r="L1896"/>
    </row>
    <row r="1897" spans="10:12">
      <c r="J1897"/>
      <c r="K1897"/>
      <c r="L1897"/>
    </row>
    <row r="1898" spans="10:12">
      <c r="J1898"/>
      <c r="K1898"/>
      <c r="L1898"/>
    </row>
    <row r="1899" spans="10:12">
      <c r="J1899"/>
      <c r="K1899"/>
      <c r="L1899"/>
    </row>
    <row r="1900" spans="10:12">
      <c r="J1900"/>
      <c r="K1900"/>
      <c r="L1900"/>
    </row>
    <row r="1901" spans="10:12">
      <c r="J1901"/>
      <c r="K1901"/>
      <c r="L1901"/>
    </row>
    <row r="1902" spans="10:12">
      <c r="J1902"/>
      <c r="K1902"/>
      <c r="L1902"/>
    </row>
    <row r="1903" spans="10:12">
      <c r="J1903"/>
      <c r="K1903"/>
      <c r="L1903"/>
    </row>
    <row r="1904" spans="10:12">
      <c r="J1904"/>
      <c r="K1904"/>
      <c r="L1904"/>
    </row>
    <row r="1905" spans="10:12">
      <c r="J1905"/>
      <c r="K1905"/>
      <c r="L1905"/>
    </row>
    <row r="1906" spans="10:12">
      <c r="J1906"/>
      <c r="K1906"/>
      <c r="L1906"/>
    </row>
    <row r="1907" spans="10:12">
      <c r="J1907"/>
      <c r="K1907"/>
      <c r="L1907"/>
    </row>
    <row r="1908" spans="10:12">
      <c r="J1908"/>
      <c r="K1908"/>
      <c r="L1908"/>
    </row>
    <row r="1909" spans="10:12">
      <c r="J1909"/>
      <c r="K1909"/>
      <c r="L1909"/>
    </row>
    <row r="1910" spans="10:12">
      <c r="J1910"/>
      <c r="K1910"/>
      <c r="L1910"/>
    </row>
    <row r="1911" spans="10:12">
      <c r="J1911"/>
      <c r="K1911"/>
      <c r="L1911"/>
    </row>
    <row r="1912" spans="10:12">
      <c r="J1912"/>
      <c r="K1912"/>
      <c r="L1912"/>
    </row>
    <row r="1913" spans="10:12">
      <c r="J1913"/>
      <c r="K1913"/>
      <c r="L1913"/>
    </row>
    <row r="1914" spans="10:12">
      <c r="J1914"/>
      <c r="K1914"/>
      <c r="L1914"/>
    </row>
    <row r="1915" spans="10:12">
      <c r="J1915"/>
      <c r="K1915"/>
      <c r="L1915"/>
    </row>
    <row r="1916" spans="10:12">
      <c r="J1916"/>
      <c r="K1916"/>
      <c r="L1916"/>
    </row>
    <row r="1917" spans="10:12">
      <c r="J1917"/>
      <c r="K1917"/>
      <c r="L1917"/>
    </row>
    <row r="1918" spans="10:12">
      <c r="J1918"/>
      <c r="K1918"/>
      <c r="L1918"/>
    </row>
    <row r="1919" spans="10:12">
      <c r="J1919"/>
      <c r="K1919"/>
      <c r="L1919"/>
    </row>
    <row r="1920" spans="10:12">
      <c r="J1920"/>
      <c r="K1920"/>
      <c r="L1920"/>
    </row>
    <row r="1921" spans="10:12">
      <c r="J1921"/>
      <c r="K1921"/>
      <c r="L1921"/>
    </row>
    <row r="1922" spans="10:12">
      <c r="J1922"/>
      <c r="K1922"/>
      <c r="L1922"/>
    </row>
    <row r="1923" spans="10:12">
      <c r="J1923"/>
      <c r="K1923"/>
      <c r="L1923"/>
    </row>
    <row r="1924" spans="10:12">
      <c r="J1924"/>
      <c r="K1924"/>
      <c r="L1924"/>
    </row>
    <row r="1925" spans="10:12">
      <c r="J1925"/>
      <c r="K1925"/>
      <c r="L1925"/>
    </row>
    <row r="1926" spans="10:12">
      <c r="J1926"/>
      <c r="K1926"/>
      <c r="L1926"/>
    </row>
    <row r="1927" spans="10:12">
      <c r="J1927"/>
      <c r="K1927"/>
      <c r="L1927"/>
    </row>
    <row r="1928" spans="10:12">
      <c r="J1928"/>
      <c r="K1928"/>
      <c r="L1928"/>
    </row>
    <row r="1929" spans="10:12">
      <c r="J1929"/>
      <c r="K1929"/>
      <c r="L1929"/>
    </row>
    <row r="1930" spans="10:12">
      <c r="J1930"/>
      <c r="K1930"/>
      <c r="L1930"/>
    </row>
    <row r="1931" spans="10:12">
      <c r="J1931"/>
      <c r="K1931"/>
      <c r="L1931"/>
    </row>
    <row r="1932" spans="10:12">
      <c r="J1932"/>
      <c r="K1932"/>
      <c r="L1932"/>
    </row>
    <row r="1933" spans="10:12">
      <c r="J1933"/>
      <c r="K1933"/>
      <c r="L1933"/>
    </row>
    <row r="1934" spans="10:12">
      <c r="J1934"/>
      <c r="K1934"/>
      <c r="L1934"/>
    </row>
    <row r="1935" spans="10:12">
      <c r="J1935"/>
      <c r="K1935"/>
      <c r="L1935"/>
    </row>
    <row r="1936" spans="10:12">
      <c r="J1936"/>
      <c r="K1936"/>
      <c r="L1936"/>
    </row>
    <row r="1937" spans="10:12">
      <c r="J1937"/>
      <c r="K1937"/>
      <c r="L1937"/>
    </row>
    <row r="1938" spans="10:12">
      <c r="J1938"/>
      <c r="K1938"/>
      <c r="L1938"/>
    </row>
    <row r="1939" spans="10:12">
      <c r="J1939"/>
      <c r="K1939"/>
      <c r="L1939"/>
    </row>
    <row r="1940" spans="10:12">
      <c r="J1940"/>
      <c r="K1940"/>
      <c r="L1940"/>
    </row>
    <row r="1941" spans="10:12">
      <c r="J1941"/>
      <c r="K1941"/>
      <c r="L1941"/>
    </row>
    <row r="1942" spans="10:12">
      <c r="J1942"/>
      <c r="K1942"/>
      <c r="L1942"/>
    </row>
    <row r="1943" spans="10:12">
      <c r="J1943"/>
      <c r="K1943"/>
      <c r="L1943"/>
    </row>
    <row r="1944" spans="10:12">
      <c r="J1944"/>
      <c r="K1944"/>
      <c r="L1944"/>
    </row>
    <row r="1945" spans="10:12">
      <c r="J1945"/>
      <c r="K1945"/>
      <c r="L1945"/>
    </row>
    <row r="1946" spans="10:12">
      <c r="J1946"/>
      <c r="K1946"/>
      <c r="L1946"/>
    </row>
    <row r="1947" spans="10:12">
      <c r="J1947"/>
      <c r="K1947"/>
      <c r="L1947"/>
    </row>
    <row r="1948" spans="10:12">
      <c r="J1948"/>
      <c r="K1948"/>
      <c r="L1948"/>
    </row>
    <row r="1949" spans="10:12">
      <c r="J1949"/>
      <c r="K1949"/>
      <c r="L1949"/>
    </row>
    <row r="1950" spans="10:12">
      <c r="J1950"/>
      <c r="K1950"/>
      <c r="L1950"/>
    </row>
    <row r="1951" spans="10:12">
      <c r="J1951"/>
      <c r="K1951"/>
      <c r="L1951"/>
    </row>
    <row r="1952" spans="10:12">
      <c r="J1952"/>
      <c r="K1952"/>
      <c r="L1952"/>
    </row>
    <row r="1953" spans="10:12">
      <c r="J1953"/>
      <c r="K1953"/>
      <c r="L1953"/>
    </row>
    <row r="1954" spans="10:12">
      <c r="J1954"/>
      <c r="K1954"/>
      <c r="L1954"/>
    </row>
    <row r="1955" spans="10:12">
      <c r="J1955"/>
      <c r="K1955"/>
      <c r="L1955"/>
    </row>
    <row r="1956" spans="10:12">
      <c r="J1956"/>
      <c r="K1956"/>
      <c r="L1956"/>
    </row>
    <row r="1957" spans="10:12">
      <c r="J1957"/>
      <c r="K1957"/>
      <c r="L1957"/>
    </row>
    <row r="1958" spans="10:12">
      <c r="J1958"/>
      <c r="K1958"/>
      <c r="L1958"/>
    </row>
    <row r="1959" spans="10:12">
      <c r="J1959"/>
      <c r="K1959"/>
      <c r="L1959"/>
    </row>
    <row r="1960" spans="10:12">
      <c r="J1960"/>
      <c r="K1960"/>
      <c r="L1960"/>
    </row>
    <row r="1961" spans="10:12">
      <c r="J1961"/>
      <c r="K1961"/>
      <c r="L1961"/>
    </row>
    <row r="1962" spans="10:12">
      <c r="J1962"/>
      <c r="K1962"/>
      <c r="L1962"/>
    </row>
    <row r="1963" spans="10:12">
      <c r="J1963"/>
      <c r="K1963"/>
      <c r="L1963"/>
    </row>
    <row r="1964" spans="10:12">
      <c r="J1964"/>
      <c r="K1964"/>
      <c r="L1964"/>
    </row>
    <row r="1965" spans="10:12">
      <c r="J1965"/>
      <c r="K1965"/>
      <c r="L1965"/>
    </row>
    <row r="1966" spans="10:12">
      <c r="J1966"/>
      <c r="K1966"/>
      <c r="L1966"/>
    </row>
    <row r="1967" spans="10:12">
      <c r="J1967"/>
      <c r="K1967"/>
      <c r="L1967"/>
    </row>
    <row r="1968" spans="10:12">
      <c r="J1968"/>
      <c r="K1968"/>
      <c r="L1968"/>
    </row>
    <row r="1969" spans="10:12">
      <c r="J1969"/>
      <c r="K1969"/>
      <c r="L1969"/>
    </row>
    <row r="1970" spans="10:12">
      <c r="J1970"/>
      <c r="K1970"/>
      <c r="L1970"/>
    </row>
    <row r="1971" spans="10:12">
      <c r="J1971"/>
      <c r="K1971"/>
      <c r="L1971"/>
    </row>
    <row r="1972" spans="10:12">
      <c r="J1972"/>
      <c r="K1972"/>
      <c r="L1972"/>
    </row>
    <row r="1973" spans="10:12">
      <c r="J1973"/>
      <c r="K1973"/>
      <c r="L1973"/>
    </row>
    <row r="1974" spans="10:12">
      <c r="J1974"/>
      <c r="K1974"/>
      <c r="L1974"/>
    </row>
    <row r="1975" spans="10:12">
      <c r="J1975"/>
      <c r="K1975"/>
      <c r="L1975"/>
    </row>
    <row r="1976" spans="10:12">
      <c r="J1976"/>
      <c r="K1976"/>
      <c r="L1976"/>
    </row>
    <row r="1977" spans="10:12">
      <c r="J1977"/>
      <c r="K1977"/>
      <c r="L1977"/>
    </row>
    <row r="1978" spans="10:12">
      <c r="J1978"/>
      <c r="K1978"/>
      <c r="L1978"/>
    </row>
    <row r="1979" spans="10:12">
      <c r="J1979"/>
      <c r="K1979"/>
      <c r="L1979"/>
    </row>
    <row r="1980" spans="10:12">
      <c r="J1980"/>
      <c r="K1980"/>
      <c r="L1980"/>
    </row>
    <row r="1981" spans="10:12">
      <c r="J1981"/>
      <c r="K1981"/>
      <c r="L1981"/>
    </row>
    <row r="1982" spans="10:12">
      <c r="J1982"/>
      <c r="K1982"/>
      <c r="L1982"/>
    </row>
    <row r="1983" spans="10:12">
      <c r="J1983"/>
      <c r="K1983"/>
      <c r="L1983"/>
    </row>
    <row r="1984" spans="10:12">
      <c r="J1984"/>
      <c r="K1984"/>
      <c r="L1984"/>
    </row>
    <row r="1985" spans="10:12">
      <c r="J1985"/>
      <c r="K1985"/>
      <c r="L1985"/>
    </row>
    <row r="1986" spans="10:12">
      <c r="J1986"/>
      <c r="K1986"/>
      <c r="L1986"/>
    </row>
    <row r="1987" spans="10:12">
      <c r="J1987"/>
      <c r="K1987"/>
      <c r="L1987"/>
    </row>
    <row r="1988" spans="10:12">
      <c r="J1988"/>
      <c r="K1988"/>
      <c r="L1988"/>
    </row>
    <row r="1989" spans="10:12">
      <c r="J1989"/>
      <c r="K1989"/>
      <c r="L1989"/>
    </row>
    <row r="1990" spans="10:12">
      <c r="J1990"/>
      <c r="K1990"/>
      <c r="L1990"/>
    </row>
    <row r="1991" spans="10:12">
      <c r="J1991"/>
      <c r="K1991"/>
      <c r="L1991"/>
    </row>
    <row r="1992" spans="10:12">
      <c r="J1992"/>
      <c r="K1992"/>
      <c r="L1992"/>
    </row>
    <row r="1993" spans="10:12">
      <c r="J1993"/>
      <c r="K1993"/>
      <c r="L1993"/>
    </row>
    <row r="1994" spans="10:12">
      <c r="J1994"/>
      <c r="K1994"/>
      <c r="L1994"/>
    </row>
    <row r="1995" spans="10:12">
      <c r="J1995"/>
      <c r="K1995"/>
      <c r="L1995"/>
    </row>
    <row r="1996" spans="10:12">
      <c r="J1996"/>
      <c r="K1996"/>
      <c r="L1996"/>
    </row>
    <row r="1997" spans="10:12">
      <c r="J1997"/>
      <c r="K1997"/>
      <c r="L1997"/>
    </row>
    <row r="1998" spans="10:12">
      <c r="J1998"/>
      <c r="K1998"/>
      <c r="L1998"/>
    </row>
    <row r="1999" spans="10:12">
      <c r="J1999"/>
      <c r="K1999"/>
      <c r="L1999"/>
    </row>
    <row r="2000" spans="10:12">
      <c r="J2000"/>
      <c r="K2000"/>
      <c r="L2000"/>
    </row>
    <row r="2001" spans="10:12">
      <c r="J2001"/>
      <c r="K2001"/>
      <c r="L2001"/>
    </row>
    <row r="2002" spans="10:12">
      <c r="J2002"/>
      <c r="K2002"/>
      <c r="L2002"/>
    </row>
    <row r="2003" spans="10:12">
      <c r="J2003"/>
      <c r="K2003"/>
      <c r="L2003"/>
    </row>
    <row r="2004" spans="10:12">
      <c r="J2004"/>
      <c r="K2004"/>
      <c r="L2004"/>
    </row>
    <row r="2005" spans="10:12">
      <c r="J2005"/>
      <c r="K2005"/>
      <c r="L2005"/>
    </row>
    <row r="2006" spans="10:12">
      <c r="J2006"/>
      <c r="K2006"/>
      <c r="L2006"/>
    </row>
    <row r="2007" spans="10:12">
      <c r="J2007"/>
      <c r="K2007"/>
      <c r="L2007"/>
    </row>
    <row r="2008" spans="10:12">
      <c r="J2008"/>
      <c r="K2008"/>
      <c r="L2008"/>
    </row>
    <row r="2009" spans="10:12">
      <c r="J2009"/>
      <c r="K2009"/>
      <c r="L2009"/>
    </row>
    <row r="2010" spans="10:12">
      <c r="J2010"/>
      <c r="K2010"/>
      <c r="L2010"/>
    </row>
    <row r="2011" spans="10:12">
      <c r="J2011"/>
      <c r="K2011"/>
      <c r="L2011"/>
    </row>
    <row r="2012" spans="10:12">
      <c r="J2012"/>
      <c r="K2012"/>
      <c r="L2012"/>
    </row>
    <row r="2013" spans="10:12">
      <c r="J2013"/>
      <c r="K2013"/>
      <c r="L2013"/>
    </row>
    <row r="2014" spans="10:12">
      <c r="J2014"/>
      <c r="K2014"/>
      <c r="L2014"/>
    </row>
    <row r="2015" spans="10:12">
      <c r="J2015"/>
      <c r="K2015"/>
      <c r="L2015"/>
    </row>
    <row r="2016" spans="10:12">
      <c r="J2016"/>
      <c r="K2016"/>
      <c r="L2016"/>
    </row>
    <row r="2017" spans="10:12">
      <c r="J2017"/>
      <c r="K2017"/>
      <c r="L2017"/>
    </row>
    <row r="2018" spans="10:12">
      <c r="J2018"/>
      <c r="K2018"/>
      <c r="L2018"/>
    </row>
    <row r="2019" spans="10:12">
      <c r="J2019"/>
      <c r="K2019"/>
      <c r="L2019"/>
    </row>
    <row r="2020" spans="10:12">
      <c r="J2020"/>
      <c r="K2020"/>
      <c r="L2020"/>
    </row>
    <row r="2021" spans="10:12">
      <c r="J2021"/>
      <c r="K2021"/>
      <c r="L2021"/>
    </row>
    <row r="2022" spans="10:12">
      <c r="J2022"/>
      <c r="K2022"/>
      <c r="L2022"/>
    </row>
    <row r="2023" spans="10:12">
      <c r="J2023"/>
      <c r="K2023"/>
      <c r="L2023"/>
    </row>
    <row r="2024" spans="10:12">
      <c r="J2024"/>
      <c r="K2024"/>
      <c r="L2024"/>
    </row>
    <row r="2025" spans="10:12">
      <c r="J2025"/>
      <c r="K2025"/>
      <c r="L2025"/>
    </row>
    <row r="2026" spans="10:12">
      <c r="J2026"/>
      <c r="K2026"/>
      <c r="L2026"/>
    </row>
    <row r="2027" spans="10:12">
      <c r="J2027"/>
      <c r="K2027"/>
      <c r="L2027"/>
    </row>
    <row r="2028" spans="10:12">
      <c r="J2028"/>
      <c r="K2028"/>
      <c r="L2028"/>
    </row>
    <row r="2029" spans="10:12">
      <c r="J2029"/>
      <c r="K2029"/>
      <c r="L2029"/>
    </row>
    <row r="2030" spans="10:12">
      <c r="J2030"/>
      <c r="K2030"/>
      <c r="L2030"/>
    </row>
    <row r="2031" spans="10:12">
      <c r="J2031"/>
      <c r="K2031"/>
      <c r="L2031"/>
    </row>
    <row r="2032" spans="10:12">
      <c r="J2032"/>
      <c r="K2032"/>
      <c r="L2032"/>
    </row>
    <row r="2033" spans="10:12">
      <c r="J2033"/>
      <c r="K2033"/>
      <c r="L2033"/>
    </row>
    <row r="2034" spans="10:12">
      <c r="J2034"/>
      <c r="K2034"/>
      <c r="L2034"/>
    </row>
    <row r="2035" spans="10:12">
      <c r="J2035"/>
      <c r="K2035"/>
      <c r="L2035"/>
    </row>
    <row r="2036" spans="10:12">
      <c r="J2036"/>
      <c r="K2036"/>
      <c r="L2036"/>
    </row>
    <row r="2037" spans="10:12">
      <c r="J2037"/>
      <c r="K2037"/>
      <c r="L2037"/>
    </row>
    <row r="2038" spans="10:12">
      <c r="J2038"/>
      <c r="K2038"/>
      <c r="L2038"/>
    </row>
    <row r="2039" spans="10:12">
      <c r="J2039"/>
      <c r="K2039"/>
      <c r="L2039"/>
    </row>
    <row r="2040" spans="10:12">
      <c r="J2040"/>
      <c r="K2040"/>
      <c r="L2040"/>
    </row>
    <row r="2041" spans="10:12">
      <c r="J2041"/>
      <c r="K2041"/>
      <c r="L2041"/>
    </row>
    <row r="2042" spans="10:12">
      <c r="J2042"/>
      <c r="K2042"/>
      <c r="L2042"/>
    </row>
    <row r="2043" spans="10:12">
      <c r="J2043"/>
      <c r="K2043"/>
      <c r="L2043"/>
    </row>
    <row r="2044" spans="10:12">
      <c r="J2044"/>
      <c r="K2044"/>
      <c r="L2044"/>
    </row>
    <row r="2045" spans="10:12">
      <c r="J2045"/>
      <c r="K2045"/>
      <c r="L2045"/>
    </row>
    <row r="2046" spans="10:12">
      <c r="J2046"/>
      <c r="K2046"/>
      <c r="L2046"/>
    </row>
    <row r="2047" spans="10:12">
      <c r="J2047"/>
      <c r="K2047"/>
      <c r="L2047"/>
    </row>
    <row r="2048" spans="10:12">
      <c r="J2048"/>
      <c r="K2048"/>
      <c r="L2048"/>
    </row>
    <row r="2049" spans="10:12">
      <c r="J2049"/>
      <c r="K2049"/>
      <c r="L2049"/>
    </row>
    <row r="2050" spans="10:12">
      <c r="J2050"/>
      <c r="K2050"/>
      <c r="L2050"/>
    </row>
    <row r="2051" spans="10:12">
      <c r="J2051"/>
      <c r="K2051"/>
      <c r="L2051"/>
    </row>
    <row r="2052" spans="10:12">
      <c r="J2052"/>
      <c r="K2052"/>
      <c r="L2052"/>
    </row>
    <row r="2053" spans="10:12">
      <c r="J2053"/>
      <c r="K2053"/>
      <c r="L2053"/>
    </row>
    <row r="2054" spans="10:12">
      <c r="J2054"/>
      <c r="K2054"/>
      <c r="L2054"/>
    </row>
    <row r="2055" spans="10:12">
      <c r="J2055"/>
      <c r="K2055"/>
      <c r="L2055"/>
    </row>
    <row r="2056" spans="10:12">
      <c r="J2056"/>
      <c r="K2056"/>
      <c r="L2056"/>
    </row>
    <row r="2057" spans="10:12">
      <c r="J2057"/>
      <c r="K2057"/>
      <c r="L2057"/>
    </row>
    <row r="2058" spans="10:12">
      <c r="J2058"/>
      <c r="K2058"/>
      <c r="L2058"/>
    </row>
    <row r="2059" spans="10:12">
      <c r="J2059"/>
      <c r="K2059"/>
      <c r="L2059"/>
    </row>
    <row r="2060" spans="10:12">
      <c r="J2060"/>
      <c r="K2060"/>
      <c r="L2060"/>
    </row>
    <row r="2061" spans="10:12">
      <c r="J2061"/>
      <c r="K2061"/>
      <c r="L2061"/>
    </row>
    <row r="2062" spans="10:12">
      <c r="J2062"/>
      <c r="K2062"/>
      <c r="L2062"/>
    </row>
    <row r="2063" spans="10:12">
      <c r="J2063"/>
      <c r="K2063"/>
      <c r="L2063"/>
    </row>
    <row r="2064" spans="10:12">
      <c r="J2064"/>
      <c r="K2064"/>
      <c r="L2064"/>
    </row>
    <row r="2065" spans="10:12">
      <c r="J2065"/>
      <c r="K2065"/>
      <c r="L2065"/>
    </row>
    <row r="2066" spans="10:12">
      <c r="J2066"/>
      <c r="K2066"/>
      <c r="L2066"/>
    </row>
    <row r="2067" spans="10:12">
      <c r="J2067"/>
      <c r="K2067"/>
      <c r="L2067"/>
    </row>
    <row r="2068" spans="10:12">
      <c r="J2068"/>
      <c r="K2068"/>
      <c r="L2068"/>
    </row>
    <row r="2069" spans="10:12">
      <c r="J2069"/>
      <c r="K2069"/>
      <c r="L2069"/>
    </row>
    <row r="2070" spans="10:12">
      <c r="J2070"/>
      <c r="K2070"/>
      <c r="L2070"/>
    </row>
    <row r="2071" spans="10:12">
      <c r="J2071"/>
      <c r="K2071"/>
      <c r="L2071"/>
    </row>
    <row r="2072" spans="10:12">
      <c r="J2072"/>
      <c r="K2072"/>
      <c r="L2072"/>
    </row>
    <row r="2073" spans="10:12">
      <c r="J2073"/>
      <c r="K2073"/>
      <c r="L2073"/>
    </row>
    <row r="2074" spans="10:12">
      <c r="J2074"/>
      <c r="K2074"/>
      <c r="L2074"/>
    </row>
    <row r="2075" spans="10:12">
      <c r="J2075"/>
      <c r="K2075"/>
      <c r="L2075"/>
    </row>
    <row r="2076" spans="10:12">
      <c r="J2076"/>
      <c r="K2076"/>
      <c r="L2076"/>
    </row>
    <row r="2077" spans="10:12">
      <c r="J2077"/>
      <c r="K2077"/>
      <c r="L2077"/>
    </row>
    <row r="2078" spans="10:12">
      <c r="J2078"/>
      <c r="K2078"/>
      <c r="L2078"/>
    </row>
    <row r="2079" spans="10:12">
      <c r="J2079"/>
      <c r="K2079"/>
      <c r="L2079"/>
    </row>
    <row r="2080" spans="10:12">
      <c r="J2080"/>
      <c r="K2080"/>
      <c r="L2080"/>
    </row>
    <row r="2081" spans="10:12">
      <c r="J2081"/>
      <c r="K2081"/>
      <c r="L2081"/>
    </row>
    <row r="2082" spans="10:12">
      <c r="J2082"/>
      <c r="K2082"/>
      <c r="L2082"/>
    </row>
    <row r="2083" spans="10:12">
      <c r="J2083"/>
      <c r="K2083"/>
      <c r="L2083"/>
    </row>
    <row r="2084" spans="10:12">
      <c r="J2084"/>
      <c r="K2084"/>
      <c r="L2084"/>
    </row>
    <row r="2085" spans="10:12">
      <c r="J2085"/>
      <c r="K2085"/>
      <c r="L2085"/>
    </row>
    <row r="2086" spans="10:12">
      <c r="J2086"/>
      <c r="K2086"/>
      <c r="L2086"/>
    </row>
    <row r="2087" spans="10:12">
      <c r="J2087"/>
      <c r="K2087"/>
      <c r="L2087"/>
    </row>
    <row r="2088" spans="10:12">
      <c r="J2088"/>
      <c r="K2088"/>
      <c r="L2088"/>
    </row>
    <row r="2089" spans="10:12">
      <c r="J2089"/>
      <c r="K2089"/>
      <c r="L2089"/>
    </row>
    <row r="2090" spans="10:12">
      <c r="J2090"/>
      <c r="K2090"/>
      <c r="L2090"/>
    </row>
    <row r="2091" spans="10:12">
      <c r="J2091"/>
      <c r="K2091"/>
      <c r="L2091"/>
    </row>
    <row r="2092" spans="10:12">
      <c r="J2092"/>
      <c r="K2092"/>
      <c r="L2092"/>
    </row>
    <row r="2093" spans="10:12">
      <c r="J2093"/>
      <c r="K2093"/>
      <c r="L2093"/>
    </row>
    <row r="2094" spans="10:12">
      <c r="J2094"/>
      <c r="K2094"/>
      <c r="L2094"/>
    </row>
    <row r="2095" spans="10:12">
      <c r="J2095"/>
      <c r="K2095"/>
      <c r="L2095"/>
    </row>
    <row r="2096" spans="10:12">
      <c r="J2096"/>
      <c r="K2096"/>
      <c r="L2096"/>
    </row>
    <row r="2097" spans="10:12">
      <c r="J2097"/>
      <c r="K2097"/>
      <c r="L2097"/>
    </row>
    <row r="2098" spans="10:12">
      <c r="J2098"/>
      <c r="K2098"/>
      <c r="L2098"/>
    </row>
    <row r="2099" spans="10:12">
      <c r="J2099"/>
      <c r="K2099"/>
      <c r="L2099"/>
    </row>
    <row r="2100" spans="10:12">
      <c r="J2100"/>
      <c r="K2100"/>
      <c r="L2100"/>
    </row>
    <row r="2101" spans="10:12">
      <c r="J2101"/>
      <c r="K2101"/>
      <c r="L2101"/>
    </row>
    <row r="2102" spans="10:12">
      <c r="J2102"/>
      <c r="K2102"/>
      <c r="L2102"/>
    </row>
    <row r="2103" spans="10:12">
      <c r="J2103"/>
      <c r="K2103"/>
      <c r="L2103"/>
    </row>
    <row r="2104" spans="10:12">
      <c r="J2104"/>
      <c r="K2104"/>
      <c r="L2104"/>
    </row>
    <row r="2105" spans="10:12">
      <c r="J2105"/>
      <c r="K2105"/>
      <c r="L2105"/>
    </row>
    <row r="2106" spans="10:12">
      <c r="J2106"/>
      <c r="K2106"/>
      <c r="L2106"/>
    </row>
    <row r="2107" spans="10:12">
      <c r="J2107"/>
      <c r="K2107"/>
      <c r="L2107"/>
    </row>
    <row r="2108" spans="10:12">
      <c r="J2108"/>
      <c r="K2108"/>
      <c r="L2108"/>
    </row>
    <row r="2109" spans="10:12">
      <c r="J2109"/>
      <c r="K2109"/>
      <c r="L2109"/>
    </row>
    <row r="2110" spans="10:12">
      <c r="J2110"/>
      <c r="K2110"/>
      <c r="L2110"/>
    </row>
    <row r="2111" spans="10:12">
      <c r="J2111"/>
      <c r="K2111"/>
      <c r="L2111"/>
    </row>
    <row r="2112" spans="10:12">
      <c r="J2112"/>
      <c r="K2112"/>
      <c r="L2112"/>
    </row>
    <row r="2113" spans="10:12">
      <c r="J2113"/>
      <c r="K2113"/>
      <c r="L2113"/>
    </row>
    <row r="2114" spans="10:12">
      <c r="J2114"/>
      <c r="K2114"/>
      <c r="L2114"/>
    </row>
    <row r="2115" spans="10:12">
      <c r="J2115"/>
      <c r="K2115"/>
      <c r="L2115"/>
    </row>
    <row r="2116" spans="10:12">
      <c r="J2116"/>
      <c r="K2116"/>
      <c r="L2116"/>
    </row>
    <row r="2117" spans="10:12">
      <c r="J2117"/>
      <c r="K2117"/>
      <c r="L2117"/>
    </row>
    <row r="2118" spans="10:12">
      <c r="J2118"/>
      <c r="K2118"/>
      <c r="L2118"/>
    </row>
    <row r="2119" spans="10:12">
      <c r="J2119"/>
      <c r="K2119"/>
      <c r="L2119"/>
    </row>
    <row r="2120" spans="10:12">
      <c r="J2120"/>
      <c r="K2120"/>
      <c r="L2120"/>
    </row>
    <row r="2121" spans="10:12">
      <c r="J2121"/>
      <c r="K2121"/>
      <c r="L2121"/>
    </row>
    <row r="2122" spans="10:12">
      <c r="J2122"/>
      <c r="K2122"/>
      <c r="L2122"/>
    </row>
    <row r="2123" spans="10:12">
      <c r="J2123"/>
      <c r="K2123"/>
      <c r="L2123"/>
    </row>
    <row r="2124" spans="10:12">
      <c r="J2124"/>
      <c r="K2124"/>
      <c r="L2124"/>
    </row>
    <row r="2125" spans="10:12">
      <c r="J2125"/>
      <c r="K2125"/>
      <c r="L2125"/>
    </row>
    <row r="2126" spans="10:12">
      <c r="J2126"/>
      <c r="K2126"/>
      <c r="L2126"/>
    </row>
    <row r="2127" spans="10:12">
      <c r="J2127"/>
      <c r="K2127"/>
      <c r="L2127"/>
    </row>
    <row r="2128" spans="10:12">
      <c r="J2128"/>
      <c r="K2128"/>
      <c r="L2128"/>
    </row>
    <row r="2129" spans="10:12">
      <c r="J2129"/>
      <c r="K2129"/>
      <c r="L2129"/>
    </row>
    <row r="2130" spans="10:12">
      <c r="J2130"/>
      <c r="K2130"/>
      <c r="L2130"/>
    </row>
    <row r="2131" spans="10:12">
      <c r="J2131"/>
      <c r="K2131"/>
      <c r="L2131"/>
    </row>
    <row r="2132" spans="10:12">
      <c r="J2132"/>
      <c r="K2132"/>
      <c r="L2132"/>
    </row>
    <row r="2133" spans="10:12">
      <c r="J2133"/>
      <c r="K2133"/>
      <c r="L2133"/>
    </row>
    <row r="2134" spans="10:12">
      <c r="J2134"/>
      <c r="K2134"/>
      <c r="L2134"/>
    </row>
    <row r="2135" spans="10:12">
      <c r="J2135"/>
      <c r="K2135"/>
      <c r="L2135"/>
    </row>
    <row r="2136" spans="10:12">
      <c r="J2136"/>
      <c r="K2136"/>
      <c r="L2136"/>
    </row>
    <row r="2137" spans="10:12">
      <c r="J2137"/>
      <c r="K2137"/>
      <c r="L2137"/>
    </row>
    <row r="2138" spans="10:12">
      <c r="J2138"/>
      <c r="K2138"/>
      <c r="L2138"/>
    </row>
    <row r="2139" spans="10:12">
      <c r="J2139"/>
      <c r="K2139"/>
      <c r="L2139"/>
    </row>
    <row r="2140" spans="10:12">
      <c r="J2140"/>
      <c r="K2140"/>
      <c r="L2140"/>
    </row>
    <row r="2141" spans="10:12">
      <c r="J2141"/>
      <c r="K2141"/>
      <c r="L2141"/>
    </row>
    <row r="2142" spans="10:12">
      <c r="J2142"/>
      <c r="K2142"/>
      <c r="L2142"/>
    </row>
    <row r="2143" spans="10:12">
      <c r="J2143"/>
      <c r="K2143"/>
      <c r="L2143"/>
    </row>
    <row r="2144" spans="10:12">
      <c r="J2144"/>
      <c r="K2144"/>
      <c r="L2144"/>
    </row>
    <row r="2145" spans="10:12">
      <c r="J2145"/>
      <c r="K2145"/>
      <c r="L2145"/>
    </row>
    <row r="2146" spans="10:12">
      <c r="J2146"/>
      <c r="K2146"/>
      <c r="L2146"/>
    </row>
    <row r="2147" spans="10:12">
      <c r="J2147"/>
      <c r="K2147"/>
      <c r="L2147"/>
    </row>
    <row r="2148" spans="10:12">
      <c r="J2148"/>
      <c r="K2148"/>
      <c r="L2148"/>
    </row>
    <row r="2149" spans="10:12">
      <c r="J2149"/>
      <c r="K2149"/>
      <c r="L2149"/>
    </row>
    <row r="2150" spans="10:12">
      <c r="J2150"/>
      <c r="K2150"/>
      <c r="L2150"/>
    </row>
    <row r="2151" spans="10:12">
      <c r="J2151"/>
      <c r="K2151"/>
      <c r="L2151"/>
    </row>
    <row r="2152" spans="10:12">
      <c r="J2152"/>
      <c r="K2152"/>
      <c r="L2152"/>
    </row>
    <row r="2153" spans="10:12">
      <c r="J2153"/>
      <c r="K2153"/>
      <c r="L2153"/>
    </row>
    <row r="2154" spans="10:12">
      <c r="J2154"/>
      <c r="K2154"/>
      <c r="L2154"/>
    </row>
    <row r="2155" spans="10:12">
      <c r="J2155"/>
      <c r="K2155"/>
      <c r="L2155"/>
    </row>
    <row r="2156" spans="10:12">
      <c r="J2156"/>
      <c r="K2156"/>
      <c r="L2156"/>
    </row>
    <row r="2157" spans="10:12">
      <c r="J2157"/>
      <c r="K2157"/>
      <c r="L2157"/>
    </row>
    <row r="2158" spans="10:12">
      <c r="J2158"/>
      <c r="K2158"/>
      <c r="L2158"/>
    </row>
    <row r="2159" spans="10:12">
      <c r="J2159"/>
      <c r="K2159"/>
      <c r="L2159"/>
    </row>
    <row r="2160" spans="10:12">
      <c r="J2160"/>
      <c r="K2160"/>
      <c r="L2160"/>
    </row>
    <row r="2161" spans="10:12">
      <c r="J2161"/>
      <c r="K2161"/>
      <c r="L2161"/>
    </row>
    <row r="2162" spans="10:12">
      <c r="J2162"/>
      <c r="K2162"/>
      <c r="L2162"/>
    </row>
    <row r="2163" spans="10:12">
      <c r="J2163"/>
      <c r="K2163"/>
      <c r="L2163"/>
    </row>
    <row r="2164" spans="10:12">
      <c r="J2164"/>
      <c r="K2164"/>
      <c r="L2164"/>
    </row>
    <row r="2165" spans="10:12">
      <c r="J2165"/>
      <c r="K2165"/>
      <c r="L2165"/>
    </row>
    <row r="2166" spans="10:12">
      <c r="J2166"/>
      <c r="K2166"/>
      <c r="L2166"/>
    </row>
    <row r="2167" spans="10:12">
      <c r="J2167"/>
      <c r="K2167"/>
      <c r="L2167"/>
    </row>
    <row r="2168" spans="10:12">
      <c r="J2168"/>
      <c r="K2168"/>
      <c r="L2168"/>
    </row>
    <row r="2169" spans="10:12">
      <c r="J2169"/>
      <c r="K2169"/>
      <c r="L2169"/>
    </row>
    <row r="2170" spans="10:12">
      <c r="J2170"/>
      <c r="K2170"/>
      <c r="L2170"/>
    </row>
    <row r="2171" spans="10:12">
      <c r="J2171"/>
      <c r="K2171"/>
      <c r="L2171"/>
    </row>
    <row r="2172" spans="10:12">
      <c r="J2172"/>
      <c r="K2172"/>
      <c r="L2172"/>
    </row>
    <row r="2173" spans="10:12">
      <c r="J2173"/>
      <c r="K2173"/>
      <c r="L2173"/>
    </row>
    <row r="2174" spans="10:12">
      <c r="J2174"/>
      <c r="K2174"/>
      <c r="L2174"/>
    </row>
    <row r="2175" spans="10:12">
      <c r="J2175"/>
      <c r="K2175"/>
      <c r="L2175"/>
    </row>
    <row r="2176" spans="10:12">
      <c r="J2176"/>
      <c r="K2176"/>
      <c r="L2176"/>
    </row>
    <row r="2177" spans="10:12">
      <c r="J2177"/>
      <c r="K2177"/>
      <c r="L2177"/>
    </row>
    <row r="2178" spans="10:12">
      <c r="J2178"/>
      <c r="K2178"/>
      <c r="L2178"/>
    </row>
    <row r="2179" spans="10:12">
      <c r="J2179"/>
      <c r="K2179"/>
      <c r="L2179"/>
    </row>
    <row r="2180" spans="10:12">
      <c r="J2180"/>
      <c r="K2180"/>
      <c r="L2180"/>
    </row>
    <row r="2181" spans="10:12">
      <c r="J2181"/>
      <c r="K2181"/>
      <c r="L2181"/>
    </row>
    <row r="2182" spans="10:12">
      <c r="J2182"/>
      <c r="K2182"/>
      <c r="L2182"/>
    </row>
    <row r="2183" spans="10:12">
      <c r="J2183"/>
      <c r="K2183"/>
      <c r="L2183"/>
    </row>
    <row r="2184" spans="10:12">
      <c r="J2184"/>
      <c r="K2184"/>
      <c r="L2184"/>
    </row>
    <row r="2185" spans="10:12">
      <c r="J2185"/>
      <c r="K2185"/>
      <c r="L2185"/>
    </row>
    <row r="2186" spans="10:12">
      <c r="J2186"/>
      <c r="K2186"/>
      <c r="L2186"/>
    </row>
    <row r="2187" spans="10:12">
      <c r="J2187"/>
      <c r="K2187"/>
      <c r="L2187"/>
    </row>
    <row r="2188" spans="10:12">
      <c r="J2188"/>
      <c r="K2188"/>
      <c r="L2188"/>
    </row>
    <row r="2189" spans="10:12">
      <c r="J2189"/>
      <c r="K2189"/>
      <c r="L2189"/>
    </row>
    <row r="2190" spans="10:12">
      <c r="J2190"/>
      <c r="K2190"/>
      <c r="L2190"/>
    </row>
    <row r="2191" spans="10:12">
      <c r="J2191"/>
      <c r="K2191"/>
      <c r="L2191"/>
    </row>
    <row r="2192" spans="10:12">
      <c r="J2192"/>
      <c r="K2192"/>
      <c r="L2192"/>
    </row>
    <row r="2193" spans="10:12">
      <c r="J2193"/>
      <c r="K2193"/>
      <c r="L2193"/>
    </row>
    <row r="2194" spans="10:12">
      <c r="J2194"/>
      <c r="K2194"/>
      <c r="L2194"/>
    </row>
    <row r="2195" spans="10:12">
      <c r="J2195"/>
      <c r="K2195"/>
      <c r="L2195"/>
    </row>
    <row r="2196" spans="10:12">
      <c r="J2196"/>
      <c r="K2196"/>
      <c r="L2196"/>
    </row>
    <row r="2197" spans="10:12">
      <c r="J2197"/>
      <c r="K2197"/>
      <c r="L2197"/>
    </row>
    <row r="2198" spans="10:12">
      <c r="J2198"/>
      <c r="K2198"/>
      <c r="L2198"/>
    </row>
    <row r="2199" spans="10:12">
      <c r="J2199"/>
      <c r="K2199"/>
      <c r="L2199"/>
    </row>
    <row r="2200" spans="10:12">
      <c r="J2200"/>
      <c r="K2200"/>
      <c r="L2200"/>
    </row>
    <row r="2201" spans="10:12">
      <c r="J2201"/>
      <c r="K2201"/>
      <c r="L2201"/>
    </row>
    <row r="2202" spans="10:12">
      <c r="J2202"/>
      <c r="K2202"/>
      <c r="L2202"/>
    </row>
    <row r="2203" spans="10:12">
      <c r="J2203"/>
      <c r="K2203"/>
      <c r="L2203"/>
    </row>
    <row r="2204" spans="10:12">
      <c r="J2204"/>
      <c r="K2204"/>
      <c r="L2204"/>
    </row>
    <row r="2205" spans="10:12">
      <c r="J2205"/>
      <c r="K2205"/>
      <c r="L2205"/>
    </row>
    <row r="2206" spans="10:12">
      <c r="J2206"/>
      <c r="K2206"/>
      <c r="L2206"/>
    </row>
    <row r="2207" spans="10:12">
      <c r="J2207"/>
      <c r="K2207"/>
      <c r="L2207"/>
    </row>
    <row r="2208" spans="10:12">
      <c r="J2208"/>
      <c r="K2208"/>
      <c r="L2208"/>
    </row>
    <row r="2209" spans="10:12">
      <c r="J2209"/>
      <c r="K2209"/>
      <c r="L2209"/>
    </row>
    <row r="2210" spans="10:12">
      <c r="J2210"/>
      <c r="K2210"/>
      <c r="L2210"/>
    </row>
    <row r="2211" spans="10:12">
      <c r="J2211"/>
      <c r="K2211"/>
      <c r="L2211"/>
    </row>
    <row r="2212" spans="10:12">
      <c r="J2212"/>
      <c r="K2212"/>
      <c r="L2212"/>
    </row>
    <row r="2213" spans="10:12">
      <c r="J2213"/>
      <c r="K2213"/>
      <c r="L2213"/>
    </row>
    <row r="2214" spans="10:12">
      <c r="J2214"/>
      <c r="K2214"/>
      <c r="L2214"/>
    </row>
    <row r="2215" spans="10:12">
      <c r="J2215"/>
      <c r="K2215"/>
      <c r="L2215"/>
    </row>
    <row r="2216" spans="10:12">
      <c r="J2216"/>
      <c r="K2216"/>
      <c r="L2216"/>
    </row>
    <row r="2217" spans="10:12">
      <c r="J2217"/>
      <c r="K2217"/>
      <c r="L2217"/>
    </row>
    <row r="2218" spans="10:12">
      <c r="J2218"/>
      <c r="K2218"/>
      <c r="L2218"/>
    </row>
    <row r="2219" spans="10:12">
      <c r="J2219"/>
      <c r="K2219"/>
      <c r="L2219"/>
    </row>
    <row r="2220" spans="10:12">
      <c r="J2220"/>
      <c r="K2220"/>
      <c r="L2220"/>
    </row>
    <row r="2221" spans="10:12">
      <c r="J2221"/>
      <c r="K2221"/>
      <c r="L2221"/>
    </row>
    <row r="2222" spans="10:12">
      <c r="J2222"/>
      <c r="K2222"/>
      <c r="L2222"/>
    </row>
    <row r="2223" spans="10:12">
      <c r="J2223"/>
      <c r="K2223"/>
      <c r="L2223"/>
    </row>
    <row r="2224" spans="10:12">
      <c r="J2224"/>
      <c r="K2224"/>
      <c r="L2224"/>
    </row>
    <row r="2225" spans="10:12">
      <c r="J2225"/>
      <c r="K2225"/>
      <c r="L2225"/>
    </row>
    <row r="2226" spans="10:12">
      <c r="J2226"/>
      <c r="K2226"/>
      <c r="L2226"/>
    </row>
    <row r="2227" spans="10:12">
      <c r="J2227"/>
      <c r="K2227"/>
      <c r="L2227"/>
    </row>
    <row r="2228" spans="10:12">
      <c r="J2228"/>
      <c r="K2228"/>
      <c r="L2228"/>
    </row>
    <row r="2229" spans="10:12">
      <c r="J2229"/>
      <c r="K2229"/>
      <c r="L2229"/>
    </row>
    <row r="2230" spans="10:12">
      <c r="J2230"/>
      <c r="K2230"/>
      <c r="L2230"/>
    </row>
    <row r="2231" spans="10:12">
      <c r="J2231"/>
      <c r="K2231"/>
      <c r="L2231"/>
    </row>
    <row r="2232" spans="10:12">
      <c r="J2232"/>
      <c r="K2232"/>
      <c r="L2232"/>
    </row>
    <row r="2233" spans="10:12">
      <c r="J2233"/>
      <c r="K2233"/>
      <c r="L2233"/>
    </row>
    <row r="2234" spans="10:12">
      <c r="J2234"/>
      <c r="K2234"/>
      <c r="L2234"/>
    </row>
    <row r="2235" spans="10:12">
      <c r="J2235"/>
      <c r="K2235"/>
      <c r="L2235"/>
    </row>
    <row r="2236" spans="10:12">
      <c r="J2236"/>
      <c r="K2236"/>
      <c r="L2236"/>
    </row>
    <row r="2237" spans="10:12">
      <c r="J2237"/>
      <c r="K2237"/>
      <c r="L2237"/>
    </row>
    <row r="2238" spans="10:12">
      <c r="J2238"/>
      <c r="K2238"/>
      <c r="L2238"/>
    </row>
    <row r="2239" spans="10:12">
      <c r="J2239"/>
      <c r="K2239"/>
      <c r="L2239"/>
    </row>
    <row r="2240" spans="10:12">
      <c r="J2240"/>
      <c r="K2240"/>
      <c r="L2240"/>
    </row>
    <row r="2241" spans="10:12">
      <c r="J2241"/>
      <c r="K2241"/>
      <c r="L2241"/>
    </row>
    <row r="2242" spans="10:12">
      <c r="J2242"/>
      <c r="K2242"/>
      <c r="L2242"/>
    </row>
    <row r="2243" spans="10:12">
      <c r="J2243"/>
      <c r="K2243"/>
      <c r="L2243"/>
    </row>
    <row r="2244" spans="10:12">
      <c r="J2244"/>
      <c r="K2244"/>
      <c r="L2244"/>
    </row>
    <row r="2245" spans="10:12">
      <c r="J2245"/>
      <c r="K2245"/>
      <c r="L2245"/>
    </row>
    <row r="2246" spans="10:12">
      <c r="J2246"/>
      <c r="K2246"/>
      <c r="L2246"/>
    </row>
    <row r="2247" spans="10:12">
      <c r="J2247"/>
      <c r="K2247"/>
      <c r="L2247"/>
    </row>
    <row r="2248" spans="10:12">
      <c r="J2248"/>
      <c r="K2248"/>
      <c r="L2248"/>
    </row>
    <row r="2249" spans="10:12">
      <c r="J2249"/>
      <c r="K2249"/>
      <c r="L2249"/>
    </row>
    <row r="2250" spans="10:12">
      <c r="J2250"/>
      <c r="K2250"/>
      <c r="L2250"/>
    </row>
    <row r="2251" spans="10:12">
      <c r="J2251"/>
      <c r="K2251"/>
      <c r="L2251"/>
    </row>
    <row r="2252" spans="10:12">
      <c r="J2252"/>
      <c r="K2252"/>
      <c r="L2252"/>
    </row>
    <row r="2253" spans="10:12">
      <c r="J2253"/>
      <c r="K2253"/>
      <c r="L2253"/>
    </row>
    <row r="2254" spans="10:12">
      <c r="J2254"/>
      <c r="K2254"/>
      <c r="L2254"/>
    </row>
    <row r="2255" spans="10:12">
      <c r="J2255"/>
      <c r="K2255"/>
      <c r="L2255"/>
    </row>
    <row r="2256" spans="10:12">
      <c r="J2256"/>
      <c r="K2256"/>
      <c r="L2256"/>
    </row>
    <row r="2257" spans="10:12">
      <c r="J2257"/>
      <c r="K2257"/>
      <c r="L2257"/>
    </row>
    <row r="2258" spans="10:12">
      <c r="J2258"/>
      <c r="K2258"/>
      <c r="L2258"/>
    </row>
    <row r="2259" spans="10:12">
      <c r="J2259"/>
      <c r="K2259"/>
      <c r="L2259"/>
    </row>
    <row r="2260" spans="10:12">
      <c r="J2260"/>
      <c r="K2260"/>
      <c r="L2260"/>
    </row>
    <row r="2261" spans="10:12">
      <c r="J2261"/>
      <c r="K2261"/>
      <c r="L2261"/>
    </row>
    <row r="2262" spans="10:12">
      <c r="J2262"/>
      <c r="K2262"/>
      <c r="L2262"/>
    </row>
    <row r="2263" spans="10:12">
      <c r="J2263"/>
      <c r="K2263"/>
      <c r="L2263"/>
    </row>
    <row r="2264" spans="10:12">
      <c r="J2264"/>
      <c r="K2264"/>
      <c r="L2264"/>
    </row>
    <row r="2265" spans="10:12">
      <c r="J2265"/>
      <c r="K2265"/>
      <c r="L2265"/>
    </row>
    <row r="2266" spans="10:12">
      <c r="J2266"/>
      <c r="K2266"/>
      <c r="L2266"/>
    </row>
    <row r="2267" spans="10:12">
      <c r="J2267"/>
      <c r="K2267"/>
      <c r="L2267"/>
    </row>
    <row r="2268" spans="10:12">
      <c r="J2268"/>
      <c r="K2268"/>
      <c r="L2268"/>
    </row>
    <row r="2269" spans="10:12">
      <c r="J2269"/>
      <c r="K2269"/>
      <c r="L2269"/>
    </row>
    <row r="2270" spans="10:12">
      <c r="J2270"/>
      <c r="K2270"/>
      <c r="L2270"/>
    </row>
    <row r="2271" spans="10:12">
      <c r="J2271"/>
      <c r="K2271"/>
      <c r="L2271"/>
    </row>
    <row r="2272" spans="10:12">
      <c r="J2272"/>
      <c r="K2272"/>
      <c r="L2272"/>
    </row>
    <row r="2273" spans="10:12">
      <c r="J2273"/>
      <c r="K2273"/>
      <c r="L2273"/>
    </row>
    <row r="2274" spans="10:12">
      <c r="J2274"/>
      <c r="K2274"/>
      <c r="L2274"/>
    </row>
    <row r="2275" spans="10:12">
      <c r="J2275"/>
      <c r="K2275"/>
      <c r="L2275"/>
    </row>
    <row r="2276" spans="10:12">
      <c r="J2276"/>
      <c r="K2276"/>
      <c r="L2276"/>
    </row>
    <row r="2277" spans="10:12">
      <c r="J2277"/>
      <c r="K2277"/>
      <c r="L2277"/>
    </row>
    <row r="2278" spans="10:12">
      <c r="J2278"/>
      <c r="K2278"/>
      <c r="L2278"/>
    </row>
    <row r="2279" spans="10:12">
      <c r="J2279"/>
      <c r="K2279"/>
      <c r="L2279"/>
    </row>
    <row r="2280" spans="10:12">
      <c r="J2280"/>
      <c r="K2280"/>
      <c r="L2280"/>
    </row>
    <row r="2281" spans="10:12">
      <c r="J2281"/>
      <c r="K2281"/>
      <c r="L2281"/>
    </row>
    <row r="2282" spans="10:12">
      <c r="J2282"/>
      <c r="K2282"/>
      <c r="L2282"/>
    </row>
    <row r="2283" spans="10:12">
      <c r="J2283"/>
      <c r="K2283"/>
      <c r="L2283"/>
    </row>
    <row r="2284" spans="10:12">
      <c r="J2284"/>
      <c r="K2284"/>
      <c r="L2284"/>
    </row>
    <row r="2285" spans="10:12">
      <c r="J2285"/>
      <c r="K2285"/>
      <c r="L2285"/>
    </row>
    <row r="2286" spans="10:12">
      <c r="J2286"/>
      <c r="K2286"/>
      <c r="L2286"/>
    </row>
    <row r="2287" spans="10:12">
      <c r="J2287"/>
      <c r="K2287"/>
      <c r="L2287"/>
    </row>
    <row r="2288" spans="10:12">
      <c r="J2288"/>
      <c r="K2288"/>
      <c r="L2288"/>
    </row>
    <row r="2289" spans="10:12">
      <c r="J2289"/>
      <c r="K2289"/>
      <c r="L2289"/>
    </row>
    <row r="2290" spans="10:12">
      <c r="J2290"/>
      <c r="K2290"/>
      <c r="L2290"/>
    </row>
    <row r="2291" spans="10:12">
      <c r="J2291"/>
      <c r="K2291"/>
      <c r="L2291"/>
    </row>
    <row r="2292" spans="10:12">
      <c r="J2292"/>
      <c r="K2292"/>
      <c r="L2292"/>
    </row>
    <row r="2293" spans="10:12">
      <c r="J2293"/>
      <c r="K2293"/>
      <c r="L2293"/>
    </row>
    <row r="2294" spans="10:12">
      <c r="J2294"/>
      <c r="K2294"/>
      <c r="L2294"/>
    </row>
    <row r="2295" spans="10:12">
      <c r="J2295"/>
      <c r="K2295"/>
      <c r="L2295"/>
    </row>
    <row r="2296" spans="10:12">
      <c r="J2296"/>
      <c r="K2296"/>
      <c r="L2296"/>
    </row>
    <row r="2297" spans="10:12">
      <c r="J2297"/>
      <c r="K2297"/>
      <c r="L2297"/>
    </row>
    <row r="2298" spans="10:12">
      <c r="J2298"/>
      <c r="K2298"/>
      <c r="L2298"/>
    </row>
    <row r="2299" spans="10:12">
      <c r="J2299"/>
      <c r="K2299"/>
      <c r="L2299"/>
    </row>
    <row r="2300" spans="10:12">
      <c r="J2300"/>
      <c r="K2300"/>
      <c r="L2300"/>
    </row>
    <row r="2301" spans="10:12">
      <c r="J2301"/>
      <c r="K2301"/>
      <c r="L2301"/>
    </row>
    <row r="2302" spans="10:12">
      <c r="J2302"/>
      <c r="K2302"/>
      <c r="L2302"/>
    </row>
    <row r="2303" spans="10:12">
      <c r="J2303"/>
      <c r="K2303"/>
      <c r="L2303"/>
    </row>
    <row r="2304" spans="10:12">
      <c r="J2304"/>
      <c r="K2304"/>
      <c r="L2304"/>
    </row>
    <row r="2305" spans="10:12">
      <c r="J2305"/>
      <c r="K2305"/>
      <c r="L2305"/>
    </row>
    <row r="2306" spans="10:12">
      <c r="J2306"/>
      <c r="K2306"/>
      <c r="L2306"/>
    </row>
    <row r="2307" spans="10:12">
      <c r="J2307"/>
      <c r="K2307"/>
      <c r="L2307"/>
    </row>
    <row r="2308" spans="10:12">
      <c r="J2308"/>
      <c r="K2308"/>
      <c r="L2308"/>
    </row>
    <row r="2309" spans="10:12">
      <c r="J2309"/>
      <c r="K2309"/>
      <c r="L2309"/>
    </row>
    <row r="2310" spans="10:12">
      <c r="J2310"/>
      <c r="K2310"/>
      <c r="L2310"/>
    </row>
    <row r="2311" spans="10:12">
      <c r="J2311"/>
      <c r="K2311"/>
      <c r="L2311"/>
    </row>
    <row r="2312" spans="10:12">
      <c r="J2312"/>
      <c r="K2312"/>
      <c r="L2312"/>
    </row>
    <row r="2313" spans="10:12">
      <c r="J2313"/>
      <c r="K2313"/>
      <c r="L2313"/>
    </row>
    <row r="2314" spans="10:12">
      <c r="J2314"/>
      <c r="K2314"/>
      <c r="L2314"/>
    </row>
    <row r="2315" spans="10:12">
      <c r="J2315"/>
      <c r="K2315"/>
      <c r="L2315"/>
    </row>
    <row r="2316" spans="10:12">
      <c r="J2316"/>
      <c r="K2316"/>
      <c r="L2316"/>
    </row>
    <row r="2317" spans="10:12">
      <c r="J2317"/>
      <c r="K2317"/>
      <c r="L2317"/>
    </row>
    <row r="2318" spans="10:12">
      <c r="J2318"/>
      <c r="K2318"/>
      <c r="L2318"/>
    </row>
    <row r="2319" spans="10:12">
      <c r="J2319"/>
      <c r="K2319"/>
      <c r="L2319"/>
    </row>
    <row r="2320" spans="10:12">
      <c r="J2320"/>
      <c r="K2320"/>
      <c r="L2320"/>
    </row>
    <row r="2321" spans="10:12">
      <c r="J2321"/>
      <c r="K2321"/>
      <c r="L2321"/>
    </row>
    <row r="2322" spans="10:12">
      <c r="J2322"/>
      <c r="K2322"/>
      <c r="L2322"/>
    </row>
    <row r="2323" spans="10:12">
      <c r="J2323"/>
      <c r="K2323"/>
      <c r="L2323"/>
    </row>
    <row r="2324" spans="10:12">
      <c r="J2324"/>
      <c r="K2324"/>
      <c r="L2324"/>
    </row>
    <row r="2325" spans="10:12">
      <c r="J2325"/>
      <c r="K2325"/>
      <c r="L2325"/>
    </row>
    <row r="2326" spans="10:12">
      <c r="J2326"/>
      <c r="K2326"/>
      <c r="L2326"/>
    </row>
    <row r="2327" spans="10:12">
      <c r="J2327"/>
      <c r="K2327"/>
      <c r="L2327"/>
    </row>
    <row r="2328" spans="10:12">
      <c r="J2328"/>
      <c r="K2328"/>
      <c r="L2328"/>
    </row>
    <row r="2329" spans="10:12">
      <c r="J2329"/>
      <c r="K2329"/>
      <c r="L2329"/>
    </row>
    <row r="2330" spans="10:12">
      <c r="J2330"/>
      <c r="K2330"/>
      <c r="L2330"/>
    </row>
    <row r="2331" spans="10:12">
      <c r="J2331"/>
      <c r="K2331"/>
      <c r="L2331"/>
    </row>
    <row r="2332" spans="10:12">
      <c r="J2332"/>
      <c r="K2332"/>
      <c r="L2332"/>
    </row>
    <row r="2333" spans="10:12">
      <c r="J2333"/>
      <c r="K2333"/>
      <c r="L2333"/>
    </row>
    <row r="2334" spans="10:12">
      <c r="J2334"/>
      <c r="K2334"/>
      <c r="L2334"/>
    </row>
    <row r="2335" spans="10:12">
      <c r="J2335"/>
      <c r="K2335"/>
      <c r="L2335"/>
    </row>
    <row r="2336" spans="10:12">
      <c r="J2336"/>
      <c r="K2336"/>
      <c r="L2336"/>
    </row>
    <row r="2337" spans="10:12">
      <c r="J2337"/>
      <c r="K2337"/>
      <c r="L2337"/>
    </row>
    <row r="2338" spans="10:12">
      <c r="J2338"/>
      <c r="K2338"/>
      <c r="L2338"/>
    </row>
    <row r="2339" spans="10:12">
      <c r="J2339"/>
      <c r="K2339"/>
      <c r="L2339"/>
    </row>
    <row r="2340" spans="10:12">
      <c r="J2340"/>
      <c r="K2340"/>
      <c r="L2340"/>
    </row>
    <row r="2341" spans="10:12">
      <c r="J2341"/>
      <c r="K2341"/>
      <c r="L2341"/>
    </row>
    <row r="2342" spans="10:12">
      <c r="J2342"/>
      <c r="K2342"/>
      <c r="L2342"/>
    </row>
    <row r="2343" spans="10:12">
      <c r="J2343"/>
      <c r="K2343"/>
      <c r="L2343"/>
    </row>
    <row r="2344" spans="10:12">
      <c r="J2344"/>
      <c r="K2344"/>
      <c r="L2344"/>
    </row>
    <row r="2345" spans="10:12">
      <c r="J2345"/>
      <c r="K2345"/>
      <c r="L2345"/>
    </row>
    <row r="2346" spans="10:12">
      <c r="J2346"/>
      <c r="K2346"/>
      <c r="L2346"/>
    </row>
    <row r="2347" spans="10:12">
      <c r="J2347"/>
      <c r="K2347"/>
      <c r="L2347"/>
    </row>
    <row r="2348" spans="10:12">
      <c r="J2348"/>
      <c r="K2348"/>
      <c r="L2348"/>
    </row>
    <row r="2349" spans="10:12">
      <c r="J2349"/>
      <c r="K2349"/>
      <c r="L2349"/>
    </row>
    <row r="2350" spans="10:12">
      <c r="J2350"/>
      <c r="K2350"/>
      <c r="L2350"/>
    </row>
    <row r="2351" spans="10:12">
      <c r="J2351"/>
      <c r="K2351"/>
      <c r="L2351"/>
    </row>
    <row r="2352" spans="10:12">
      <c r="J2352"/>
      <c r="K2352"/>
      <c r="L2352"/>
    </row>
    <row r="2353" spans="10:12">
      <c r="J2353"/>
      <c r="K2353"/>
      <c r="L2353"/>
    </row>
    <row r="2354" spans="10:12">
      <c r="J2354"/>
      <c r="K2354"/>
      <c r="L2354"/>
    </row>
    <row r="2355" spans="10:12">
      <c r="J2355"/>
      <c r="K2355"/>
      <c r="L2355"/>
    </row>
    <row r="2356" spans="10:12">
      <c r="J2356"/>
      <c r="K2356"/>
      <c r="L2356"/>
    </row>
    <row r="2357" spans="10:12">
      <c r="J2357"/>
      <c r="K2357"/>
      <c r="L2357"/>
    </row>
    <row r="2358" spans="10:12">
      <c r="J2358"/>
      <c r="K2358"/>
      <c r="L2358"/>
    </row>
    <row r="2359" spans="10:12">
      <c r="J2359"/>
      <c r="K2359"/>
      <c r="L2359"/>
    </row>
    <row r="2360" spans="10:12">
      <c r="J2360"/>
      <c r="K2360"/>
      <c r="L2360"/>
    </row>
    <row r="2361" spans="10:12">
      <c r="J2361"/>
      <c r="K2361"/>
      <c r="L2361"/>
    </row>
    <row r="2362" spans="10:12">
      <c r="J2362"/>
      <c r="K2362"/>
      <c r="L2362"/>
    </row>
    <row r="2363" spans="10:12">
      <c r="J2363"/>
      <c r="K2363"/>
      <c r="L2363"/>
    </row>
    <row r="2364" spans="10:12">
      <c r="J2364"/>
      <c r="K2364"/>
      <c r="L2364"/>
    </row>
    <row r="2365" spans="10:12">
      <c r="J2365"/>
      <c r="K2365"/>
      <c r="L2365"/>
    </row>
    <row r="2366" spans="10:12">
      <c r="J2366"/>
      <c r="K2366"/>
      <c r="L2366"/>
    </row>
    <row r="2367" spans="10:12">
      <c r="J2367"/>
      <c r="K2367"/>
      <c r="L2367"/>
    </row>
    <row r="2368" spans="10:12">
      <c r="J2368"/>
      <c r="K2368"/>
      <c r="L2368"/>
    </row>
    <row r="2369" spans="10:12">
      <c r="J2369"/>
      <c r="K2369"/>
      <c r="L2369"/>
    </row>
    <row r="2370" spans="10:12">
      <c r="J2370"/>
      <c r="K2370"/>
      <c r="L2370"/>
    </row>
    <row r="2371" spans="10:12">
      <c r="J2371"/>
      <c r="K2371"/>
      <c r="L2371"/>
    </row>
    <row r="2372" spans="10:12">
      <c r="J2372"/>
      <c r="K2372"/>
      <c r="L2372"/>
    </row>
    <row r="2373" spans="10:12">
      <c r="J2373"/>
      <c r="K2373"/>
      <c r="L2373"/>
    </row>
    <row r="2374" spans="10:12">
      <c r="J2374"/>
      <c r="K2374"/>
      <c r="L2374"/>
    </row>
    <row r="2375" spans="10:12">
      <c r="J2375"/>
      <c r="K2375"/>
      <c r="L2375"/>
    </row>
    <row r="2376" spans="10:12">
      <c r="J2376"/>
      <c r="K2376"/>
      <c r="L2376"/>
    </row>
    <row r="2377" spans="10:12">
      <c r="J2377"/>
      <c r="K2377"/>
      <c r="L2377"/>
    </row>
    <row r="2378" spans="10:12">
      <c r="J2378"/>
      <c r="K2378"/>
      <c r="L2378"/>
    </row>
    <row r="2379" spans="10:12">
      <c r="J2379"/>
      <c r="K2379"/>
      <c r="L2379"/>
    </row>
    <row r="2380" spans="10:12">
      <c r="J2380"/>
      <c r="K2380"/>
      <c r="L2380"/>
    </row>
    <row r="2381" spans="10:12">
      <c r="J2381"/>
      <c r="K2381"/>
      <c r="L2381"/>
    </row>
    <row r="2382" spans="10:12">
      <c r="J2382"/>
      <c r="K2382"/>
      <c r="L2382"/>
    </row>
    <row r="2383" spans="10:12">
      <c r="J2383"/>
      <c r="K2383"/>
      <c r="L2383"/>
    </row>
    <row r="2384" spans="10:12">
      <c r="J2384"/>
      <c r="K2384"/>
      <c r="L2384"/>
    </row>
    <row r="2385" spans="10:12">
      <c r="J2385"/>
      <c r="K2385"/>
      <c r="L2385"/>
    </row>
    <row r="2386" spans="10:12">
      <c r="J2386"/>
      <c r="K2386"/>
      <c r="L2386"/>
    </row>
    <row r="2387" spans="10:12">
      <c r="J2387"/>
      <c r="K2387"/>
      <c r="L2387"/>
    </row>
    <row r="2388" spans="10:12">
      <c r="J2388"/>
      <c r="K2388"/>
      <c r="L2388"/>
    </row>
    <row r="2389" spans="10:12">
      <c r="J2389"/>
      <c r="K2389"/>
      <c r="L2389"/>
    </row>
    <row r="2390" spans="10:12">
      <c r="J2390"/>
      <c r="K2390"/>
      <c r="L2390"/>
    </row>
    <row r="2391" spans="10:12">
      <c r="J2391"/>
      <c r="K2391"/>
      <c r="L2391"/>
    </row>
    <row r="2392" spans="10:12">
      <c r="J2392"/>
      <c r="K2392"/>
      <c r="L2392"/>
    </row>
    <row r="2393" spans="10:12">
      <c r="J2393"/>
      <c r="K2393"/>
      <c r="L2393"/>
    </row>
    <row r="2394" spans="10:12">
      <c r="J2394"/>
      <c r="K2394"/>
      <c r="L2394"/>
    </row>
    <row r="2395" spans="10:12">
      <c r="J2395"/>
      <c r="K2395"/>
      <c r="L2395"/>
    </row>
    <row r="2396" spans="10:12">
      <c r="J2396"/>
      <c r="K2396"/>
      <c r="L2396"/>
    </row>
    <row r="2397" spans="10:12">
      <c r="J2397"/>
      <c r="K2397"/>
      <c r="L2397"/>
    </row>
    <row r="2398" spans="10:12">
      <c r="J2398"/>
      <c r="K2398"/>
      <c r="L2398"/>
    </row>
    <row r="2399" spans="10:12">
      <c r="J2399"/>
      <c r="K2399"/>
      <c r="L2399"/>
    </row>
    <row r="2400" spans="10:12">
      <c r="J2400"/>
      <c r="K2400"/>
      <c r="L2400"/>
    </row>
    <row r="2401" spans="10:12">
      <c r="J2401"/>
      <c r="K2401"/>
      <c r="L2401"/>
    </row>
    <row r="2402" spans="10:12">
      <c r="J2402"/>
      <c r="K2402"/>
      <c r="L2402"/>
    </row>
    <row r="2403" spans="10:12">
      <c r="J2403"/>
      <c r="K2403"/>
      <c r="L2403"/>
    </row>
    <row r="2404" spans="10:12">
      <c r="J2404"/>
      <c r="K2404"/>
      <c r="L2404"/>
    </row>
    <row r="2405" spans="10:12">
      <c r="J2405"/>
      <c r="K2405"/>
      <c r="L2405"/>
    </row>
    <row r="2406" spans="10:12">
      <c r="J2406"/>
      <c r="K2406"/>
      <c r="L2406"/>
    </row>
    <row r="2407" spans="10:12">
      <c r="J2407"/>
      <c r="K2407"/>
      <c r="L2407"/>
    </row>
    <row r="2408" spans="10:12">
      <c r="J2408"/>
      <c r="K2408"/>
      <c r="L2408"/>
    </row>
    <row r="2409" spans="10:12">
      <c r="J2409"/>
      <c r="K2409"/>
      <c r="L2409"/>
    </row>
    <row r="2410" spans="10:12">
      <c r="J2410"/>
      <c r="K2410"/>
      <c r="L2410"/>
    </row>
    <row r="2411" spans="10:12">
      <c r="J2411"/>
      <c r="K2411"/>
      <c r="L2411"/>
    </row>
    <row r="2412" spans="10:12">
      <c r="J2412"/>
      <c r="K2412"/>
      <c r="L2412"/>
    </row>
    <row r="2413" spans="10:12">
      <c r="J2413"/>
      <c r="K2413"/>
      <c r="L2413"/>
    </row>
    <row r="2414" spans="10:12">
      <c r="J2414"/>
      <c r="K2414"/>
      <c r="L2414"/>
    </row>
    <row r="2415" spans="10:12">
      <c r="J2415"/>
      <c r="K2415"/>
      <c r="L2415"/>
    </row>
    <row r="2416" spans="10:12">
      <c r="J2416"/>
      <c r="K2416"/>
      <c r="L2416"/>
    </row>
    <row r="2417" spans="10:12">
      <c r="J2417"/>
      <c r="K2417"/>
      <c r="L2417"/>
    </row>
    <row r="2418" spans="10:12">
      <c r="J2418"/>
      <c r="K2418"/>
      <c r="L2418"/>
    </row>
    <row r="2419" spans="10:12">
      <c r="J2419"/>
      <c r="K2419"/>
      <c r="L2419"/>
    </row>
    <row r="2420" spans="10:12">
      <c r="J2420"/>
      <c r="K2420"/>
      <c r="L2420"/>
    </row>
    <row r="2421" spans="10:12">
      <c r="J2421"/>
      <c r="K2421"/>
      <c r="L2421"/>
    </row>
    <row r="2422" spans="10:12">
      <c r="J2422"/>
      <c r="K2422"/>
      <c r="L2422"/>
    </row>
    <row r="2423" spans="10:12">
      <c r="J2423"/>
      <c r="K2423"/>
      <c r="L2423"/>
    </row>
    <row r="2424" spans="10:12">
      <c r="J2424"/>
      <c r="K2424"/>
      <c r="L2424"/>
    </row>
    <row r="2425" spans="10:12">
      <c r="J2425"/>
      <c r="K2425"/>
      <c r="L2425"/>
    </row>
    <row r="2426" spans="10:12">
      <c r="J2426"/>
      <c r="K2426"/>
      <c r="L2426"/>
    </row>
    <row r="2427" spans="10:12">
      <c r="J2427"/>
      <c r="K2427"/>
      <c r="L2427"/>
    </row>
    <row r="2428" spans="10:12">
      <c r="J2428"/>
      <c r="K2428"/>
      <c r="L2428"/>
    </row>
    <row r="2429" spans="10:12">
      <c r="J2429"/>
      <c r="K2429"/>
      <c r="L2429"/>
    </row>
    <row r="2430" spans="10:12">
      <c r="J2430"/>
      <c r="K2430"/>
      <c r="L2430"/>
    </row>
    <row r="2431" spans="10:12">
      <c r="J2431"/>
      <c r="K2431"/>
      <c r="L2431"/>
    </row>
    <row r="2432" spans="10:12">
      <c r="J2432"/>
      <c r="K2432"/>
      <c r="L2432"/>
    </row>
    <row r="2433" spans="10:12">
      <c r="J2433"/>
      <c r="K2433"/>
      <c r="L2433"/>
    </row>
    <row r="2434" spans="10:12">
      <c r="J2434"/>
      <c r="K2434"/>
      <c r="L2434"/>
    </row>
    <row r="2435" spans="10:12">
      <c r="J2435"/>
      <c r="K2435"/>
      <c r="L2435"/>
    </row>
    <row r="2436" spans="10:12">
      <c r="J2436"/>
      <c r="K2436"/>
      <c r="L2436"/>
    </row>
    <row r="2437" spans="10:12">
      <c r="J2437"/>
      <c r="K2437"/>
      <c r="L2437"/>
    </row>
    <row r="2438" spans="10:12">
      <c r="J2438"/>
      <c r="K2438"/>
      <c r="L2438"/>
    </row>
    <row r="2439" spans="10:12">
      <c r="J2439"/>
      <c r="K2439"/>
      <c r="L2439"/>
    </row>
    <row r="2440" spans="10:12">
      <c r="J2440"/>
      <c r="K2440"/>
      <c r="L2440"/>
    </row>
    <row r="2441" spans="10:12">
      <c r="J2441"/>
      <c r="K2441"/>
      <c r="L2441"/>
    </row>
    <row r="2442" spans="10:12">
      <c r="J2442"/>
      <c r="K2442"/>
      <c r="L2442"/>
    </row>
    <row r="2443" spans="10:12">
      <c r="J2443"/>
      <c r="K2443"/>
      <c r="L2443"/>
    </row>
    <row r="2444" spans="10:12">
      <c r="J2444"/>
      <c r="K2444"/>
      <c r="L2444"/>
    </row>
    <row r="2445" spans="10:12">
      <c r="J2445"/>
      <c r="K2445"/>
      <c r="L2445"/>
    </row>
    <row r="2446" spans="10:12">
      <c r="J2446"/>
      <c r="K2446"/>
      <c r="L2446"/>
    </row>
    <row r="2447" spans="10:12">
      <c r="J2447"/>
      <c r="K2447"/>
      <c r="L2447"/>
    </row>
    <row r="2448" spans="10:12">
      <c r="J2448"/>
      <c r="K2448"/>
      <c r="L2448"/>
    </row>
    <row r="2449" spans="10:12">
      <c r="J2449"/>
      <c r="K2449"/>
      <c r="L2449"/>
    </row>
    <row r="2450" spans="10:12">
      <c r="J2450"/>
      <c r="K2450"/>
      <c r="L2450"/>
    </row>
    <row r="2451" spans="10:12">
      <c r="J2451"/>
      <c r="K2451"/>
      <c r="L2451"/>
    </row>
    <row r="2452" spans="10:12">
      <c r="J2452"/>
      <c r="K2452"/>
      <c r="L2452"/>
    </row>
    <row r="2453" spans="10:12">
      <c r="J2453"/>
      <c r="K2453"/>
      <c r="L2453"/>
    </row>
    <row r="2454" spans="10:12">
      <c r="J2454"/>
      <c r="K2454"/>
      <c r="L2454"/>
    </row>
    <row r="2455" spans="10:12">
      <c r="J2455"/>
      <c r="K2455"/>
      <c r="L2455"/>
    </row>
    <row r="2456" spans="10:12">
      <c r="J2456"/>
      <c r="K2456"/>
      <c r="L2456"/>
    </row>
    <row r="2457" spans="10:12">
      <c r="J2457"/>
      <c r="K2457"/>
      <c r="L2457"/>
    </row>
    <row r="2458" spans="10:12">
      <c r="J2458"/>
      <c r="K2458"/>
      <c r="L2458"/>
    </row>
    <row r="2459" spans="10:12">
      <c r="J2459"/>
      <c r="K2459"/>
      <c r="L2459"/>
    </row>
    <row r="2460" spans="10:12">
      <c r="J2460"/>
      <c r="K2460"/>
      <c r="L2460"/>
    </row>
    <row r="2461" spans="10:12">
      <c r="J2461"/>
      <c r="K2461"/>
      <c r="L2461"/>
    </row>
    <row r="2462" spans="10:12">
      <c r="J2462"/>
      <c r="K2462"/>
      <c r="L2462"/>
    </row>
    <row r="2463" spans="10:12">
      <c r="J2463"/>
      <c r="K2463"/>
      <c r="L2463"/>
    </row>
    <row r="2464" spans="10:12">
      <c r="J2464"/>
      <c r="K2464"/>
      <c r="L2464"/>
    </row>
    <row r="2465" spans="10:12">
      <c r="J2465"/>
      <c r="K2465"/>
      <c r="L2465"/>
    </row>
    <row r="2466" spans="10:12">
      <c r="J2466"/>
      <c r="K2466"/>
      <c r="L2466"/>
    </row>
    <row r="2467" spans="10:12">
      <c r="J2467"/>
      <c r="K2467"/>
      <c r="L2467"/>
    </row>
    <row r="2468" spans="10:12">
      <c r="J2468"/>
      <c r="K2468"/>
      <c r="L2468"/>
    </row>
    <row r="2469" spans="10:12">
      <c r="J2469"/>
      <c r="K2469"/>
      <c r="L2469"/>
    </row>
    <row r="2470" spans="10:12">
      <c r="J2470"/>
      <c r="K2470"/>
      <c r="L2470"/>
    </row>
    <row r="2471" spans="10:12">
      <c r="J2471"/>
      <c r="K2471"/>
      <c r="L2471"/>
    </row>
    <row r="2472" spans="10:12">
      <c r="J2472"/>
      <c r="K2472"/>
      <c r="L2472"/>
    </row>
    <row r="2473" spans="10:12">
      <c r="J2473"/>
      <c r="K2473"/>
      <c r="L2473"/>
    </row>
    <row r="2474" spans="10:12">
      <c r="J2474"/>
      <c r="K2474"/>
      <c r="L2474"/>
    </row>
    <row r="2475" spans="10:12">
      <c r="J2475"/>
      <c r="K2475"/>
      <c r="L2475"/>
    </row>
    <row r="2476" spans="10:12">
      <c r="J2476"/>
      <c r="K2476"/>
      <c r="L2476"/>
    </row>
    <row r="2477" spans="10:12">
      <c r="J2477"/>
      <c r="K2477"/>
      <c r="L2477"/>
    </row>
    <row r="2478" spans="10:12">
      <c r="J2478"/>
      <c r="K2478"/>
      <c r="L2478"/>
    </row>
    <row r="2479" spans="10:12">
      <c r="J2479"/>
      <c r="K2479"/>
      <c r="L2479"/>
    </row>
    <row r="2480" spans="10:12">
      <c r="J2480"/>
      <c r="K2480"/>
      <c r="L2480"/>
    </row>
    <row r="2481" spans="10:12">
      <c r="J2481"/>
      <c r="K2481"/>
      <c r="L2481"/>
    </row>
    <row r="2482" spans="10:12">
      <c r="J2482"/>
      <c r="K2482"/>
      <c r="L2482"/>
    </row>
    <row r="2483" spans="10:12">
      <c r="J2483"/>
      <c r="K2483"/>
      <c r="L2483"/>
    </row>
    <row r="2484" spans="10:12">
      <c r="J2484"/>
      <c r="K2484"/>
      <c r="L2484"/>
    </row>
    <row r="2485" spans="10:12">
      <c r="J2485"/>
      <c r="K2485"/>
      <c r="L2485"/>
    </row>
    <row r="2486" spans="10:12">
      <c r="J2486"/>
      <c r="K2486"/>
      <c r="L2486"/>
    </row>
    <row r="2487" spans="10:12">
      <c r="J2487"/>
      <c r="K2487"/>
      <c r="L2487"/>
    </row>
    <row r="2488" spans="10:12">
      <c r="J2488"/>
      <c r="K2488"/>
      <c r="L2488"/>
    </row>
    <row r="2489" spans="10:12">
      <c r="J2489"/>
      <c r="K2489"/>
      <c r="L2489"/>
    </row>
    <row r="2490" spans="10:12">
      <c r="J2490"/>
      <c r="K2490"/>
      <c r="L2490"/>
    </row>
    <row r="2491" spans="10:12">
      <c r="J2491"/>
      <c r="K2491"/>
      <c r="L2491"/>
    </row>
    <row r="2492" spans="10:12">
      <c r="J2492"/>
      <c r="K2492"/>
      <c r="L2492"/>
    </row>
    <row r="2493" spans="10:12">
      <c r="J2493"/>
      <c r="K2493"/>
      <c r="L2493"/>
    </row>
    <row r="2494" spans="10:12">
      <c r="J2494"/>
      <c r="K2494"/>
      <c r="L2494"/>
    </row>
    <row r="2495" spans="10:12">
      <c r="J2495"/>
      <c r="K2495"/>
      <c r="L2495"/>
    </row>
    <row r="2496" spans="10:12">
      <c r="J2496"/>
      <c r="K2496"/>
      <c r="L2496"/>
    </row>
    <row r="2497" spans="10:12">
      <c r="J2497"/>
      <c r="K2497"/>
      <c r="L2497"/>
    </row>
    <row r="2498" spans="10:12">
      <c r="J2498"/>
      <c r="K2498"/>
      <c r="L2498"/>
    </row>
    <row r="2499" spans="10:12">
      <c r="J2499"/>
      <c r="K2499"/>
      <c r="L2499"/>
    </row>
    <row r="2500" spans="10:12">
      <c r="J2500"/>
      <c r="K2500"/>
      <c r="L2500"/>
    </row>
    <row r="2501" spans="10:12">
      <c r="J2501"/>
      <c r="K2501"/>
      <c r="L2501"/>
    </row>
    <row r="2502" spans="10:12">
      <c r="J2502"/>
      <c r="K2502"/>
      <c r="L2502"/>
    </row>
    <row r="2503" spans="10:12">
      <c r="J2503"/>
      <c r="K2503"/>
      <c r="L2503"/>
    </row>
    <row r="2504" spans="10:12">
      <c r="J2504"/>
      <c r="K2504"/>
      <c r="L2504"/>
    </row>
    <row r="2505" spans="10:12">
      <c r="J2505"/>
      <c r="K2505"/>
      <c r="L2505"/>
    </row>
    <row r="2506" spans="10:12">
      <c r="J2506"/>
      <c r="K2506"/>
      <c r="L2506"/>
    </row>
    <row r="2507" spans="10:12">
      <c r="J2507"/>
      <c r="K2507"/>
      <c r="L2507"/>
    </row>
    <row r="2508" spans="10:12">
      <c r="J2508"/>
      <c r="K2508"/>
      <c r="L2508"/>
    </row>
    <row r="2509" spans="10:12">
      <c r="J2509"/>
      <c r="K2509"/>
      <c r="L2509"/>
    </row>
    <row r="2510" spans="10:12">
      <c r="J2510"/>
      <c r="K2510"/>
      <c r="L2510"/>
    </row>
    <row r="2511" spans="10:12">
      <c r="J2511"/>
      <c r="K2511"/>
      <c r="L2511"/>
    </row>
    <row r="2512" spans="10:12">
      <c r="J2512"/>
      <c r="K2512"/>
      <c r="L2512"/>
    </row>
    <row r="2513" spans="10:12">
      <c r="J2513"/>
      <c r="K2513"/>
      <c r="L2513"/>
    </row>
    <row r="2514" spans="10:12">
      <c r="J2514"/>
      <c r="K2514"/>
      <c r="L2514"/>
    </row>
    <row r="2515" spans="10:12">
      <c r="J2515"/>
      <c r="K2515"/>
      <c r="L2515"/>
    </row>
    <row r="2516" spans="10:12">
      <c r="J2516"/>
      <c r="K2516"/>
      <c r="L2516"/>
    </row>
    <row r="2517" spans="10:12">
      <c r="J2517"/>
      <c r="K2517"/>
      <c r="L2517"/>
    </row>
    <row r="2518" spans="10:12">
      <c r="J2518"/>
      <c r="K2518"/>
      <c r="L2518"/>
    </row>
    <row r="2519" spans="10:12">
      <c r="J2519"/>
      <c r="K2519"/>
      <c r="L2519"/>
    </row>
    <row r="2520" spans="10:12">
      <c r="J2520"/>
      <c r="K2520"/>
      <c r="L2520"/>
    </row>
    <row r="2521" spans="10:12">
      <c r="J2521"/>
      <c r="K2521"/>
      <c r="L2521"/>
    </row>
    <row r="2522" spans="10:12">
      <c r="J2522"/>
      <c r="K2522"/>
      <c r="L2522"/>
    </row>
    <row r="2523" spans="10:12">
      <c r="J2523"/>
      <c r="K2523"/>
      <c r="L2523"/>
    </row>
    <row r="2524" spans="10:12">
      <c r="J2524"/>
      <c r="K2524"/>
      <c r="L2524"/>
    </row>
    <row r="2525" spans="10:12">
      <c r="J2525"/>
      <c r="K2525"/>
      <c r="L2525"/>
    </row>
    <row r="2526" spans="10:12">
      <c r="J2526"/>
      <c r="K2526"/>
      <c r="L2526"/>
    </row>
    <row r="2527" spans="10:12">
      <c r="J2527"/>
      <c r="K2527"/>
      <c r="L2527"/>
    </row>
    <row r="2528" spans="10:12">
      <c r="J2528"/>
      <c r="K2528"/>
      <c r="L2528"/>
    </row>
    <row r="2529" spans="10:12">
      <c r="J2529"/>
      <c r="K2529"/>
      <c r="L2529"/>
    </row>
    <row r="2530" spans="10:12">
      <c r="J2530"/>
      <c r="K2530"/>
      <c r="L2530"/>
    </row>
    <row r="2531" spans="10:12">
      <c r="J2531"/>
      <c r="K2531"/>
      <c r="L2531"/>
    </row>
    <row r="2532" spans="10:12">
      <c r="J2532"/>
      <c r="K2532"/>
      <c r="L2532"/>
    </row>
    <row r="2533" spans="10:12">
      <c r="J2533"/>
      <c r="K2533"/>
      <c r="L2533"/>
    </row>
    <row r="2534" spans="10:12">
      <c r="J2534"/>
      <c r="K2534"/>
      <c r="L2534"/>
    </row>
    <row r="2535" spans="10:12">
      <c r="J2535"/>
      <c r="K2535"/>
      <c r="L2535"/>
    </row>
    <row r="2536" spans="10:12">
      <c r="J2536"/>
      <c r="K2536"/>
      <c r="L2536"/>
    </row>
    <row r="2537" spans="10:12">
      <c r="J2537"/>
      <c r="K2537"/>
      <c r="L2537"/>
    </row>
    <row r="2538" spans="10:12">
      <c r="J2538"/>
      <c r="K2538"/>
      <c r="L2538"/>
    </row>
    <row r="2539" spans="10:12">
      <c r="J2539"/>
      <c r="K2539"/>
      <c r="L2539"/>
    </row>
    <row r="2540" spans="10:12">
      <c r="J2540"/>
      <c r="K2540"/>
      <c r="L2540"/>
    </row>
    <row r="2541" spans="10:12">
      <c r="J2541"/>
      <c r="K2541"/>
      <c r="L2541"/>
    </row>
    <row r="2542" spans="10:12">
      <c r="J2542"/>
      <c r="K2542"/>
      <c r="L2542"/>
    </row>
    <row r="2543" spans="10:12">
      <c r="J2543"/>
      <c r="K2543"/>
      <c r="L2543"/>
    </row>
    <row r="2544" spans="10:12">
      <c r="J2544"/>
      <c r="K2544"/>
      <c r="L2544"/>
    </row>
    <row r="2545" spans="10:12">
      <c r="J2545"/>
      <c r="K2545"/>
      <c r="L2545"/>
    </row>
    <row r="2546" spans="10:12">
      <c r="J2546"/>
      <c r="K2546"/>
      <c r="L2546"/>
    </row>
    <row r="2547" spans="10:12">
      <c r="J2547"/>
      <c r="K2547"/>
      <c r="L2547"/>
    </row>
    <row r="2548" spans="10:12">
      <c r="J2548"/>
      <c r="K2548"/>
      <c r="L2548"/>
    </row>
    <row r="2549" spans="10:12">
      <c r="J2549"/>
      <c r="K2549"/>
      <c r="L2549"/>
    </row>
    <row r="2550" spans="10:12">
      <c r="J2550"/>
      <c r="K2550"/>
      <c r="L2550"/>
    </row>
    <row r="2551" spans="10:12">
      <c r="J2551"/>
      <c r="K2551"/>
      <c r="L2551"/>
    </row>
    <row r="2552" spans="10:12">
      <c r="J2552"/>
      <c r="K2552"/>
      <c r="L2552"/>
    </row>
    <row r="2553" spans="10:12">
      <c r="J2553"/>
      <c r="K2553"/>
      <c r="L2553"/>
    </row>
    <row r="2554" spans="10:12">
      <c r="J2554"/>
      <c r="K2554"/>
      <c r="L2554"/>
    </row>
    <row r="2555" spans="10:12">
      <c r="J2555"/>
      <c r="K2555"/>
      <c r="L2555"/>
    </row>
    <row r="2556" spans="10:12">
      <c r="J2556"/>
      <c r="K2556"/>
      <c r="L2556"/>
    </row>
    <row r="2557" spans="10:12">
      <c r="J2557"/>
      <c r="K2557"/>
      <c r="L2557"/>
    </row>
    <row r="2558" spans="10:12">
      <c r="J2558"/>
      <c r="K2558"/>
      <c r="L2558"/>
    </row>
    <row r="2559" spans="10:12">
      <c r="J2559"/>
      <c r="K2559"/>
      <c r="L2559"/>
    </row>
    <row r="2560" spans="10:12">
      <c r="J2560"/>
      <c r="K2560"/>
      <c r="L2560"/>
    </row>
    <row r="2561" spans="10:12">
      <c r="J2561"/>
      <c r="K2561"/>
      <c r="L2561"/>
    </row>
    <row r="2562" spans="10:12">
      <c r="J2562"/>
      <c r="K2562"/>
      <c r="L2562"/>
    </row>
    <row r="2563" spans="10:12">
      <c r="J2563"/>
      <c r="K2563"/>
      <c r="L2563"/>
    </row>
    <row r="2564" spans="10:12">
      <c r="J2564"/>
      <c r="K2564"/>
      <c r="L2564"/>
    </row>
    <row r="2565" spans="10:12">
      <c r="J2565"/>
      <c r="K2565"/>
      <c r="L2565"/>
    </row>
    <row r="2566" spans="10:12">
      <c r="J2566"/>
      <c r="K2566"/>
      <c r="L2566"/>
    </row>
    <row r="2567" spans="10:12">
      <c r="J2567"/>
      <c r="K2567"/>
      <c r="L2567"/>
    </row>
    <row r="2568" spans="10:12">
      <c r="J2568"/>
      <c r="K2568"/>
      <c r="L2568"/>
    </row>
    <row r="2569" spans="10:12">
      <c r="J2569"/>
      <c r="K2569"/>
      <c r="L2569"/>
    </row>
    <row r="2570" spans="10:12">
      <c r="J2570"/>
      <c r="K2570"/>
      <c r="L2570"/>
    </row>
    <row r="2571" spans="10:12">
      <c r="J2571"/>
      <c r="K2571"/>
      <c r="L2571"/>
    </row>
    <row r="2572" spans="10:12">
      <c r="J2572"/>
      <c r="K2572"/>
      <c r="L2572"/>
    </row>
    <row r="2573" spans="10:12">
      <c r="J2573"/>
      <c r="K2573"/>
      <c r="L2573"/>
    </row>
    <row r="2574" spans="10:12">
      <c r="J2574"/>
      <c r="K2574"/>
      <c r="L2574"/>
    </row>
    <row r="2575" spans="10:12">
      <c r="J2575"/>
      <c r="K2575"/>
      <c r="L2575"/>
    </row>
    <row r="2576" spans="10:12">
      <c r="J2576"/>
      <c r="K2576"/>
      <c r="L2576"/>
    </row>
    <row r="2577" spans="10:12">
      <c r="J2577"/>
      <c r="K2577"/>
      <c r="L2577"/>
    </row>
    <row r="2578" spans="10:12">
      <c r="J2578"/>
      <c r="K2578"/>
      <c r="L2578"/>
    </row>
    <row r="2579" spans="10:12">
      <c r="J2579"/>
      <c r="K2579"/>
      <c r="L2579"/>
    </row>
    <row r="2580" spans="10:12">
      <c r="J2580"/>
      <c r="K2580"/>
      <c r="L2580"/>
    </row>
    <row r="2581" spans="10:12">
      <c r="J2581"/>
      <c r="K2581"/>
      <c r="L2581"/>
    </row>
    <row r="2582" spans="10:12">
      <c r="J2582"/>
      <c r="K2582"/>
      <c r="L2582"/>
    </row>
    <row r="2583" spans="10:12">
      <c r="J2583"/>
      <c r="K2583"/>
      <c r="L2583"/>
    </row>
    <row r="2584" spans="10:12">
      <c r="J2584"/>
      <c r="K2584"/>
      <c r="L2584"/>
    </row>
    <row r="2585" spans="10:12">
      <c r="J2585"/>
      <c r="K2585"/>
      <c r="L2585"/>
    </row>
    <row r="2586" spans="10:12">
      <c r="J2586"/>
      <c r="K2586"/>
      <c r="L2586"/>
    </row>
    <row r="2587" spans="10:12">
      <c r="J2587"/>
      <c r="K2587"/>
      <c r="L2587"/>
    </row>
    <row r="2588" spans="10:12">
      <c r="J2588"/>
      <c r="K2588"/>
      <c r="L2588"/>
    </row>
    <row r="2589" spans="10:12">
      <c r="J2589"/>
      <c r="K2589"/>
      <c r="L2589"/>
    </row>
    <row r="2590" spans="10:12">
      <c r="J2590"/>
      <c r="K2590"/>
      <c r="L2590"/>
    </row>
    <row r="2591" spans="10:12">
      <c r="J2591"/>
      <c r="K2591"/>
      <c r="L2591"/>
    </row>
    <row r="2592" spans="10:12">
      <c r="J2592"/>
      <c r="K2592"/>
      <c r="L2592"/>
    </row>
    <row r="2593" spans="10:12">
      <c r="J2593"/>
      <c r="K2593"/>
      <c r="L2593"/>
    </row>
    <row r="2594" spans="10:12">
      <c r="J2594"/>
      <c r="K2594"/>
      <c r="L2594"/>
    </row>
    <row r="2595" spans="10:12">
      <c r="J2595"/>
      <c r="K2595"/>
      <c r="L2595"/>
    </row>
    <row r="2596" spans="10:12">
      <c r="J2596"/>
      <c r="K2596"/>
      <c r="L2596"/>
    </row>
    <row r="2597" spans="10:12">
      <c r="J2597"/>
      <c r="K2597"/>
      <c r="L2597"/>
    </row>
    <row r="2598" spans="10:12">
      <c r="J2598"/>
      <c r="K2598"/>
      <c r="L2598"/>
    </row>
    <row r="2599" spans="10:12">
      <c r="J2599"/>
      <c r="K2599"/>
      <c r="L2599"/>
    </row>
    <row r="2600" spans="10:12">
      <c r="J2600"/>
      <c r="K2600"/>
      <c r="L2600"/>
    </row>
    <row r="2601" spans="10:12">
      <c r="J2601"/>
      <c r="K2601"/>
      <c r="L2601"/>
    </row>
    <row r="2602" spans="10:12">
      <c r="J2602"/>
      <c r="K2602"/>
      <c r="L2602"/>
    </row>
    <row r="2603" spans="10:12">
      <c r="J2603"/>
      <c r="K2603"/>
      <c r="L2603"/>
    </row>
    <row r="2604" spans="10:12">
      <c r="J2604"/>
      <c r="K2604"/>
      <c r="L2604"/>
    </row>
    <row r="2605" spans="10:12">
      <c r="J2605"/>
      <c r="K2605"/>
      <c r="L2605"/>
    </row>
    <row r="2606" spans="10:12">
      <c r="J2606"/>
      <c r="K2606"/>
      <c r="L2606"/>
    </row>
    <row r="2607" spans="10:12">
      <c r="J2607"/>
      <c r="K2607"/>
      <c r="L2607"/>
    </row>
    <row r="2608" spans="10:12">
      <c r="J2608"/>
      <c r="K2608"/>
      <c r="L2608"/>
    </row>
    <row r="2609" spans="10:12">
      <c r="J2609"/>
      <c r="K2609"/>
      <c r="L2609"/>
    </row>
    <row r="2610" spans="10:12">
      <c r="J2610"/>
      <c r="K2610"/>
      <c r="L2610"/>
    </row>
    <row r="2611" spans="10:12">
      <c r="J2611"/>
      <c r="K2611"/>
      <c r="L2611"/>
    </row>
    <row r="2612" spans="10:12">
      <c r="J2612"/>
      <c r="K2612"/>
      <c r="L2612"/>
    </row>
    <row r="2613" spans="10:12">
      <c r="J2613"/>
      <c r="K2613"/>
      <c r="L2613"/>
    </row>
    <row r="2614" spans="10:12">
      <c r="J2614"/>
      <c r="K2614"/>
      <c r="L2614"/>
    </row>
    <row r="2615" spans="10:12">
      <c r="J2615"/>
      <c r="K2615"/>
      <c r="L2615"/>
    </row>
    <row r="2616" spans="10:12">
      <c r="J2616"/>
      <c r="K2616"/>
      <c r="L2616"/>
    </row>
    <row r="2617" spans="10:12">
      <c r="J2617"/>
      <c r="K2617"/>
      <c r="L2617"/>
    </row>
    <row r="2618" spans="10:12">
      <c r="J2618"/>
      <c r="K2618"/>
      <c r="L2618"/>
    </row>
    <row r="2619" spans="10:12">
      <c r="J2619"/>
      <c r="K2619"/>
      <c r="L2619"/>
    </row>
    <row r="2620" spans="10:12">
      <c r="J2620"/>
      <c r="K2620"/>
      <c r="L2620"/>
    </row>
    <row r="2621" spans="10:12">
      <c r="J2621"/>
      <c r="K2621"/>
      <c r="L2621"/>
    </row>
    <row r="2622" spans="10:12">
      <c r="J2622"/>
      <c r="K2622"/>
      <c r="L2622"/>
    </row>
    <row r="2623" spans="10:12">
      <c r="J2623"/>
      <c r="K2623"/>
      <c r="L2623"/>
    </row>
    <row r="2624" spans="10:12">
      <c r="J2624"/>
      <c r="K2624"/>
      <c r="L2624"/>
    </row>
    <row r="2625" spans="10:12">
      <c r="J2625"/>
      <c r="K2625"/>
      <c r="L2625"/>
    </row>
    <row r="2626" spans="10:12">
      <c r="J2626"/>
      <c r="K2626"/>
      <c r="L2626"/>
    </row>
    <row r="2627" spans="10:12">
      <c r="J2627"/>
      <c r="K2627"/>
      <c r="L2627"/>
    </row>
    <row r="2628" spans="10:12">
      <c r="J2628"/>
      <c r="K2628"/>
      <c r="L2628"/>
    </row>
    <row r="2629" spans="10:12">
      <c r="J2629"/>
      <c r="K2629"/>
      <c r="L2629"/>
    </row>
    <row r="2630" spans="10:12">
      <c r="J2630"/>
      <c r="K2630"/>
      <c r="L2630"/>
    </row>
    <row r="2631" spans="10:12">
      <c r="J2631"/>
      <c r="K2631"/>
      <c r="L2631"/>
    </row>
    <row r="2632" spans="10:12">
      <c r="J2632"/>
      <c r="K2632"/>
      <c r="L2632"/>
    </row>
    <row r="2633" spans="10:12">
      <c r="J2633"/>
      <c r="K2633"/>
      <c r="L2633"/>
    </row>
    <row r="2634" spans="10:12">
      <c r="J2634"/>
      <c r="K2634"/>
      <c r="L2634"/>
    </row>
    <row r="2635" spans="10:12">
      <c r="J2635"/>
      <c r="K2635"/>
      <c r="L2635"/>
    </row>
    <row r="2636" spans="10:12">
      <c r="J2636"/>
      <c r="K2636"/>
      <c r="L2636"/>
    </row>
    <row r="2637" spans="10:12">
      <c r="J2637"/>
      <c r="K2637"/>
      <c r="L2637"/>
    </row>
    <row r="2638" spans="10:12">
      <c r="J2638"/>
      <c r="K2638"/>
      <c r="L2638"/>
    </row>
    <row r="2639" spans="10:12">
      <c r="J2639"/>
      <c r="K2639"/>
      <c r="L2639"/>
    </row>
    <row r="2640" spans="10:12">
      <c r="J2640"/>
      <c r="K2640"/>
      <c r="L2640"/>
    </row>
    <row r="2641" spans="10:12">
      <c r="J2641"/>
      <c r="K2641"/>
      <c r="L2641"/>
    </row>
    <row r="2642" spans="10:12">
      <c r="J2642"/>
      <c r="K2642"/>
      <c r="L2642"/>
    </row>
    <row r="2643" spans="10:12">
      <c r="J2643"/>
      <c r="K2643"/>
      <c r="L2643"/>
    </row>
    <row r="2644" spans="10:12">
      <c r="J2644"/>
      <c r="K2644"/>
      <c r="L2644"/>
    </row>
    <row r="2645" spans="10:12">
      <c r="J2645"/>
      <c r="K2645"/>
      <c r="L2645"/>
    </row>
    <row r="2646" spans="10:12">
      <c r="J2646"/>
      <c r="K2646"/>
      <c r="L2646"/>
    </row>
    <row r="2647" spans="10:12">
      <c r="J2647"/>
      <c r="K2647"/>
      <c r="L2647"/>
    </row>
    <row r="2648" spans="10:12">
      <c r="J2648"/>
      <c r="K2648"/>
      <c r="L2648"/>
    </row>
    <row r="2649" spans="10:12">
      <c r="J2649"/>
      <c r="K2649"/>
      <c r="L2649"/>
    </row>
    <row r="2650" spans="10:12">
      <c r="J2650"/>
      <c r="K2650"/>
      <c r="L2650"/>
    </row>
    <row r="2651" spans="10:12">
      <c r="J2651"/>
      <c r="K2651"/>
      <c r="L2651"/>
    </row>
    <row r="2652" spans="10:12">
      <c r="J2652"/>
      <c r="K2652"/>
      <c r="L2652"/>
    </row>
    <row r="2653" spans="10:12">
      <c r="J2653"/>
      <c r="K2653"/>
      <c r="L2653"/>
    </row>
    <row r="2654" spans="10:12">
      <c r="J2654"/>
      <c r="K2654"/>
      <c r="L2654"/>
    </row>
    <row r="2655" spans="10:12">
      <c r="J2655"/>
      <c r="K2655"/>
      <c r="L2655"/>
    </row>
    <row r="2656" spans="10:12">
      <c r="J2656"/>
      <c r="K2656"/>
      <c r="L2656"/>
    </row>
    <row r="2657" spans="10:12">
      <c r="J2657"/>
      <c r="K2657"/>
      <c r="L2657"/>
    </row>
    <row r="2658" spans="10:12">
      <c r="J2658"/>
      <c r="K2658"/>
      <c r="L2658"/>
    </row>
    <row r="2659" spans="10:12">
      <c r="J2659"/>
      <c r="K2659"/>
      <c r="L2659"/>
    </row>
    <row r="2660" spans="10:12">
      <c r="J2660"/>
      <c r="K2660"/>
      <c r="L2660"/>
    </row>
    <row r="2661" spans="10:12">
      <c r="J2661"/>
      <c r="K2661"/>
      <c r="L2661"/>
    </row>
    <row r="2662" spans="10:12">
      <c r="J2662"/>
      <c r="K2662"/>
      <c r="L2662"/>
    </row>
    <row r="2663" spans="10:12">
      <c r="J2663"/>
      <c r="K2663"/>
      <c r="L2663"/>
    </row>
    <row r="2664" spans="10:12">
      <c r="J2664"/>
      <c r="K2664"/>
      <c r="L2664"/>
    </row>
    <row r="2665" spans="10:12">
      <c r="J2665"/>
      <c r="K2665"/>
      <c r="L2665"/>
    </row>
    <row r="2666" spans="10:12">
      <c r="J2666"/>
      <c r="K2666"/>
      <c r="L2666"/>
    </row>
    <row r="2667" spans="10:12">
      <c r="J2667"/>
      <c r="K2667"/>
      <c r="L2667"/>
    </row>
    <row r="2668" spans="10:12">
      <c r="J2668"/>
      <c r="K2668"/>
      <c r="L2668"/>
    </row>
    <row r="2669" spans="10:12">
      <c r="J2669"/>
      <c r="K2669"/>
      <c r="L2669"/>
    </row>
    <row r="2670" spans="10:12">
      <c r="J2670"/>
      <c r="K2670"/>
      <c r="L2670"/>
    </row>
    <row r="2671" spans="10:12">
      <c r="J2671"/>
      <c r="K2671"/>
      <c r="L2671"/>
    </row>
    <row r="2672" spans="10:12">
      <c r="J2672"/>
      <c r="K2672"/>
      <c r="L2672"/>
    </row>
    <row r="2673" spans="10:12">
      <c r="J2673"/>
      <c r="K2673"/>
      <c r="L2673"/>
    </row>
    <row r="2674" spans="10:12">
      <c r="J2674"/>
      <c r="K2674"/>
      <c r="L2674"/>
    </row>
    <row r="2675" spans="10:12">
      <c r="J2675"/>
      <c r="K2675"/>
      <c r="L2675"/>
    </row>
    <row r="2676" spans="10:12">
      <c r="J2676"/>
      <c r="K2676"/>
      <c r="L2676"/>
    </row>
    <row r="2677" spans="10:12">
      <c r="J2677"/>
      <c r="K2677"/>
      <c r="L2677"/>
    </row>
    <row r="2678" spans="10:12">
      <c r="J2678"/>
      <c r="K2678"/>
      <c r="L2678"/>
    </row>
    <row r="2679" spans="10:12">
      <c r="J2679"/>
      <c r="K2679"/>
      <c r="L2679"/>
    </row>
    <row r="2680" spans="10:12">
      <c r="J2680"/>
      <c r="K2680"/>
      <c r="L2680"/>
    </row>
    <row r="2681" spans="10:12">
      <c r="J2681"/>
      <c r="K2681"/>
      <c r="L2681"/>
    </row>
    <row r="2682" spans="10:12">
      <c r="J2682"/>
      <c r="K2682"/>
      <c r="L2682"/>
    </row>
    <row r="2683" spans="10:12">
      <c r="J2683"/>
      <c r="K2683"/>
      <c r="L2683"/>
    </row>
    <row r="2684" spans="10:12">
      <c r="J2684"/>
      <c r="K2684"/>
      <c r="L2684"/>
    </row>
    <row r="2685" spans="10:12">
      <c r="J2685"/>
      <c r="K2685"/>
      <c r="L2685"/>
    </row>
    <row r="2686" spans="10:12">
      <c r="J2686"/>
      <c r="K2686"/>
      <c r="L2686"/>
    </row>
    <row r="2687" spans="10:12">
      <c r="J2687"/>
      <c r="K2687"/>
      <c r="L2687"/>
    </row>
    <row r="2688" spans="10:12">
      <c r="J2688"/>
      <c r="K2688"/>
      <c r="L2688"/>
    </row>
    <row r="2689" spans="10:12">
      <c r="J2689"/>
      <c r="K2689"/>
      <c r="L2689"/>
    </row>
    <row r="2690" spans="10:12">
      <c r="J2690"/>
      <c r="K2690"/>
      <c r="L2690"/>
    </row>
    <row r="2691" spans="10:12">
      <c r="J2691"/>
      <c r="K2691"/>
      <c r="L2691"/>
    </row>
    <row r="2692" spans="10:12">
      <c r="J2692"/>
      <c r="K2692"/>
      <c r="L2692"/>
    </row>
    <row r="2693" spans="10:12">
      <c r="J2693"/>
      <c r="K2693"/>
      <c r="L2693"/>
    </row>
    <row r="2694" spans="10:12">
      <c r="J2694"/>
      <c r="K2694"/>
      <c r="L2694"/>
    </row>
    <row r="2695" spans="10:12">
      <c r="J2695"/>
      <c r="K2695"/>
      <c r="L2695"/>
    </row>
    <row r="2696" spans="10:12">
      <c r="J2696"/>
      <c r="K2696"/>
      <c r="L2696"/>
    </row>
    <row r="2697" spans="10:12">
      <c r="J2697"/>
      <c r="K2697"/>
      <c r="L2697"/>
    </row>
    <row r="2698" spans="10:12">
      <c r="J2698"/>
      <c r="K2698"/>
      <c r="L2698"/>
    </row>
    <row r="2699" spans="10:12">
      <c r="J2699"/>
      <c r="K2699"/>
      <c r="L2699"/>
    </row>
    <row r="2700" spans="10:12">
      <c r="J2700"/>
      <c r="K2700"/>
      <c r="L2700"/>
    </row>
    <row r="2701" spans="10:12">
      <c r="J2701"/>
      <c r="K2701"/>
      <c r="L2701"/>
    </row>
    <row r="2702" spans="10:12">
      <c r="J2702"/>
      <c r="K2702"/>
      <c r="L2702"/>
    </row>
    <row r="2703" spans="10:12">
      <c r="J2703"/>
      <c r="K2703"/>
      <c r="L2703"/>
    </row>
    <row r="2704" spans="10:12">
      <c r="J2704"/>
      <c r="K2704"/>
      <c r="L2704"/>
    </row>
    <row r="2705" spans="10:12">
      <c r="J2705"/>
      <c r="K2705"/>
      <c r="L2705"/>
    </row>
    <row r="2706" spans="10:12">
      <c r="J2706"/>
      <c r="K2706"/>
      <c r="L2706"/>
    </row>
    <row r="2707" spans="10:12">
      <c r="J2707"/>
      <c r="K2707"/>
      <c r="L2707"/>
    </row>
    <row r="2708" spans="10:12">
      <c r="J2708"/>
      <c r="K2708"/>
      <c r="L2708"/>
    </row>
    <row r="2709" spans="10:12">
      <c r="J2709"/>
      <c r="K2709"/>
      <c r="L2709"/>
    </row>
    <row r="2710" spans="10:12">
      <c r="J2710"/>
      <c r="K2710"/>
      <c r="L2710"/>
    </row>
    <row r="2711" spans="10:12">
      <c r="J2711"/>
      <c r="K2711"/>
      <c r="L2711"/>
    </row>
    <row r="2712" spans="10:12">
      <c r="J2712"/>
      <c r="K2712"/>
      <c r="L2712"/>
    </row>
    <row r="2713" spans="10:12">
      <c r="J2713"/>
      <c r="K2713"/>
      <c r="L2713"/>
    </row>
    <row r="2714" spans="10:12">
      <c r="J2714"/>
      <c r="K2714"/>
      <c r="L2714"/>
    </row>
    <row r="2715" spans="10:12">
      <c r="J2715"/>
      <c r="K2715"/>
      <c r="L2715"/>
    </row>
    <row r="2716" spans="10:12">
      <c r="J2716"/>
      <c r="K2716"/>
      <c r="L2716"/>
    </row>
    <row r="2717" spans="10:12">
      <c r="J2717"/>
      <c r="K2717"/>
      <c r="L2717"/>
    </row>
    <row r="2718" spans="10:12">
      <c r="J2718"/>
      <c r="K2718"/>
      <c r="L2718"/>
    </row>
    <row r="2719" spans="10:12">
      <c r="J2719"/>
      <c r="K2719"/>
      <c r="L2719"/>
    </row>
    <row r="2720" spans="10:12">
      <c r="J2720"/>
      <c r="K2720"/>
      <c r="L2720"/>
    </row>
    <row r="2721" spans="10:12">
      <c r="J2721"/>
      <c r="K2721"/>
      <c r="L2721"/>
    </row>
    <row r="2722" spans="10:12">
      <c r="J2722"/>
      <c r="K2722"/>
      <c r="L2722"/>
    </row>
    <row r="2723" spans="10:12">
      <c r="J2723"/>
      <c r="K2723"/>
      <c r="L2723"/>
    </row>
    <row r="2724" spans="10:12">
      <c r="J2724"/>
      <c r="K2724"/>
      <c r="L2724"/>
    </row>
    <row r="2725" spans="10:12">
      <c r="J2725"/>
      <c r="K2725"/>
      <c r="L2725"/>
    </row>
    <row r="2726" spans="10:12">
      <c r="J2726"/>
      <c r="K2726"/>
      <c r="L2726"/>
    </row>
    <row r="2727" spans="10:12">
      <c r="J2727"/>
      <c r="K2727"/>
      <c r="L2727"/>
    </row>
    <row r="2728" spans="10:12">
      <c r="J2728"/>
      <c r="K2728"/>
      <c r="L2728"/>
    </row>
    <row r="2729" spans="10:12">
      <c r="J2729"/>
      <c r="K2729"/>
      <c r="L2729"/>
    </row>
    <row r="2730" spans="10:12">
      <c r="J2730"/>
      <c r="K2730"/>
      <c r="L2730"/>
    </row>
    <row r="2731" spans="10:12">
      <c r="J2731"/>
      <c r="K2731"/>
      <c r="L2731"/>
    </row>
    <row r="2732" spans="10:12">
      <c r="J2732"/>
      <c r="K2732"/>
      <c r="L2732"/>
    </row>
    <row r="2733" spans="10:12">
      <c r="J2733"/>
      <c r="K2733"/>
      <c r="L2733"/>
    </row>
    <row r="2734" spans="10:12">
      <c r="J2734"/>
      <c r="K2734"/>
      <c r="L2734"/>
    </row>
    <row r="2735" spans="10:12">
      <c r="J2735"/>
      <c r="K2735"/>
      <c r="L2735"/>
    </row>
    <row r="2736" spans="10:12">
      <c r="J2736"/>
      <c r="K2736"/>
      <c r="L2736"/>
    </row>
    <row r="2737" spans="10:12">
      <c r="J2737"/>
      <c r="K2737"/>
      <c r="L2737"/>
    </row>
    <row r="2738" spans="10:12">
      <c r="J2738"/>
      <c r="K2738"/>
      <c r="L2738"/>
    </row>
    <row r="2739" spans="10:12">
      <c r="J2739"/>
      <c r="K2739"/>
      <c r="L2739"/>
    </row>
    <row r="2740" spans="10:12">
      <c r="J2740"/>
      <c r="K2740"/>
      <c r="L2740"/>
    </row>
    <row r="2741" spans="10:12">
      <c r="J2741"/>
      <c r="K2741"/>
      <c r="L2741"/>
    </row>
    <row r="2742" spans="10:12">
      <c r="J2742"/>
      <c r="K2742"/>
      <c r="L2742"/>
    </row>
    <row r="2743" spans="10:12">
      <c r="J2743"/>
      <c r="K2743"/>
      <c r="L2743"/>
    </row>
    <row r="2744" spans="10:12">
      <c r="J2744"/>
      <c r="K2744"/>
      <c r="L2744"/>
    </row>
    <row r="2745" spans="10:12">
      <c r="J2745"/>
      <c r="K2745"/>
      <c r="L2745"/>
    </row>
    <row r="2746" spans="10:12">
      <c r="J2746"/>
      <c r="K2746"/>
      <c r="L2746"/>
    </row>
    <row r="2747" spans="10:12">
      <c r="J2747"/>
      <c r="K2747"/>
      <c r="L2747"/>
    </row>
    <row r="2748" spans="10:12">
      <c r="J2748"/>
      <c r="K2748"/>
      <c r="L2748"/>
    </row>
    <row r="2749" spans="10:12">
      <c r="J2749"/>
      <c r="K2749"/>
      <c r="L2749"/>
    </row>
    <row r="2750" spans="10:12">
      <c r="J2750"/>
      <c r="K2750"/>
      <c r="L2750"/>
    </row>
    <row r="2751" spans="10:12">
      <c r="J2751"/>
      <c r="K2751"/>
      <c r="L2751"/>
    </row>
    <row r="2752" spans="10:12">
      <c r="J2752"/>
      <c r="K2752"/>
      <c r="L2752"/>
    </row>
    <row r="2753" spans="10:12">
      <c r="J2753"/>
      <c r="K2753"/>
      <c r="L2753"/>
    </row>
    <row r="2754" spans="10:12">
      <c r="J2754"/>
      <c r="K2754"/>
      <c r="L2754"/>
    </row>
    <row r="2755" spans="10:12">
      <c r="J2755"/>
      <c r="K2755"/>
      <c r="L2755"/>
    </row>
    <row r="2756" spans="10:12">
      <c r="J2756"/>
      <c r="K2756"/>
      <c r="L2756"/>
    </row>
    <row r="2757" spans="10:12">
      <c r="J2757"/>
      <c r="K2757"/>
      <c r="L2757"/>
    </row>
    <row r="2758" spans="10:12">
      <c r="J2758"/>
      <c r="K2758"/>
      <c r="L2758"/>
    </row>
    <row r="2759" spans="10:12">
      <c r="J2759"/>
      <c r="K2759"/>
      <c r="L2759"/>
    </row>
    <row r="2760" spans="10:12">
      <c r="J2760"/>
      <c r="K2760"/>
      <c r="L2760"/>
    </row>
    <row r="2761" spans="10:12">
      <c r="J2761"/>
      <c r="K2761"/>
      <c r="L2761"/>
    </row>
    <row r="2762" spans="10:12">
      <c r="J2762"/>
      <c r="K2762"/>
      <c r="L2762"/>
    </row>
    <row r="2763" spans="10:12">
      <c r="J2763"/>
      <c r="K2763"/>
      <c r="L2763"/>
    </row>
    <row r="2764" spans="10:12">
      <c r="J2764"/>
      <c r="K2764"/>
      <c r="L2764"/>
    </row>
    <row r="2765" spans="10:12">
      <c r="J2765"/>
      <c r="K2765"/>
      <c r="L2765"/>
    </row>
    <row r="2766" spans="10:12">
      <c r="J2766"/>
      <c r="K2766"/>
      <c r="L2766"/>
    </row>
    <row r="2767" spans="10:12">
      <c r="J2767"/>
      <c r="K2767"/>
      <c r="L2767"/>
    </row>
    <row r="2768" spans="10:12">
      <c r="J2768"/>
      <c r="K2768"/>
      <c r="L2768"/>
    </row>
    <row r="2769" spans="10:12">
      <c r="J2769"/>
      <c r="K2769"/>
      <c r="L2769"/>
    </row>
    <row r="2770" spans="10:12">
      <c r="J2770"/>
      <c r="K2770"/>
      <c r="L2770"/>
    </row>
    <row r="2771" spans="10:12">
      <c r="J2771"/>
      <c r="K2771"/>
      <c r="L2771"/>
    </row>
    <row r="2772" spans="10:12">
      <c r="J2772"/>
      <c r="K2772"/>
      <c r="L2772"/>
    </row>
    <row r="2773" spans="10:12">
      <c r="J2773"/>
      <c r="K2773"/>
      <c r="L2773"/>
    </row>
    <row r="2774" spans="10:12">
      <c r="J2774"/>
      <c r="K2774"/>
      <c r="L2774"/>
    </row>
    <row r="2775" spans="10:12">
      <c r="J2775"/>
      <c r="K2775"/>
      <c r="L2775"/>
    </row>
    <row r="2776" spans="10:12">
      <c r="J2776"/>
      <c r="K2776"/>
      <c r="L2776"/>
    </row>
    <row r="2777" spans="10:12">
      <c r="J2777"/>
      <c r="K2777"/>
      <c r="L2777"/>
    </row>
    <row r="2778" spans="10:12">
      <c r="J2778"/>
      <c r="K2778"/>
      <c r="L2778"/>
    </row>
    <row r="2779" spans="10:12">
      <c r="J2779"/>
      <c r="K2779"/>
      <c r="L2779"/>
    </row>
    <row r="2780" spans="10:12">
      <c r="J2780"/>
      <c r="K2780"/>
      <c r="L2780"/>
    </row>
    <row r="2781" spans="10:12">
      <c r="J2781"/>
      <c r="K2781"/>
      <c r="L2781"/>
    </row>
    <row r="2782" spans="10:12">
      <c r="J2782"/>
      <c r="K2782"/>
      <c r="L2782"/>
    </row>
    <row r="2783" spans="10:12">
      <c r="J2783"/>
      <c r="K2783"/>
      <c r="L2783"/>
    </row>
    <row r="2784" spans="10:12">
      <c r="J2784"/>
      <c r="K2784"/>
      <c r="L2784"/>
    </row>
    <row r="2785" spans="10:12">
      <c r="J2785"/>
      <c r="K2785"/>
      <c r="L2785"/>
    </row>
    <row r="2786" spans="10:12">
      <c r="J2786"/>
      <c r="K2786"/>
      <c r="L2786"/>
    </row>
    <row r="2787" spans="10:12">
      <c r="J2787"/>
      <c r="K2787"/>
      <c r="L2787"/>
    </row>
    <row r="2788" spans="10:12">
      <c r="J2788"/>
      <c r="K2788"/>
      <c r="L2788"/>
    </row>
    <row r="2789" spans="10:12">
      <c r="J2789"/>
      <c r="K2789"/>
      <c r="L2789"/>
    </row>
    <row r="2790" spans="10:12">
      <c r="J2790"/>
      <c r="K2790"/>
      <c r="L2790"/>
    </row>
    <row r="2791" spans="10:12">
      <c r="J2791"/>
      <c r="K2791"/>
      <c r="L2791"/>
    </row>
    <row r="2792" spans="10:12">
      <c r="J2792"/>
      <c r="K2792"/>
      <c r="L2792"/>
    </row>
    <row r="2793" spans="10:12">
      <c r="J2793"/>
      <c r="K2793"/>
      <c r="L2793"/>
    </row>
    <row r="2794" spans="10:12">
      <c r="J2794"/>
      <c r="K2794"/>
      <c r="L2794"/>
    </row>
    <row r="2795" spans="10:12">
      <c r="J2795"/>
      <c r="K2795"/>
      <c r="L2795"/>
    </row>
    <row r="2796" spans="10:12">
      <c r="J2796"/>
      <c r="K2796"/>
      <c r="L2796"/>
    </row>
    <row r="2797" spans="10:12">
      <c r="J2797"/>
      <c r="K2797"/>
      <c r="L2797"/>
    </row>
    <row r="2798" spans="10:12">
      <c r="J2798"/>
      <c r="K2798"/>
      <c r="L2798"/>
    </row>
    <row r="2799" spans="10:12">
      <c r="J2799"/>
      <c r="K2799"/>
      <c r="L2799"/>
    </row>
    <row r="2800" spans="10:12">
      <c r="J2800"/>
      <c r="K2800"/>
      <c r="L2800"/>
    </row>
    <row r="2801" spans="10:12">
      <c r="J2801"/>
      <c r="K2801"/>
      <c r="L2801"/>
    </row>
    <row r="2802" spans="10:12">
      <c r="J2802"/>
      <c r="K2802"/>
      <c r="L2802"/>
    </row>
    <row r="2803" spans="10:12">
      <c r="J2803"/>
      <c r="K2803"/>
      <c r="L2803"/>
    </row>
    <row r="2804" spans="10:12">
      <c r="J2804"/>
      <c r="K2804"/>
      <c r="L2804"/>
    </row>
    <row r="2805" spans="10:12">
      <c r="J2805"/>
      <c r="K2805"/>
      <c r="L2805"/>
    </row>
    <row r="2806" spans="10:12">
      <c r="J2806"/>
      <c r="K2806"/>
      <c r="L2806"/>
    </row>
    <row r="2807" spans="10:12">
      <c r="J2807"/>
      <c r="K2807"/>
      <c r="L2807"/>
    </row>
    <row r="2808" spans="10:12">
      <c r="J2808"/>
      <c r="K2808"/>
      <c r="L2808"/>
    </row>
    <row r="2809" spans="10:12">
      <c r="J2809"/>
      <c r="K2809"/>
      <c r="L2809"/>
    </row>
    <row r="2810" spans="10:12">
      <c r="J2810"/>
      <c r="K2810"/>
      <c r="L2810"/>
    </row>
    <row r="2811" spans="10:12">
      <c r="J2811"/>
      <c r="K2811"/>
      <c r="L2811"/>
    </row>
    <row r="2812" spans="10:12">
      <c r="J2812"/>
      <c r="K2812"/>
      <c r="L2812"/>
    </row>
    <row r="2813" spans="10:12">
      <c r="J2813"/>
      <c r="K2813"/>
      <c r="L2813"/>
    </row>
    <row r="2814" spans="10:12">
      <c r="J2814"/>
      <c r="K2814"/>
      <c r="L2814"/>
    </row>
    <row r="2815" spans="10:12">
      <c r="J2815"/>
      <c r="K2815"/>
      <c r="L2815"/>
    </row>
    <row r="2816" spans="10:12">
      <c r="J2816"/>
      <c r="K2816"/>
      <c r="L2816"/>
    </row>
    <row r="2817" spans="10:12">
      <c r="J2817"/>
      <c r="K2817"/>
      <c r="L2817"/>
    </row>
    <row r="2818" spans="10:12">
      <c r="J2818"/>
      <c r="K2818"/>
      <c r="L2818"/>
    </row>
    <row r="2819" spans="10:12">
      <c r="J2819"/>
      <c r="K2819"/>
      <c r="L2819"/>
    </row>
    <row r="2820" spans="10:12">
      <c r="J2820"/>
      <c r="K2820"/>
      <c r="L2820"/>
    </row>
    <row r="2821" spans="10:12">
      <c r="J2821"/>
      <c r="K2821"/>
      <c r="L2821"/>
    </row>
    <row r="2822" spans="10:12">
      <c r="J2822"/>
      <c r="K2822"/>
      <c r="L2822"/>
    </row>
    <row r="2823" spans="10:12">
      <c r="J2823"/>
      <c r="K2823"/>
      <c r="L2823"/>
    </row>
    <row r="2824" spans="10:12">
      <c r="J2824"/>
      <c r="K2824"/>
      <c r="L2824"/>
    </row>
    <row r="2825" spans="10:12">
      <c r="J2825"/>
      <c r="K2825"/>
      <c r="L2825"/>
    </row>
    <row r="2826" spans="10:12">
      <c r="J2826"/>
      <c r="K2826"/>
      <c r="L2826"/>
    </row>
    <row r="2827" spans="10:12">
      <c r="J2827"/>
      <c r="K2827"/>
      <c r="L2827"/>
    </row>
    <row r="2828" spans="10:12">
      <c r="J2828"/>
      <c r="K2828"/>
      <c r="L2828"/>
    </row>
    <row r="2829" spans="10:12">
      <c r="J2829"/>
      <c r="K2829"/>
      <c r="L2829"/>
    </row>
    <row r="2830" spans="10:12">
      <c r="J2830"/>
      <c r="K2830"/>
      <c r="L2830"/>
    </row>
    <row r="2831" spans="10:12">
      <c r="J2831"/>
      <c r="K2831"/>
      <c r="L2831"/>
    </row>
    <row r="2832" spans="10:12">
      <c r="J2832"/>
      <c r="K2832"/>
      <c r="L2832"/>
    </row>
    <row r="2833" spans="10:12">
      <c r="J2833"/>
      <c r="K2833"/>
      <c r="L2833"/>
    </row>
    <row r="2834" spans="10:12">
      <c r="J2834"/>
      <c r="K2834"/>
      <c r="L2834"/>
    </row>
    <row r="2835" spans="10:12">
      <c r="J2835"/>
      <c r="K2835"/>
      <c r="L2835"/>
    </row>
    <row r="2836" spans="10:12">
      <c r="J2836"/>
      <c r="K2836"/>
      <c r="L2836"/>
    </row>
    <row r="2837" spans="10:12">
      <c r="J2837"/>
      <c r="K2837"/>
      <c r="L2837"/>
    </row>
    <row r="2838" spans="10:12">
      <c r="J2838"/>
      <c r="K2838"/>
      <c r="L2838"/>
    </row>
    <row r="2839" spans="10:12">
      <c r="J2839"/>
      <c r="K2839"/>
      <c r="L2839"/>
    </row>
    <row r="2840" spans="10:12">
      <c r="J2840"/>
      <c r="K2840"/>
      <c r="L2840"/>
    </row>
    <row r="2841" spans="10:12">
      <c r="J2841"/>
      <c r="K2841"/>
      <c r="L2841"/>
    </row>
    <row r="2842" spans="10:12">
      <c r="J2842"/>
      <c r="K2842"/>
      <c r="L2842"/>
    </row>
    <row r="2843" spans="10:12">
      <c r="J2843"/>
      <c r="K2843"/>
      <c r="L2843"/>
    </row>
    <row r="2844" spans="10:12">
      <c r="J2844"/>
      <c r="K2844"/>
      <c r="L2844"/>
    </row>
    <row r="2845" spans="10:12">
      <c r="J2845"/>
      <c r="K2845"/>
      <c r="L2845"/>
    </row>
    <row r="2846" spans="10:12">
      <c r="J2846"/>
      <c r="K2846"/>
      <c r="L2846"/>
    </row>
    <row r="2847" spans="10:12">
      <c r="J2847"/>
      <c r="K2847"/>
      <c r="L2847"/>
    </row>
    <row r="2848" spans="10:12">
      <c r="J2848"/>
      <c r="K2848"/>
      <c r="L2848"/>
    </row>
    <row r="2849" spans="10:12">
      <c r="J2849"/>
      <c r="K2849"/>
      <c r="L2849"/>
    </row>
    <row r="2850" spans="10:12">
      <c r="J2850"/>
      <c r="K2850"/>
      <c r="L2850"/>
    </row>
    <row r="2851" spans="10:12">
      <c r="J2851"/>
      <c r="K2851"/>
      <c r="L2851"/>
    </row>
    <row r="2852" spans="10:12">
      <c r="J2852"/>
      <c r="K2852"/>
      <c r="L2852"/>
    </row>
    <row r="2853" spans="10:12">
      <c r="J2853"/>
      <c r="K2853"/>
      <c r="L2853"/>
    </row>
    <row r="2854" spans="10:12">
      <c r="J2854"/>
      <c r="K2854"/>
      <c r="L2854"/>
    </row>
    <row r="2855" spans="10:12">
      <c r="J2855"/>
      <c r="K2855"/>
      <c r="L2855"/>
    </row>
    <row r="2856" spans="10:12">
      <c r="J2856"/>
      <c r="K2856"/>
      <c r="L2856"/>
    </row>
    <row r="2857" spans="10:12">
      <c r="J2857"/>
      <c r="K2857"/>
      <c r="L2857"/>
    </row>
    <row r="2858" spans="10:12">
      <c r="J2858"/>
      <c r="K2858"/>
      <c r="L2858"/>
    </row>
    <row r="2859" spans="10:12">
      <c r="J2859"/>
      <c r="K2859"/>
      <c r="L2859"/>
    </row>
    <row r="2860" spans="10:12">
      <c r="J2860"/>
      <c r="K2860"/>
      <c r="L2860"/>
    </row>
    <row r="2861" spans="10:12">
      <c r="J2861"/>
      <c r="K2861"/>
      <c r="L2861"/>
    </row>
    <row r="2862" spans="10:12">
      <c r="J2862"/>
      <c r="K2862"/>
      <c r="L2862"/>
    </row>
    <row r="2863" spans="10:12">
      <c r="J2863"/>
      <c r="K2863"/>
      <c r="L2863"/>
    </row>
    <row r="2864" spans="10:12">
      <c r="J2864"/>
      <c r="K2864"/>
      <c r="L2864"/>
    </row>
    <row r="2865" spans="10:12">
      <c r="J2865"/>
      <c r="K2865"/>
      <c r="L2865"/>
    </row>
    <row r="2866" spans="10:12">
      <c r="J2866"/>
      <c r="K2866"/>
      <c r="L2866"/>
    </row>
    <row r="2867" spans="10:12">
      <c r="J2867"/>
      <c r="K2867"/>
      <c r="L2867"/>
    </row>
    <row r="2868" spans="10:12">
      <c r="J2868"/>
      <c r="K2868"/>
      <c r="L2868"/>
    </row>
    <row r="2869" spans="10:12">
      <c r="J2869"/>
      <c r="K2869"/>
      <c r="L2869"/>
    </row>
    <row r="2870" spans="10:12">
      <c r="J2870"/>
      <c r="K2870"/>
      <c r="L2870"/>
    </row>
    <row r="2871" spans="10:12">
      <c r="J2871"/>
      <c r="K2871"/>
      <c r="L2871"/>
    </row>
    <row r="2872" spans="10:12">
      <c r="J2872"/>
      <c r="K2872"/>
      <c r="L2872"/>
    </row>
    <row r="2873" spans="10:12">
      <c r="J2873"/>
      <c r="K2873"/>
      <c r="L2873"/>
    </row>
    <row r="2874" spans="10:12">
      <c r="J2874"/>
      <c r="K2874"/>
      <c r="L2874"/>
    </row>
    <row r="2875" spans="10:12">
      <c r="J2875"/>
      <c r="K2875"/>
      <c r="L2875"/>
    </row>
    <row r="2876" spans="10:12">
      <c r="J2876"/>
      <c r="K2876"/>
      <c r="L2876"/>
    </row>
    <row r="2877" spans="10:12">
      <c r="J2877"/>
      <c r="K2877"/>
      <c r="L2877"/>
    </row>
    <row r="2878" spans="10:12">
      <c r="J2878"/>
      <c r="K2878"/>
      <c r="L2878"/>
    </row>
    <row r="2879" spans="10:12">
      <c r="J2879"/>
      <c r="K2879"/>
      <c r="L2879"/>
    </row>
    <row r="2880" spans="10:12">
      <c r="J2880"/>
      <c r="K2880"/>
      <c r="L2880"/>
    </row>
    <row r="2881" spans="10:12">
      <c r="J2881"/>
      <c r="K2881"/>
      <c r="L2881"/>
    </row>
    <row r="2882" spans="10:12">
      <c r="J2882"/>
      <c r="K2882"/>
      <c r="L2882"/>
    </row>
    <row r="2883" spans="10:12">
      <c r="J2883"/>
      <c r="K2883"/>
      <c r="L2883"/>
    </row>
    <row r="2884" spans="10:12">
      <c r="J2884"/>
      <c r="K2884"/>
      <c r="L2884"/>
    </row>
    <row r="2885" spans="10:12">
      <c r="J2885"/>
      <c r="K2885"/>
      <c r="L2885"/>
    </row>
    <row r="2886" spans="10:12">
      <c r="J2886"/>
      <c r="K2886"/>
      <c r="L2886"/>
    </row>
    <row r="2887" spans="10:12">
      <c r="J2887"/>
      <c r="K2887"/>
      <c r="L2887"/>
    </row>
    <row r="2888" spans="10:12">
      <c r="J2888"/>
      <c r="K2888"/>
      <c r="L2888"/>
    </row>
    <row r="2889" spans="10:12">
      <c r="J2889"/>
      <c r="K2889"/>
      <c r="L2889"/>
    </row>
    <row r="2890" spans="10:12">
      <c r="J2890"/>
      <c r="K2890"/>
      <c r="L2890"/>
    </row>
    <row r="2891" spans="10:12">
      <c r="J2891"/>
      <c r="K2891"/>
      <c r="L2891"/>
    </row>
    <row r="2892" spans="10:12">
      <c r="J2892"/>
      <c r="K2892"/>
      <c r="L2892"/>
    </row>
    <row r="2893" spans="10:12">
      <c r="J2893"/>
      <c r="K2893"/>
      <c r="L2893"/>
    </row>
    <row r="2894" spans="10:12">
      <c r="J2894"/>
      <c r="K2894"/>
      <c r="L2894"/>
    </row>
    <row r="2895" spans="10:12">
      <c r="J2895"/>
      <c r="K2895"/>
      <c r="L2895"/>
    </row>
    <row r="2896" spans="10:12">
      <c r="J2896"/>
      <c r="K2896"/>
      <c r="L2896"/>
    </row>
    <row r="2897" spans="10:12">
      <c r="J2897"/>
      <c r="K2897"/>
      <c r="L2897"/>
    </row>
    <row r="2898" spans="10:12">
      <c r="J2898"/>
      <c r="K2898"/>
      <c r="L2898"/>
    </row>
  </sheetData>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90B78-67CB-45E1-81BB-12D07CA6948C}">
  <dimension ref="A1:N90"/>
  <sheetViews>
    <sheetView zoomScale="55" zoomScaleNormal="55" workbookViewId="0">
      <selection activeCell="S49" sqref="S49"/>
    </sheetView>
  </sheetViews>
  <sheetFormatPr defaultRowHeight="13.8"/>
  <cols>
    <col min="1" max="1" width="30.19921875" bestFit="1" customWidth="1"/>
    <col min="2" max="2" width="20" bestFit="1" customWidth="1"/>
    <col min="3" max="4" width="21" bestFit="1" customWidth="1"/>
    <col min="5" max="5" width="15.09765625" bestFit="1" customWidth="1"/>
    <col min="6" max="6" width="20" bestFit="1" customWidth="1"/>
    <col min="7" max="7" width="21" bestFit="1" customWidth="1"/>
    <col min="8" max="8" width="17.19921875" bestFit="1" customWidth="1"/>
    <col min="9" max="10" width="22" bestFit="1" customWidth="1"/>
    <col min="11" max="11" width="31.5" bestFit="1" customWidth="1"/>
    <col min="12" max="12" width="15.09765625" bestFit="1" customWidth="1"/>
    <col min="13" max="13" width="15.69921875" bestFit="1" customWidth="1"/>
    <col min="14" max="14" width="20" bestFit="1" customWidth="1"/>
  </cols>
  <sheetData>
    <row r="1" spans="1:14">
      <c r="A1" s="19" t="s">
        <v>21</v>
      </c>
      <c r="B1" s="20" t="s">
        <v>284</v>
      </c>
      <c r="H1" s="19" t="s">
        <v>267</v>
      </c>
      <c r="I1" s="20" t="s">
        <v>290</v>
      </c>
      <c r="L1" s="19" t="s">
        <v>175</v>
      </c>
      <c r="M1" s="20" t="s">
        <v>291</v>
      </c>
      <c r="N1" s="23" t="s">
        <v>284</v>
      </c>
    </row>
    <row r="2" spans="1:14">
      <c r="A2" s="20" t="s">
        <v>97</v>
      </c>
      <c r="B2" s="23">
        <v>141396.73490344844</v>
      </c>
      <c r="H2" s="20" t="s">
        <v>3</v>
      </c>
      <c r="I2" s="21">
        <v>0.21162083503491957</v>
      </c>
      <c r="L2" s="20" t="s">
        <v>262</v>
      </c>
      <c r="M2" s="20">
        <v>12</v>
      </c>
      <c r="N2" s="23">
        <v>4272.9999992296098</v>
      </c>
    </row>
    <row r="3" spans="1:14">
      <c r="A3" s="20" t="s">
        <v>81</v>
      </c>
      <c r="B3" s="23">
        <v>80368.671974514058</v>
      </c>
      <c r="H3" s="20" t="s">
        <v>5</v>
      </c>
      <c r="I3" s="21">
        <v>8.3779165843765172E-2</v>
      </c>
      <c r="L3" s="20" t="s">
        <v>216</v>
      </c>
      <c r="M3" s="20">
        <v>10</v>
      </c>
      <c r="N3" s="23">
        <v>1402.95</v>
      </c>
    </row>
    <row r="4" spans="1:14">
      <c r="A4" s="20" t="s">
        <v>138</v>
      </c>
      <c r="B4" s="23">
        <v>71155.699909429997</v>
      </c>
      <c r="H4" s="20" t="s">
        <v>7</v>
      </c>
      <c r="I4" s="21">
        <v>0.13221531465308758</v>
      </c>
      <c r="L4" s="20" t="s">
        <v>236</v>
      </c>
      <c r="M4" s="20">
        <v>17</v>
      </c>
      <c r="N4" s="23">
        <v>7023.9774858303363</v>
      </c>
    </row>
    <row r="5" spans="1:14">
      <c r="A5" s="20" t="s">
        <v>144</v>
      </c>
      <c r="B5" s="23">
        <v>47234.969954013832</v>
      </c>
      <c r="H5" s="20" t="s">
        <v>9</v>
      </c>
      <c r="I5" s="21">
        <v>0.18526510863030743</v>
      </c>
      <c r="L5" s="20" t="s">
        <v>232</v>
      </c>
      <c r="M5" s="20">
        <v>30</v>
      </c>
      <c r="N5" s="23">
        <v>13390.64999223873</v>
      </c>
    </row>
    <row r="6" spans="1:14">
      <c r="A6" s="20" t="s">
        <v>140</v>
      </c>
      <c r="B6" s="23">
        <v>46825.47995301932</v>
      </c>
      <c r="H6" s="20" t="s">
        <v>11</v>
      </c>
      <c r="I6" s="21">
        <v>7.5640001589396738E-2</v>
      </c>
      <c r="L6" s="20" t="s">
        <v>202</v>
      </c>
      <c r="M6" s="20">
        <v>52</v>
      </c>
      <c r="N6" s="23">
        <v>24927.577488892151</v>
      </c>
    </row>
    <row r="7" spans="1:14">
      <c r="A7" s="20" t="s">
        <v>133</v>
      </c>
      <c r="B7" s="23">
        <v>42593.05996068567</v>
      </c>
      <c r="H7" s="20" t="s">
        <v>13</v>
      </c>
      <c r="I7" s="21">
        <v>0.12879069046914934</v>
      </c>
      <c r="L7" s="20" t="s">
        <v>253</v>
      </c>
      <c r="M7" s="20">
        <v>14</v>
      </c>
      <c r="N7" s="23">
        <v>3239.8</v>
      </c>
    </row>
    <row r="8" spans="1:14">
      <c r="A8" s="20" t="s">
        <v>123</v>
      </c>
      <c r="B8" s="23">
        <v>41819.649953996392</v>
      </c>
      <c r="H8" s="20" t="s">
        <v>15</v>
      </c>
      <c r="I8" s="21">
        <v>7.8989674371239868E-2</v>
      </c>
      <c r="L8" s="20" t="s">
        <v>192</v>
      </c>
      <c r="M8" s="20">
        <v>26</v>
      </c>
      <c r="N8" s="23">
        <v>18534.079984816912</v>
      </c>
    </row>
    <row r="9" spans="1:14">
      <c r="A9" s="20" t="s">
        <v>57</v>
      </c>
      <c r="B9" s="23">
        <v>32698.379980891943</v>
      </c>
      <c r="H9" s="20" t="s">
        <v>17</v>
      </c>
      <c r="I9" s="21">
        <v>0.1036992094081343</v>
      </c>
      <c r="L9" s="20" t="s">
        <v>223</v>
      </c>
      <c r="M9" s="20">
        <v>6</v>
      </c>
      <c r="N9" s="23">
        <v>4232.8499991655353</v>
      </c>
    </row>
    <row r="10" spans="1:14">
      <c r="A10" s="20" t="s">
        <v>59</v>
      </c>
      <c r="B10" s="23">
        <v>29171.874963399023</v>
      </c>
      <c r="H10" s="20" t="s">
        <v>268</v>
      </c>
      <c r="I10" s="21">
        <v>1</v>
      </c>
      <c r="L10" s="20" t="s">
        <v>225</v>
      </c>
      <c r="M10" s="20">
        <v>44</v>
      </c>
      <c r="N10" s="23">
        <v>21963.252474311179</v>
      </c>
    </row>
    <row r="11" spans="1:14">
      <c r="A11" s="20" t="s">
        <v>79</v>
      </c>
      <c r="B11" s="23">
        <v>25696.639981058237</v>
      </c>
      <c r="L11" s="20" t="s">
        <v>243</v>
      </c>
      <c r="M11" s="20">
        <v>35</v>
      </c>
      <c r="N11" s="23">
        <v>20801.599995730816</v>
      </c>
    </row>
    <row r="12" spans="1:14">
      <c r="A12" s="20" t="s">
        <v>162</v>
      </c>
      <c r="B12" s="23">
        <v>24900.129985374209</v>
      </c>
      <c r="L12" s="20" t="s">
        <v>208</v>
      </c>
      <c r="M12" s="20">
        <v>22</v>
      </c>
      <c r="N12" s="23">
        <v>6089.9</v>
      </c>
    </row>
    <row r="13" spans="1:14">
      <c r="A13" s="20" t="s">
        <v>107</v>
      </c>
      <c r="B13" s="23">
        <v>23526.699973952767</v>
      </c>
      <c r="L13" s="20" t="s">
        <v>255</v>
      </c>
      <c r="M13" s="20">
        <v>11</v>
      </c>
      <c r="N13" s="23">
        <v>1814.8</v>
      </c>
    </row>
    <row r="14" spans="1:14">
      <c r="A14" s="20" t="s">
        <v>63</v>
      </c>
      <c r="B14" s="23">
        <v>22563.359987036885</v>
      </c>
      <c r="L14" s="20" t="s">
        <v>187</v>
      </c>
      <c r="M14" s="20">
        <v>2</v>
      </c>
      <c r="N14" s="23">
        <v>100.8</v>
      </c>
    </row>
    <row r="15" spans="1:14">
      <c r="A15" s="20" t="s">
        <v>37</v>
      </c>
      <c r="B15" s="23">
        <v>22044.299987822771</v>
      </c>
      <c r="L15" s="20" t="s">
        <v>182</v>
      </c>
      <c r="M15" s="20">
        <v>22</v>
      </c>
      <c r="N15" s="23">
        <v>12348.879984985291</v>
      </c>
    </row>
    <row r="16" spans="1:14">
      <c r="A16" s="20" t="s">
        <v>148</v>
      </c>
      <c r="B16" s="23">
        <v>21957.967488128692</v>
      </c>
      <c r="L16" s="20" t="s">
        <v>209</v>
      </c>
      <c r="M16" s="20">
        <v>10</v>
      </c>
      <c r="N16" s="23">
        <v>3810.75</v>
      </c>
    </row>
    <row r="17" spans="1:14">
      <c r="A17" s="20" t="s">
        <v>157</v>
      </c>
      <c r="B17" s="23">
        <v>21942.359974148869</v>
      </c>
      <c r="L17" s="20" t="s">
        <v>249</v>
      </c>
      <c r="M17" s="20">
        <v>7</v>
      </c>
      <c r="N17" s="23">
        <v>1719.1</v>
      </c>
    </row>
    <row r="18" spans="1:14">
      <c r="A18" s="20" t="s">
        <v>43</v>
      </c>
      <c r="B18" s="23">
        <v>20867.339966019987</v>
      </c>
      <c r="L18" s="20" t="s">
        <v>234</v>
      </c>
      <c r="M18" s="20">
        <v>10</v>
      </c>
      <c r="N18" s="23">
        <v>3763.21</v>
      </c>
    </row>
    <row r="19" spans="1:14">
      <c r="A19" s="20" t="s">
        <v>127</v>
      </c>
      <c r="B19" s="23">
        <v>20574.169984588028</v>
      </c>
      <c r="L19" s="20" t="s">
        <v>218</v>
      </c>
      <c r="M19" s="20">
        <v>9</v>
      </c>
      <c r="N19" s="23">
        <v>1615.8999999999999</v>
      </c>
    </row>
    <row r="20" spans="1:14">
      <c r="A20" s="20" t="s">
        <v>75</v>
      </c>
      <c r="B20" s="23">
        <v>19849.144466497492</v>
      </c>
      <c r="L20" s="20" t="s">
        <v>235</v>
      </c>
      <c r="M20" s="20">
        <v>21</v>
      </c>
      <c r="N20" s="23">
        <v>14761.035</v>
      </c>
    </row>
    <row r="21" spans="1:14">
      <c r="A21" s="20" t="s">
        <v>161</v>
      </c>
      <c r="B21" s="23">
        <v>19551.024983853102</v>
      </c>
      <c r="L21" s="20" t="s">
        <v>186</v>
      </c>
      <c r="M21" s="20">
        <v>102</v>
      </c>
      <c r="N21" s="23">
        <v>104874.97835350106</v>
      </c>
    </row>
    <row r="22" spans="1:14">
      <c r="A22" s="20" t="s">
        <v>101</v>
      </c>
      <c r="B22" s="23">
        <v>17910.629981672762</v>
      </c>
      <c r="L22" s="20" t="s">
        <v>229</v>
      </c>
      <c r="M22" s="20">
        <v>19</v>
      </c>
      <c r="N22" s="23">
        <v>4107.5499899394817</v>
      </c>
    </row>
    <row r="23" spans="1:14">
      <c r="A23" s="20" t="s">
        <v>131</v>
      </c>
      <c r="B23" s="23">
        <v>17426.399969297647</v>
      </c>
      <c r="L23" s="20" t="s">
        <v>245</v>
      </c>
      <c r="M23" s="20">
        <v>16</v>
      </c>
      <c r="N23" s="23">
        <v>11666.9</v>
      </c>
    </row>
    <row r="24" spans="1:14">
      <c r="A24" s="20" t="s">
        <v>55</v>
      </c>
      <c r="B24" s="23">
        <v>17215.775470547378</v>
      </c>
      <c r="L24" s="20" t="s">
        <v>191</v>
      </c>
      <c r="M24" s="20">
        <v>45</v>
      </c>
      <c r="N24" s="23">
        <v>29567.562475292383</v>
      </c>
    </row>
    <row r="25" spans="1:14">
      <c r="A25" s="20" t="s">
        <v>146</v>
      </c>
      <c r="B25" s="23">
        <v>16701.094979286194</v>
      </c>
      <c r="L25" s="20" t="s">
        <v>194</v>
      </c>
      <c r="M25" s="20">
        <v>48</v>
      </c>
      <c r="N25" s="23">
        <v>26656.559465046153</v>
      </c>
    </row>
    <row r="26" spans="1:14">
      <c r="A26" s="20" t="s">
        <v>27</v>
      </c>
      <c r="B26" s="23">
        <v>16355.959973822533</v>
      </c>
      <c r="L26" s="20" t="s">
        <v>263</v>
      </c>
      <c r="M26" s="20">
        <v>6</v>
      </c>
      <c r="N26" s="23">
        <v>3172.16</v>
      </c>
    </row>
    <row r="27" spans="1:14">
      <c r="A27" s="20" t="s">
        <v>168</v>
      </c>
      <c r="B27" s="23">
        <v>15760.439977222681</v>
      </c>
      <c r="L27" s="20" t="s">
        <v>247</v>
      </c>
      <c r="M27" s="20">
        <v>10</v>
      </c>
      <c r="N27" s="23">
        <v>1545.7</v>
      </c>
    </row>
    <row r="28" spans="1:14">
      <c r="A28" s="20" t="s">
        <v>77</v>
      </c>
      <c r="B28" s="23">
        <v>15099.875</v>
      </c>
      <c r="L28" s="20" t="s">
        <v>224</v>
      </c>
      <c r="M28" s="20">
        <v>20</v>
      </c>
      <c r="N28" s="23">
        <v>6427.4224777914587</v>
      </c>
    </row>
    <row r="29" spans="1:14">
      <c r="A29" s="20" t="s">
        <v>85</v>
      </c>
      <c r="B29" s="23">
        <v>14920.874979393557</v>
      </c>
      <c r="L29" s="20" t="s">
        <v>237</v>
      </c>
      <c r="M29" s="20">
        <v>8</v>
      </c>
      <c r="N29" s="23">
        <v>836.7</v>
      </c>
    </row>
    <row r="30" spans="1:14">
      <c r="A30" s="20" t="s">
        <v>142</v>
      </c>
      <c r="B30" s="23">
        <v>14352.599963817</v>
      </c>
      <c r="L30" s="20" t="s">
        <v>213</v>
      </c>
      <c r="M30" s="20">
        <v>26</v>
      </c>
      <c r="N30" s="23">
        <v>11446.359995555878</v>
      </c>
    </row>
    <row r="31" spans="1:14">
      <c r="A31" s="20" t="s">
        <v>150</v>
      </c>
      <c r="B31" s="23">
        <v>13869.889985724909</v>
      </c>
      <c r="L31" s="20" t="s">
        <v>248</v>
      </c>
      <c r="M31" s="20">
        <v>19</v>
      </c>
      <c r="N31" s="23">
        <v>8414.1349921560286</v>
      </c>
    </row>
    <row r="32" spans="1:14">
      <c r="A32" s="20" t="s">
        <v>92</v>
      </c>
      <c r="B32" s="23">
        <v>13643.999983209371</v>
      </c>
      <c r="L32" s="20" t="s">
        <v>256</v>
      </c>
      <c r="M32" s="20">
        <v>22</v>
      </c>
      <c r="N32" s="23">
        <v>18507.449976839351</v>
      </c>
    </row>
    <row r="33" spans="1:14">
      <c r="A33" s="20" t="s">
        <v>93</v>
      </c>
      <c r="B33" s="23">
        <v>13458.459991064668</v>
      </c>
      <c r="L33" s="20" t="s">
        <v>195</v>
      </c>
      <c r="M33" s="20">
        <v>4</v>
      </c>
      <c r="N33" s="23">
        <v>1488.7</v>
      </c>
    </row>
    <row r="34" spans="1:14">
      <c r="A34" s="20" t="s">
        <v>83</v>
      </c>
      <c r="B34" s="23">
        <v>13424.197493786553</v>
      </c>
      <c r="L34" s="20" t="s">
        <v>179</v>
      </c>
      <c r="M34" s="20">
        <v>32</v>
      </c>
      <c r="N34" s="23">
        <v>32841.369978135823</v>
      </c>
    </row>
    <row r="35" spans="1:14">
      <c r="A35" s="20" t="s">
        <v>45</v>
      </c>
      <c r="B35" s="23">
        <v>12901.769987989963</v>
      </c>
      <c r="L35" s="20" t="s">
        <v>185</v>
      </c>
      <c r="M35" s="20">
        <v>45</v>
      </c>
      <c r="N35" s="23">
        <v>22768.763985675276</v>
      </c>
    </row>
    <row r="36" spans="1:14">
      <c r="A36" s="20" t="s">
        <v>25</v>
      </c>
      <c r="B36" s="23">
        <v>12788.099980956316</v>
      </c>
      <c r="L36" s="20" t="s">
        <v>241</v>
      </c>
      <c r="M36" s="20">
        <v>9</v>
      </c>
      <c r="N36" s="23">
        <v>3063.2</v>
      </c>
    </row>
    <row r="37" spans="1:14">
      <c r="A37" s="20" t="s">
        <v>39</v>
      </c>
      <c r="B37" s="23">
        <v>12771.999989151955</v>
      </c>
      <c r="L37" s="20" t="s">
        <v>211</v>
      </c>
      <c r="M37" s="20">
        <v>55</v>
      </c>
      <c r="N37" s="23">
        <v>49979.904946340779</v>
      </c>
    </row>
    <row r="38" spans="1:14">
      <c r="A38" s="20" t="s">
        <v>99</v>
      </c>
      <c r="B38" s="23">
        <v>12294.539985296131</v>
      </c>
      <c r="L38" s="20" t="s">
        <v>219</v>
      </c>
      <c r="M38" s="20">
        <v>23</v>
      </c>
      <c r="N38" s="23">
        <v>6146.3</v>
      </c>
    </row>
    <row r="39" spans="1:14">
      <c r="A39" s="20" t="s">
        <v>47</v>
      </c>
      <c r="B39" s="23">
        <v>12257.659983703494</v>
      </c>
      <c r="L39" s="20" t="s">
        <v>221</v>
      </c>
      <c r="M39" s="20">
        <v>39</v>
      </c>
      <c r="N39" s="23">
        <v>30908.383968844264</v>
      </c>
    </row>
    <row r="40" spans="1:14">
      <c r="A40" s="20" t="s">
        <v>159</v>
      </c>
      <c r="B40" s="23">
        <v>10672.649988468736</v>
      </c>
      <c r="L40" s="20" t="s">
        <v>265</v>
      </c>
      <c r="M40" s="20">
        <v>11</v>
      </c>
      <c r="N40" s="23">
        <v>1992.0500000000002</v>
      </c>
    </row>
    <row r="41" spans="1:14">
      <c r="A41" s="20" t="s">
        <v>109</v>
      </c>
      <c r="B41" s="23">
        <v>9915.9449908241641</v>
      </c>
      <c r="L41" s="20" t="s">
        <v>230</v>
      </c>
      <c r="M41" s="20">
        <v>31</v>
      </c>
      <c r="N41" s="23">
        <v>9328.1999892055974</v>
      </c>
    </row>
    <row r="42" spans="1:14">
      <c r="A42" s="20" t="s">
        <v>119</v>
      </c>
      <c r="B42" s="23">
        <v>9244.5999931544065</v>
      </c>
      <c r="L42" s="20" t="s">
        <v>252</v>
      </c>
      <c r="M42" s="20">
        <v>8</v>
      </c>
      <c r="N42" s="23">
        <v>522.5</v>
      </c>
    </row>
    <row r="43" spans="1:14">
      <c r="A43" s="20" t="s">
        <v>170</v>
      </c>
      <c r="B43" s="23">
        <v>9171.6299937255681</v>
      </c>
      <c r="L43" s="20" t="s">
        <v>251</v>
      </c>
      <c r="M43" s="20">
        <v>2</v>
      </c>
      <c r="N43" s="23">
        <v>357</v>
      </c>
    </row>
    <row r="44" spans="1:14">
      <c r="A44" s="20" t="s">
        <v>65</v>
      </c>
      <c r="B44" s="23">
        <v>9103.9999909102917</v>
      </c>
      <c r="L44" s="20" t="s">
        <v>203</v>
      </c>
      <c r="M44" s="20">
        <v>39</v>
      </c>
      <c r="N44" s="23">
        <v>19261.409976339044</v>
      </c>
    </row>
    <row r="45" spans="1:14">
      <c r="A45" s="20" t="s">
        <v>155</v>
      </c>
      <c r="B45" s="23">
        <v>8713.9999961853027</v>
      </c>
      <c r="L45" s="20" t="s">
        <v>259</v>
      </c>
      <c r="M45" s="20">
        <v>10</v>
      </c>
      <c r="N45" s="23">
        <v>3076.4724980311098</v>
      </c>
    </row>
    <row r="46" spans="1:14">
      <c r="A46" s="20" t="s">
        <v>103</v>
      </c>
      <c r="B46" s="23">
        <v>8680.3449947750214</v>
      </c>
      <c r="L46" s="20" t="s">
        <v>205</v>
      </c>
      <c r="M46" s="20">
        <v>34</v>
      </c>
      <c r="N46" s="23">
        <v>16076.59996958792</v>
      </c>
    </row>
    <row r="47" spans="1:14">
      <c r="A47" s="20" t="s">
        <v>105</v>
      </c>
      <c r="B47" s="23">
        <v>8574.9999880880114</v>
      </c>
      <c r="L47" s="20" t="s">
        <v>244</v>
      </c>
      <c r="M47" s="20">
        <v>35</v>
      </c>
      <c r="N47" s="23">
        <v>16476.564986549318</v>
      </c>
    </row>
    <row r="48" spans="1:14">
      <c r="A48" s="20" t="s">
        <v>31</v>
      </c>
      <c r="B48" s="23">
        <v>8567.8999876409762</v>
      </c>
      <c r="L48" s="20" t="s">
        <v>215</v>
      </c>
      <c r="M48" s="20">
        <v>14</v>
      </c>
      <c r="N48" s="23">
        <v>4258.6000000000004</v>
      </c>
    </row>
    <row r="49" spans="1:14">
      <c r="A49" s="20" t="s">
        <v>87</v>
      </c>
      <c r="B49" s="23">
        <v>8404.1599857091896</v>
      </c>
      <c r="L49" s="20" t="s">
        <v>199</v>
      </c>
      <c r="M49" s="20">
        <v>21</v>
      </c>
      <c r="N49" s="23">
        <v>7176.2149868104607</v>
      </c>
    </row>
    <row r="50" spans="1:14">
      <c r="A50" s="20" t="s">
        <v>166</v>
      </c>
      <c r="B50" s="23">
        <v>8177.4899923272433</v>
      </c>
      <c r="L50" s="20" t="s">
        <v>257</v>
      </c>
      <c r="M50" s="20">
        <v>17</v>
      </c>
      <c r="N50" s="23">
        <v>9736.0749905127286</v>
      </c>
    </row>
    <row r="51" spans="1:14">
      <c r="A51" s="20" t="s">
        <v>51</v>
      </c>
      <c r="B51" s="23">
        <v>7991.4899937621321</v>
      </c>
      <c r="L51" s="20" t="s">
        <v>226</v>
      </c>
      <c r="M51" s="20">
        <v>32</v>
      </c>
      <c r="N51" s="23">
        <v>28872.189950353655</v>
      </c>
    </row>
    <row r="52" spans="1:14">
      <c r="A52" s="20" t="s">
        <v>135</v>
      </c>
      <c r="B52" s="23">
        <v>7661.5499988377096</v>
      </c>
      <c r="L52" s="20" t="s">
        <v>201</v>
      </c>
      <c r="M52" s="20">
        <v>11</v>
      </c>
      <c r="N52" s="23">
        <v>5042.2</v>
      </c>
    </row>
    <row r="53" spans="1:14">
      <c r="A53" s="20" t="s">
        <v>41</v>
      </c>
      <c r="B53" s="23">
        <v>7226.4999884366989</v>
      </c>
      <c r="L53" s="20" t="s">
        <v>254</v>
      </c>
      <c r="M53" s="20">
        <v>6</v>
      </c>
      <c r="N53" s="23">
        <v>649</v>
      </c>
    </row>
    <row r="54" spans="1:14">
      <c r="A54" s="20" t="s">
        <v>35</v>
      </c>
      <c r="B54" s="23">
        <v>7136.9999987818301</v>
      </c>
      <c r="L54" s="20" t="s">
        <v>246</v>
      </c>
      <c r="M54" s="20">
        <v>11</v>
      </c>
      <c r="N54" s="23">
        <v>3460.2</v>
      </c>
    </row>
    <row r="55" spans="1:14">
      <c r="A55" s="20" t="s">
        <v>67</v>
      </c>
      <c r="B55" s="23">
        <v>7122.3599999248981</v>
      </c>
      <c r="L55" s="20" t="s">
        <v>214</v>
      </c>
      <c r="M55" s="20">
        <v>24</v>
      </c>
      <c r="N55" s="23">
        <v>15177.462481805682</v>
      </c>
    </row>
    <row r="56" spans="1:14">
      <c r="A56" s="20" t="s">
        <v>91</v>
      </c>
      <c r="B56" s="23">
        <v>6350.3999925106764</v>
      </c>
      <c r="L56" s="20" t="s">
        <v>188</v>
      </c>
      <c r="M56" s="20">
        <v>29</v>
      </c>
      <c r="N56" s="23">
        <v>12496.199990973622</v>
      </c>
    </row>
    <row r="57" spans="1:14">
      <c r="A57" s="20" t="s">
        <v>113</v>
      </c>
      <c r="B57" s="23">
        <v>5882.9999949127432</v>
      </c>
      <c r="L57" s="20" t="s">
        <v>220</v>
      </c>
      <c r="M57" s="20">
        <v>14</v>
      </c>
      <c r="N57" s="23">
        <v>4242.2</v>
      </c>
    </row>
    <row r="58" spans="1:14">
      <c r="A58" s="20" t="s">
        <v>136</v>
      </c>
      <c r="B58" s="23">
        <v>5881.6749898120761</v>
      </c>
      <c r="L58" s="20" t="s">
        <v>231</v>
      </c>
      <c r="M58" s="20">
        <v>23</v>
      </c>
      <c r="N58" s="23">
        <v>23128.859954281896</v>
      </c>
    </row>
    <row r="59" spans="1:14">
      <c r="A59" s="20" t="s">
        <v>61</v>
      </c>
      <c r="B59" s="23">
        <v>5862.6199964612715</v>
      </c>
      <c r="L59" s="20" t="s">
        <v>227</v>
      </c>
      <c r="M59" s="20">
        <v>10</v>
      </c>
      <c r="N59" s="23">
        <v>5044.9399945020668</v>
      </c>
    </row>
    <row r="60" spans="1:14">
      <c r="A60" s="20" t="s">
        <v>33</v>
      </c>
      <c r="B60" s="23">
        <v>5347.1999956216659</v>
      </c>
      <c r="L60" s="20" t="s">
        <v>189</v>
      </c>
      <c r="M60" s="20">
        <v>24</v>
      </c>
      <c r="N60" s="23">
        <v>6664.8099934379761</v>
      </c>
    </row>
    <row r="61" spans="1:14">
      <c r="A61" s="20" t="s">
        <v>49</v>
      </c>
      <c r="B61" s="23">
        <v>4960.4399913579227</v>
      </c>
      <c r="L61" s="20" t="s">
        <v>239</v>
      </c>
      <c r="M61" s="20">
        <v>40</v>
      </c>
      <c r="N61" s="23">
        <v>25717.497473042273</v>
      </c>
    </row>
    <row r="62" spans="1:14">
      <c r="A62" s="20" t="s">
        <v>129</v>
      </c>
      <c r="B62" s="23">
        <v>4728.2374943185605</v>
      </c>
      <c r="L62" s="20" t="s">
        <v>198</v>
      </c>
      <c r="M62" s="20">
        <v>86</v>
      </c>
      <c r="N62" s="23">
        <v>110277.30488350891</v>
      </c>
    </row>
    <row r="63" spans="1:14">
      <c r="A63" s="20" t="s">
        <v>69</v>
      </c>
      <c r="B63" s="23">
        <v>4601.6999943673609</v>
      </c>
      <c r="L63" s="20" t="s">
        <v>250</v>
      </c>
      <c r="M63" s="20">
        <v>12</v>
      </c>
      <c r="N63" s="23">
        <v>2844.1</v>
      </c>
    </row>
    <row r="64" spans="1:14">
      <c r="A64" s="20" t="s">
        <v>71</v>
      </c>
      <c r="B64" s="23">
        <v>4504.36499684304</v>
      </c>
      <c r="L64" s="20" t="s">
        <v>190</v>
      </c>
      <c r="M64" s="20">
        <v>71</v>
      </c>
      <c r="N64" s="23">
        <v>51097.800487737819</v>
      </c>
    </row>
    <row r="65" spans="1:14">
      <c r="A65" s="20" t="s">
        <v>111</v>
      </c>
      <c r="B65" s="23">
        <v>4338.1749890502542</v>
      </c>
      <c r="L65" s="20" t="s">
        <v>207</v>
      </c>
      <c r="M65" s="20">
        <v>22</v>
      </c>
      <c r="N65" s="23">
        <v>7048.2399923354387</v>
      </c>
    </row>
    <row r="66" spans="1:14">
      <c r="A66" s="20" t="s">
        <v>163</v>
      </c>
      <c r="B66" s="23">
        <v>3997.1999941952527</v>
      </c>
      <c r="L66" s="20" t="s">
        <v>206</v>
      </c>
      <c r="M66" s="20">
        <v>27</v>
      </c>
      <c r="N66" s="23">
        <v>12450.799992033839</v>
      </c>
    </row>
    <row r="67" spans="1:14">
      <c r="A67" s="20" t="s">
        <v>115</v>
      </c>
      <c r="B67" s="23">
        <v>3958.0799989156426</v>
      </c>
      <c r="L67" s="20" t="s">
        <v>183</v>
      </c>
      <c r="M67" s="20">
        <v>30</v>
      </c>
      <c r="N67" s="23">
        <v>19343.778986605037</v>
      </c>
    </row>
    <row r="68" spans="1:14">
      <c r="A68" s="20" t="s">
        <v>73</v>
      </c>
      <c r="B68" s="23">
        <v>3704.3999965265393</v>
      </c>
      <c r="L68" s="20" t="s">
        <v>204</v>
      </c>
      <c r="M68" s="20">
        <v>14</v>
      </c>
      <c r="N68" s="23">
        <v>1467.29</v>
      </c>
    </row>
    <row r="69" spans="1:14">
      <c r="A69" s="20" t="s">
        <v>121</v>
      </c>
      <c r="B69" s="23">
        <v>3437.6874989224598</v>
      </c>
      <c r="L69" s="20" t="s">
        <v>242</v>
      </c>
      <c r="M69" s="20">
        <v>16</v>
      </c>
      <c r="N69" s="23">
        <v>5735.1500000000005</v>
      </c>
    </row>
    <row r="70" spans="1:14">
      <c r="A70" s="20" t="s">
        <v>152</v>
      </c>
      <c r="B70" s="23">
        <v>3382.9999949336052</v>
      </c>
      <c r="L70" s="20" t="s">
        <v>222</v>
      </c>
      <c r="M70" s="20">
        <v>116</v>
      </c>
      <c r="N70" s="23">
        <v>104361.94986812414</v>
      </c>
    </row>
    <row r="71" spans="1:14">
      <c r="A71" s="20" t="s">
        <v>125</v>
      </c>
      <c r="B71" s="23">
        <v>3232.9499978564681</v>
      </c>
      <c r="L71" s="20" t="s">
        <v>233</v>
      </c>
      <c r="M71" s="20">
        <v>26</v>
      </c>
      <c r="N71" s="23">
        <v>16215.324978799745</v>
      </c>
    </row>
    <row r="72" spans="1:14">
      <c r="A72" s="20" t="s">
        <v>29</v>
      </c>
      <c r="B72" s="23">
        <v>3043.9999994635582</v>
      </c>
      <c r="L72" s="20" t="s">
        <v>228</v>
      </c>
      <c r="M72" s="20">
        <v>15</v>
      </c>
      <c r="N72" s="23">
        <v>16817.097494864836</v>
      </c>
    </row>
    <row r="73" spans="1:14">
      <c r="A73" s="20" t="s">
        <v>95</v>
      </c>
      <c r="B73" s="23">
        <v>2688.3999946534632</v>
      </c>
      <c r="L73" s="20" t="s">
        <v>264</v>
      </c>
      <c r="M73" s="20">
        <v>6</v>
      </c>
      <c r="N73" s="23">
        <v>2423.35</v>
      </c>
    </row>
    <row r="74" spans="1:14">
      <c r="A74" s="20" t="s">
        <v>165</v>
      </c>
      <c r="B74" s="23">
        <v>2432.4999990463257</v>
      </c>
      <c r="L74" s="20" t="s">
        <v>197</v>
      </c>
      <c r="M74" s="20">
        <v>20</v>
      </c>
      <c r="N74" s="23">
        <v>11441.62998642102</v>
      </c>
    </row>
    <row r="75" spans="1:14">
      <c r="A75" s="20" t="s">
        <v>154</v>
      </c>
      <c r="B75" s="23">
        <v>2396.7999956607819</v>
      </c>
      <c r="L75" s="20" t="s">
        <v>181</v>
      </c>
      <c r="M75" s="20">
        <v>39</v>
      </c>
      <c r="N75" s="23">
        <v>24088.779984229801</v>
      </c>
    </row>
    <row r="76" spans="1:14">
      <c r="A76" s="20" t="s">
        <v>53</v>
      </c>
      <c r="B76" s="23">
        <v>1784.8249995727092</v>
      </c>
      <c r="L76" s="20" t="s">
        <v>217</v>
      </c>
      <c r="M76" s="20">
        <v>7</v>
      </c>
      <c r="N76" s="23">
        <v>3361</v>
      </c>
    </row>
    <row r="77" spans="1:14">
      <c r="A77" s="20" t="s">
        <v>89</v>
      </c>
      <c r="B77" s="23">
        <v>1648.1249991375953</v>
      </c>
      <c r="L77" s="20" t="s">
        <v>261</v>
      </c>
      <c r="M77" s="20">
        <v>8</v>
      </c>
      <c r="N77" s="23">
        <v>1947.24</v>
      </c>
    </row>
    <row r="78" spans="1:14">
      <c r="A78" s="20" t="s">
        <v>117</v>
      </c>
      <c r="B78" s="23">
        <v>1368.7124936543405</v>
      </c>
      <c r="L78" s="20" t="s">
        <v>178</v>
      </c>
      <c r="M78" s="20">
        <v>14</v>
      </c>
      <c r="N78" s="23">
        <v>4778.1399979010221</v>
      </c>
    </row>
    <row r="79" spans="1:14">
      <c r="A79" s="20" t="s">
        <v>268</v>
      </c>
      <c r="B79" s="23">
        <v>1265793.0382871695</v>
      </c>
      <c r="L79" s="20" t="s">
        <v>200</v>
      </c>
      <c r="M79" s="20">
        <v>29</v>
      </c>
      <c r="N79" s="23">
        <v>10812.15</v>
      </c>
    </row>
    <row r="80" spans="1:14">
      <c r="L80" s="20" t="s">
        <v>210</v>
      </c>
      <c r="M80" s="20">
        <v>13</v>
      </c>
      <c r="N80" s="23">
        <v>6850.6639931461214</v>
      </c>
    </row>
    <row r="81" spans="12:14">
      <c r="L81" s="20" t="s">
        <v>258</v>
      </c>
      <c r="M81" s="20">
        <v>9</v>
      </c>
      <c r="N81" s="23">
        <v>1571.1999999999998</v>
      </c>
    </row>
    <row r="82" spans="12:14">
      <c r="L82" s="20" t="s">
        <v>238</v>
      </c>
      <c r="M82" s="20">
        <v>31</v>
      </c>
      <c r="N82" s="23">
        <v>15843.924988323077</v>
      </c>
    </row>
    <row r="83" spans="12:14">
      <c r="L83" s="20" t="s">
        <v>180</v>
      </c>
      <c r="M83" s="20">
        <v>25</v>
      </c>
      <c r="N83" s="23">
        <v>9182.429981769621</v>
      </c>
    </row>
    <row r="84" spans="12:14">
      <c r="L84" s="20" t="s">
        <v>177</v>
      </c>
      <c r="M84" s="20">
        <v>10</v>
      </c>
      <c r="N84" s="23">
        <v>1480</v>
      </c>
    </row>
    <row r="85" spans="12:14">
      <c r="L85" s="20" t="s">
        <v>212</v>
      </c>
      <c r="M85" s="20">
        <v>26</v>
      </c>
      <c r="N85" s="23">
        <v>9588.4249888155609</v>
      </c>
    </row>
    <row r="86" spans="12:14">
      <c r="L86" s="20" t="s">
        <v>193</v>
      </c>
      <c r="M86" s="20">
        <v>37</v>
      </c>
      <c r="N86" s="23">
        <v>15648.702469434587</v>
      </c>
    </row>
    <row r="87" spans="12:14">
      <c r="L87" s="20" t="s">
        <v>184</v>
      </c>
      <c r="M87" s="20">
        <v>19</v>
      </c>
      <c r="N87" s="23">
        <v>6068.1999952204533</v>
      </c>
    </row>
    <row r="88" spans="12:14">
      <c r="L88" s="20" t="s">
        <v>196</v>
      </c>
      <c r="M88" s="20">
        <v>40</v>
      </c>
      <c r="N88" s="23">
        <v>27363.604972146451</v>
      </c>
    </row>
    <row r="89" spans="12:14">
      <c r="L89" s="20" t="s">
        <v>260</v>
      </c>
      <c r="M89" s="20">
        <v>17</v>
      </c>
      <c r="N89" s="23">
        <v>3161.35</v>
      </c>
    </row>
    <row r="90" spans="12:14">
      <c r="L90" s="20" t="s">
        <v>240</v>
      </c>
      <c r="M90" s="20">
        <v>16</v>
      </c>
      <c r="N90" s="23">
        <v>3531.95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8155-F706-4064-8F3A-F492654E5027}">
  <dimension ref="A1:H932"/>
  <sheetViews>
    <sheetView zoomScale="70" zoomScaleNormal="70" workbookViewId="0">
      <selection activeCell="I20" sqref="I20"/>
    </sheetView>
  </sheetViews>
  <sheetFormatPr defaultRowHeight="13.8"/>
  <cols>
    <col min="1" max="1" width="32.19921875" bestFit="1" customWidth="1"/>
    <col min="2" max="2" width="22" bestFit="1" customWidth="1"/>
    <col min="3" max="3" width="4.296875" customWidth="1"/>
    <col min="4" max="4" width="39.09765625" bestFit="1" customWidth="1"/>
    <col min="5" max="5" width="20.796875" bestFit="1" customWidth="1"/>
    <col min="6" max="6" width="5.796875" customWidth="1"/>
    <col min="7" max="7" width="27.09765625" customWidth="1"/>
    <col min="8" max="8" width="20.796875" bestFit="1" customWidth="1"/>
    <col min="9" max="9" width="39.09765625" bestFit="1" customWidth="1"/>
    <col min="10" max="10" width="20.796875" bestFit="1" customWidth="1"/>
    <col min="11" max="11" width="23.19921875" bestFit="1" customWidth="1"/>
    <col min="12" max="12" width="16.296875" bestFit="1" customWidth="1"/>
    <col min="13" max="13" width="39.09765625" bestFit="1" customWidth="1"/>
    <col min="14" max="14" width="37.09765625" bestFit="1" customWidth="1"/>
    <col min="15" max="15" width="20" bestFit="1" customWidth="1"/>
    <col min="16" max="16" width="21" bestFit="1" customWidth="1"/>
  </cols>
  <sheetData>
    <row r="1" spans="1:8">
      <c r="A1" s="19" t="s">
        <v>21</v>
      </c>
      <c r="B1" s="20" t="s">
        <v>290</v>
      </c>
      <c r="D1" s="19" t="s">
        <v>381</v>
      </c>
      <c r="E1" s="20" t="s">
        <v>284</v>
      </c>
      <c r="G1" s="19" t="s">
        <v>382</v>
      </c>
      <c r="H1" s="20" t="s">
        <v>284</v>
      </c>
    </row>
    <row r="2" spans="1:8">
      <c r="A2" s="20" t="s">
        <v>3</v>
      </c>
      <c r="B2" s="21"/>
      <c r="D2" s="20" t="s">
        <v>57</v>
      </c>
      <c r="E2" s="21"/>
      <c r="G2" s="20" t="s">
        <v>57</v>
      </c>
      <c r="H2" s="21"/>
    </row>
    <row r="3" spans="1:8">
      <c r="A3" s="20" t="s">
        <v>25</v>
      </c>
      <c r="B3" s="21">
        <v>1.0102836399116842E-2</v>
      </c>
      <c r="D3" s="20" t="s">
        <v>286</v>
      </c>
      <c r="E3" s="21">
        <v>0.307268433535753</v>
      </c>
      <c r="G3" s="22" t="s">
        <v>277</v>
      </c>
      <c r="H3" s="21">
        <v>0.12929080885004854</v>
      </c>
    </row>
    <row r="4" spans="1:8">
      <c r="A4" s="20" t="s">
        <v>27</v>
      </c>
      <c r="B4" s="21">
        <v>1.2921512031662689E-2</v>
      </c>
      <c r="D4" s="20" t="s">
        <v>288</v>
      </c>
      <c r="E4" s="21">
        <v>0.2196989574817011</v>
      </c>
      <c r="G4" s="22" t="s">
        <v>278</v>
      </c>
      <c r="H4" s="21">
        <v>7.1801722314899855E-2</v>
      </c>
    </row>
    <row r="5" spans="1:8">
      <c r="A5" s="20" t="s">
        <v>99</v>
      </c>
      <c r="B5" s="21">
        <v>9.712914839484903E-3</v>
      </c>
      <c r="D5" s="20" t="s">
        <v>287</v>
      </c>
      <c r="E5" s="21">
        <v>0.23973664753709603</v>
      </c>
      <c r="G5" s="22" t="s">
        <v>279</v>
      </c>
      <c r="H5" s="21">
        <v>3.2203430280501509E-2</v>
      </c>
    </row>
    <row r="6" spans="1:8">
      <c r="A6" s="20" t="s">
        <v>97</v>
      </c>
      <c r="B6" s="21">
        <v>0.11170604563822056</v>
      </c>
      <c r="D6" s="20" t="s">
        <v>289</v>
      </c>
      <c r="E6" s="21">
        <v>0.2332959614454499</v>
      </c>
      <c r="G6" s="22" t="s">
        <v>280</v>
      </c>
      <c r="H6" s="21">
        <v>1.4312635680222894E-2</v>
      </c>
    </row>
    <row r="7" spans="1:8">
      <c r="A7" s="20" t="s">
        <v>71</v>
      </c>
      <c r="B7" s="21">
        <v>3.5585319721288733E-3</v>
      </c>
      <c r="D7" s="20" t="s">
        <v>354</v>
      </c>
      <c r="E7" s="21">
        <v>2.5832327238217666E-2</v>
      </c>
      <c r="G7" s="22" t="s">
        <v>281</v>
      </c>
      <c r="H7" s="21">
        <v>0.16578802976707988</v>
      </c>
    </row>
    <row r="8" spans="1:8">
      <c r="A8" s="20" t="s">
        <v>107</v>
      </c>
      <c r="B8" s="21">
        <v>1.8586529758283662E-2</v>
      </c>
      <c r="D8" s="20" t="s">
        <v>29</v>
      </c>
      <c r="E8" s="21"/>
      <c r="G8" s="22" t="s">
        <v>282</v>
      </c>
      <c r="H8" s="21">
        <v>3.9598292034398345E-2</v>
      </c>
    </row>
    <row r="9" spans="1:8">
      <c r="A9" s="20" t="s">
        <v>168</v>
      </c>
      <c r="B9" s="21">
        <v>1.2451040178376397E-2</v>
      </c>
      <c r="D9" s="20" t="s">
        <v>286</v>
      </c>
      <c r="E9" s="21">
        <v>0.14454664907342893</v>
      </c>
      <c r="G9" s="22" t="s">
        <v>270</v>
      </c>
      <c r="H9" s="21">
        <v>0.14789723536230323</v>
      </c>
    </row>
    <row r="10" spans="1:8">
      <c r="A10" s="20" t="s">
        <v>154</v>
      </c>
      <c r="B10" s="21">
        <v>1.8935164937421798E-3</v>
      </c>
      <c r="D10" s="20" t="s">
        <v>288</v>
      </c>
      <c r="E10" s="21">
        <v>0.29237844946019842</v>
      </c>
      <c r="G10" s="22" t="s">
        <v>271</v>
      </c>
      <c r="H10" s="21">
        <v>2.5047112440390065E-2</v>
      </c>
    </row>
    <row r="11" spans="1:8">
      <c r="A11" s="20" t="s">
        <v>159</v>
      </c>
      <c r="B11" s="21">
        <v>8.4315916312121802E-3</v>
      </c>
      <c r="D11" s="20" t="s">
        <v>287</v>
      </c>
      <c r="E11" s="21">
        <v>0.12483574246615214</v>
      </c>
      <c r="G11" s="22" t="s">
        <v>272</v>
      </c>
      <c r="H11" s="21">
        <v>6.6792299734402719E-2</v>
      </c>
    </row>
    <row r="12" spans="1:8">
      <c r="A12" s="20" t="s">
        <v>166</v>
      </c>
      <c r="B12" s="21">
        <v>6.4603689110130993E-3</v>
      </c>
      <c r="D12" s="20" t="s">
        <v>289</v>
      </c>
      <c r="E12" s="21">
        <v>0.43823915900022054</v>
      </c>
      <c r="G12" s="22" t="s">
        <v>273</v>
      </c>
      <c r="H12" s="21">
        <v>0.14724123950341972</v>
      </c>
    </row>
    <row r="13" spans="1:8">
      <c r="A13" s="20" t="s">
        <v>91</v>
      </c>
      <c r="B13" s="21">
        <v>5.0169338907913681E-3</v>
      </c>
      <c r="D13" s="20" t="s">
        <v>312</v>
      </c>
      <c r="E13" s="21">
        <v>2.4048165121705852E-3</v>
      </c>
      <c r="G13" s="22" t="s">
        <v>274</v>
      </c>
      <c r="H13" s="21">
        <v>5.3576966160675484E-2</v>
      </c>
    </row>
    <row r="14" spans="1:8">
      <c r="A14" s="20" t="s">
        <v>92</v>
      </c>
      <c r="B14" s="21">
        <v>1.0779013290886789E-2</v>
      </c>
      <c r="D14" s="20" t="s">
        <v>101</v>
      </c>
      <c r="E14" s="21"/>
      <c r="G14" s="22" t="s">
        <v>275</v>
      </c>
      <c r="H14" s="21">
        <v>0.10645022787165777</v>
      </c>
    </row>
    <row r="15" spans="1:8">
      <c r="A15" s="20" t="s">
        <v>292</v>
      </c>
      <c r="B15" s="21">
        <v>0.21162083503491955</v>
      </c>
      <c r="D15" s="20" t="s">
        <v>286</v>
      </c>
      <c r="E15" s="21">
        <v>9.5742025769773212E-2</v>
      </c>
      <c r="G15" s="20" t="s">
        <v>354</v>
      </c>
      <c r="H15" s="21">
        <v>2.5832327238217666E-2</v>
      </c>
    </row>
    <row r="16" spans="1:8">
      <c r="A16" s="20" t="s">
        <v>5</v>
      </c>
      <c r="B16" s="21"/>
      <c r="D16" s="20" t="s">
        <v>288</v>
      </c>
      <c r="E16" s="21">
        <v>0.16180335359447318</v>
      </c>
      <c r="G16" s="20" t="s">
        <v>29</v>
      </c>
      <c r="H16" s="21"/>
    </row>
    <row r="17" spans="1:8">
      <c r="A17" s="20" t="s">
        <v>29</v>
      </c>
      <c r="B17" s="21">
        <v>2.4048165121705843E-3</v>
      </c>
      <c r="D17" s="20" t="s">
        <v>287</v>
      </c>
      <c r="E17" s="21">
        <v>0.39818923188698996</v>
      </c>
      <c r="G17" s="22" t="s">
        <v>277</v>
      </c>
      <c r="H17" s="21">
        <v>0.39093298298610801</v>
      </c>
    </row>
    <row r="18" spans="1:8">
      <c r="A18" s="20" t="s">
        <v>31</v>
      </c>
      <c r="B18" s="21">
        <v>6.7688000553667001E-3</v>
      </c>
      <c r="D18" s="20" t="s">
        <v>289</v>
      </c>
      <c r="E18" s="21">
        <v>0.34426538874876378</v>
      </c>
      <c r="G18" s="22" t="s">
        <v>279</v>
      </c>
      <c r="H18" s="21">
        <v>4.7306176014112494E-2</v>
      </c>
    </row>
    <row r="19" spans="1:8">
      <c r="A19" s="20" t="s">
        <v>33</v>
      </c>
      <c r="B19" s="21">
        <v>4.2243872685990792E-3</v>
      </c>
      <c r="D19" s="20" t="s">
        <v>365</v>
      </c>
      <c r="E19" s="21">
        <v>1.4149730200688142E-2</v>
      </c>
      <c r="G19" s="22" t="s">
        <v>280</v>
      </c>
      <c r="H19" s="21">
        <v>8.2128777938257985E-2</v>
      </c>
    </row>
    <row r="20" spans="1:8">
      <c r="A20" s="20" t="s">
        <v>53</v>
      </c>
      <c r="B20" s="21">
        <v>1.4100448853691572E-3</v>
      </c>
      <c r="D20" s="20" t="s">
        <v>140</v>
      </c>
      <c r="E20" s="21"/>
      <c r="G20" s="22" t="s">
        <v>281</v>
      </c>
      <c r="H20" s="21">
        <v>0.21024967152194043</v>
      </c>
    </row>
    <row r="21" spans="1:8">
      <c r="A21" s="20" t="s">
        <v>35</v>
      </c>
      <c r="B21" s="21">
        <v>5.6383624991644676E-3</v>
      </c>
      <c r="D21" s="20" t="s">
        <v>286</v>
      </c>
      <c r="E21" s="21">
        <v>0.19360741209128907</v>
      </c>
      <c r="G21" s="22" t="s">
        <v>270</v>
      </c>
      <c r="H21" s="21">
        <v>4.5992115645424471E-2</v>
      </c>
    </row>
    <row r="22" spans="1:8">
      <c r="A22" s="20" t="s">
        <v>109</v>
      </c>
      <c r="B22" s="21">
        <v>7.8337806346621269E-3</v>
      </c>
      <c r="D22" s="20" t="s">
        <v>288</v>
      </c>
      <c r="E22" s="21">
        <v>0.22641988902718324</v>
      </c>
      <c r="G22" s="22" t="s">
        <v>271</v>
      </c>
      <c r="H22" s="21">
        <v>7.8843626820727666E-2</v>
      </c>
    </row>
    <row r="23" spans="1:8">
      <c r="A23" s="20" t="s">
        <v>150</v>
      </c>
      <c r="B23" s="21">
        <v>1.0957470586576458E-2</v>
      </c>
      <c r="D23" s="20" t="s">
        <v>287</v>
      </c>
      <c r="E23" s="21">
        <v>0.26905650531421527</v>
      </c>
      <c r="G23" s="22" t="s">
        <v>273</v>
      </c>
      <c r="H23" s="21">
        <v>1.9710906705181917E-2</v>
      </c>
    </row>
    <row r="24" spans="1:8">
      <c r="A24" s="20" t="s">
        <v>152</v>
      </c>
      <c r="B24" s="21">
        <v>2.6726328022086232E-3</v>
      </c>
      <c r="D24" s="20" t="s">
        <v>289</v>
      </c>
      <c r="E24" s="21">
        <v>0.31091619356731232</v>
      </c>
      <c r="G24" s="22" t="s">
        <v>274</v>
      </c>
      <c r="H24" s="21">
        <v>6.5703022350606391E-2</v>
      </c>
    </row>
    <row r="25" spans="1:8">
      <c r="A25" s="20" t="s">
        <v>39</v>
      </c>
      <c r="B25" s="21">
        <v>1.0090117106691165E-2</v>
      </c>
      <c r="D25" s="20" t="s">
        <v>337</v>
      </c>
      <c r="E25" s="21">
        <v>3.6992998489217534E-2</v>
      </c>
      <c r="G25" s="22" t="s">
        <v>275</v>
      </c>
      <c r="H25" s="21">
        <v>5.9132720017640618E-2</v>
      </c>
    </row>
    <row r="26" spans="1:8">
      <c r="A26" s="20" t="s">
        <v>170</v>
      </c>
      <c r="B26" s="21">
        <v>7.2457579685667435E-3</v>
      </c>
      <c r="D26" s="20" t="s">
        <v>59</v>
      </c>
      <c r="E26" s="21"/>
      <c r="G26" s="20" t="s">
        <v>312</v>
      </c>
      <c r="H26" s="21">
        <v>2.4048165121705852E-3</v>
      </c>
    </row>
    <row r="27" spans="1:8">
      <c r="A27" s="20" t="s">
        <v>142</v>
      </c>
      <c r="B27" s="21">
        <v>1.133882043089641E-2</v>
      </c>
      <c r="D27" s="20" t="s">
        <v>286</v>
      </c>
      <c r="E27" s="21">
        <v>0.27380824850663771</v>
      </c>
      <c r="G27" s="20" t="s">
        <v>101</v>
      </c>
      <c r="H27" s="21"/>
    </row>
    <row r="28" spans="1:8">
      <c r="A28" s="20" t="s">
        <v>146</v>
      </c>
      <c r="B28" s="21">
        <v>1.3194175093493625E-2</v>
      </c>
      <c r="D28" s="20" t="s">
        <v>288</v>
      </c>
      <c r="E28" s="21">
        <v>0.17953936766211392</v>
      </c>
      <c r="G28" s="22" t="s">
        <v>277</v>
      </c>
      <c r="H28" s="21">
        <v>0.14115137189271132</v>
      </c>
    </row>
    <row r="29" spans="1:8">
      <c r="A29" s="20" t="s">
        <v>293</v>
      </c>
      <c r="B29" s="21">
        <v>8.3779165843765144E-2</v>
      </c>
      <c r="D29" s="20" t="s">
        <v>287</v>
      </c>
      <c r="E29" s="21">
        <v>0.30251740765331941</v>
      </c>
      <c r="G29" s="22" t="s">
        <v>278</v>
      </c>
      <c r="H29" s="21">
        <v>0.12222908977741827</v>
      </c>
    </row>
    <row r="30" spans="1:8">
      <c r="A30" s="20" t="s">
        <v>7</v>
      </c>
      <c r="B30" s="21"/>
      <c r="D30" s="20" t="s">
        <v>289</v>
      </c>
      <c r="E30" s="21">
        <v>0.24413497617792893</v>
      </c>
      <c r="G30" s="22" t="s">
        <v>279</v>
      </c>
      <c r="H30" s="21">
        <v>8.0884927078634136E-2</v>
      </c>
    </row>
    <row r="31" spans="1:8">
      <c r="A31" s="20" t="s">
        <v>117</v>
      </c>
      <c r="B31" s="21">
        <v>1.0813082804645839E-3</v>
      </c>
      <c r="D31" s="20" t="s">
        <v>366</v>
      </c>
      <c r="E31" s="21">
        <v>2.304632280398182E-2</v>
      </c>
      <c r="G31" s="22" t="s">
        <v>280</v>
      </c>
      <c r="H31" s="21">
        <v>7.7049215949985303E-2</v>
      </c>
    </row>
    <row r="32" spans="1:8">
      <c r="A32" s="20" t="s">
        <v>75</v>
      </c>
      <c r="B32" s="21">
        <v>1.5681192632688766E-2</v>
      </c>
      <c r="D32" s="20" t="s">
        <v>25</v>
      </c>
      <c r="E32" s="21"/>
      <c r="G32" s="22" t="s">
        <v>281</v>
      </c>
      <c r="H32" s="21">
        <v>3.1333347813027095E-2</v>
      </c>
    </row>
    <row r="33" spans="1:8">
      <c r="A33" s="20" t="s">
        <v>119</v>
      </c>
      <c r="B33" s="21">
        <v>7.3034056228211703E-3</v>
      </c>
      <c r="D33" s="20" t="s">
        <v>286</v>
      </c>
      <c r="E33" s="21">
        <v>0.20867056100051726</v>
      </c>
      <c r="G33" s="22" t="s">
        <v>282</v>
      </c>
      <c r="H33" s="21">
        <v>5.3420789831460709E-2</v>
      </c>
    </row>
    <row r="34" spans="1:8">
      <c r="A34" s="20" t="s">
        <v>73</v>
      </c>
      <c r="B34" s="21">
        <v>2.9265447703356105E-3</v>
      </c>
      <c r="D34" s="20" t="s">
        <v>288</v>
      </c>
      <c r="E34" s="21">
        <v>0.25272714455228112</v>
      </c>
      <c r="G34" s="22" t="s">
        <v>270</v>
      </c>
      <c r="H34" s="21">
        <v>8.4184643507395976E-2</v>
      </c>
    </row>
    <row r="35" spans="1:8">
      <c r="A35" s="20" t="s">
        <v>55</v>
      </c>
      <c r="B35" s="21">
        <v>1.3600782236757449E-2</v>
      </c>
      <c r="D35" s="20" t="s">
        <v>287</v>
      </c>
      <c r="E35" s="21">
        <v>0.17517066658883682</v>
      </c>
      <c r="G35" s="22" t="s">
        <v>271</v>
      </c>
      <c r="H35" s="21">
        <v>0.13468537957955096</v>
      </c>
    </row>
    <row r="36" spans="1:8">
      <c r="A36" s="20" t="s">
        <v>77</v>
      </c>
      <c r="B36" s="21">
        <v>1.1929181582822312E-2</v>
      </c>
      <c r="D36" s="20" t="s">
        <v>289</v>
      </c>
      <c r="E36" s="21">
        <v>0.3634316278583648</v>
      </c>
      <c r="G36" s="22" t="s">
        <v>272</v>
      </c>
      <c r="H36" s="21">
        <v>0.1793192088000429</v>
      </c>
    </row>
    <row r="37" spans="1:8">
      <c r="A37" s="20" t="s">
        <v>155</v>
      </c>
      <c r="B37" s="21">
        <v>6.8842217744986235E-3</v>
      </c>
      <c r="D37" s="20" t="s">
        <v>300</v>
      </c>
      <c r="E37" s="21">
        <v>1.0102836399116846E-2</v>
      </c>
      <c r="G37" s="22" t="s">
        <v>274</v>
      </c>
      <c r="H37" s="21">
        <v>9.4714702888398936E-2</v>
      </c>
    </row>
    <row r="38" spans="1:8">
      <c r="A38" s="20" t="s">
        <v>63</v>
      </c>
      <c r="B38" s="21">
        <v>1.7825473283980847E-2</v>
      </c>
      <c r="D38" s="20" t="s">
        <v>27</v>
      </c>
      <c r="E38" s="21"/>
      <c r="G38" s="22" t="s">
        <v>275</v>
      </c>
      <c r="H38" s="21">
        <v>1.0273228813742446E-3</v>
      </c>
    </row>
    <row r="39" spans="1:8">
      <c r="A39" s="20" t="s">
        <v>65</v>
      </c>
      <c r="B39" s="21">
        <v>7.1923290107753571E-3</v>
      </c>
      <c r="D39" s="20" t="s">
        <v>286</v>
      </c>
      <c r="E39" s="21">
        <v>0.20049021895687227</v>
      </c>
      <c r="G39" s="20" t="s">
        <v>365</v>
      </c>
      <c r="H39" s="21">
        <v>1.4149730200688146E-2</v>
      </c>
    </row>
    <row r="40" spans="1:8">
      <c r="A40" s="20" t="s">
        <v>144</v>
      </c>
      <c r="B40" s="21">
        <v>3.7316503192283849E-2</v>
      </c>
      <c r="D40" s="20" t="s">
        <v>288</v>
      </c>
      <c r="E40" s="21">
        <v>0.25550624951613105</v>
      </c>
      <c r="G40" s="20" t="s">
        <v>140</v>
      </c>
      <c r="H40" s="21"/>
    </row>
    <row r="41" spans="1:8">
      <c r="A41" s="20" t="s">
        <v>61</v>
      </c>
      <c r="B41" s="21">
        <v>4.6315786381590316E-3</v>
      </c>
      <c r="D41" s="20" t="s">
        <v>287</v>
      </c>
      <c r="E41" s="21">
        <v>0.25149853655144272</v>
      </c>
      <c r="G41" s="22" t="s">
        <v>277</v>
      </c>
      <c r="H41" s="21">
        <v>0.13984693805155685</v>
      </c>
    </row>
    <row r="42" spans="1:8">
      <c r="A42" s="20" t="s">
        <v>121</v>
      </c>
      <c r="B42" s="21">
        <v>2.7158369456465239E-3</v>
      </c>
      <c r="D42" s="20" t="s">
        <v>289</v>
      </c>
      <c r="E42" s="21">
        <v>0.29250499497555404</v>
      </c>
      <c r="G42" s="22" t="s">
        <v>278</v>
      </c>
      <c r="H42" s="21">
        <v>7.2610040589253314E-2</v>
      </c>
    </row>
    <row r="43" spans="1:8">
      <c r="A43" s="20" t="s">
        <v>115</v>
      </c>
      <c r="B43" s="21">
        <v>3.1269566818534484E-3</v>
      </c>
      <c r="D43" s="20" t="s">
        <v>301</v>
      </c>
      <c r="E43" s="21">
        <v>1.2921512031662693E-2</v>
      </c>
      <c r="G43" s="22" t="s">
        <v>279</v>
      </c>
      <c r="H43" s="21">
        <v>9.8459214926502198E-2</v>
      </c>
    </row>
    <row r="44" spans="1:8">
      <c r="A44" s="20" t="s">
        <v>294</v>
      </c>
      <c r="B44" s="21">
        <v>0.13221531465308756</v>
      </c>
      <c r="D44" s="20" t="s">
        <v>99</v>
      </c>
      <c r="E44" s="21"/>
      <c r="G44" s="22" t="s">
        <v>280</v>
      </c>
      <c r="H44" s="21">
        <v>0.19118223643114057</v>
      </c>
    </row>
    <row r="45" spans="1:8">
      <c r="A45" s="20" t="s">
        <v>9</v>
      </c>
      <c r="B45" s="21"/>
      <c r="D45" s="20" t="s">
        <v>286</v>
      </c>
      <c r="E45" s="21">
        <v>0.32850680008865807</v>
      </c>
      <c r="G45" s="22" t="s">
        <v>281</v>
      </c>
      <c r="H45" s="21">
        <v>2.042520441970451E-2</v>
      </c>
    </row>
    <row r="46" spans="1:8">
      <c r="A46" s="20" t="s">
        <v>140</v>
      </c>
      <c r="B46" s="21">
        <v>3.699299848921752E-2</v>
      </c>
      <c r="D46" s="20" t="s">
        <v>288</v>
      </c>
      <c r="E46" s="21">
        <v>6.1344304128106993E-2</v>
      </c>
      <c r="G46" s="22" t="s">
        <v>282</v>
      </c>
      <c r="H46" s="21">
        <v>1.4812448176338179E-2</v>
      </c>
    </row>
    <row r="47" spans="1:8">
      <c r="A47" s="20" t="s">
        <v>161</v>
      </c>
      <c r="B47" s="21">
        <v>1.5445672706739579E-2</v>
      </c>
      <c r="D47" s="20" t="s">
        <v>287</v>
      </c>
      <c r="E47" s="21">
        <v>0.24764651644553251</v>
      </c>
      <c r="G47" s="22" t="s">
        <v>270</v>
      </c>
      <c r="H47" s="21">
        <v>0.11145641226663475</v>
      </c>
    </row>
    <row r="48" spans="1:8">
      <c r="A48" s="20" t="s">
        <v>89</v>
      </c>
      <c r="B48" s="21">
        <v>1.3020493471569295E-3</v>
      </c>
      <c r="D48" s="20" t="s">
        <v>289</v>
      </c>
      <c r="E48" s="21">
        <v>0.36250237933770235</v>
      </c>
      <c r="G48" s="22" t="s">
        <v>271</v>
      </c>
      <c r="H48" s="21">
        <v>6.3025515231471874E-2</v>
      </c>
    </row>
    <row r="49" spans="1:8">
      <c r="A49" s="20" t="s">
        <v>85</v>
      </c>
      <c r="B49" s="21">
        <v>1.1787768243364654E-2</v>
      </c>
      <c r="D49" s="20" t="s">
        <v>302</v>
      </c>
      <c r="E49" s="21">
        <v>9.7129148394849048E-3</v>
      </c>
      <c r="G49" s="22" t="s">
        <v>272</v>
      </c>
      <c r="H49" s="21">
        <v>9.4574577816108674E-2</v>
      </c>
    </row>
    <row r="50" spans="1:8">
      <c r="A50" s="20" t="s">
        <v>157</v>
      </c>
      <c r="B50" s="21">
        <v>1.7334871744784253E-2</v>
      </c>
      <c r="D50" s="20" t="s">
        <v>31</v>
      </c>
      <c r="E50" s="21"/>
      <c r="G50" s="22" t="s">
        <v>273</v>
      </c>
      <c r="H50" s="21">
        <v>7.2610040589253314E-3</v>
      </c>
    </row>
    <row r="51" spans="1:8">
      <c r="A51" s="20" t="s">
        <v>87</v>
      </c>
      <c r="B51" s="21">
        <v>6.6394424139679491E-3</v>
      </c>
      <c r="D51" s="20" t="s">
        <v>286</v>
      </c>
      <c r="E51" s="21">
        <v>0.25461548368616932</v>
      </c>
      <c r="G51" s="22" t="s">
        <v>274</v>
      </c>
      <c r="H51" s="21">
        <v>0.12381464111671546</v>
      </c>
    </row>
    <row r="52" spans="1:8">
      <c r="A52" s="20" t="s">
        <v>162</v>
      </c>
      <c r="B52" s="21">
        <v>1.9671564965366112E-2</v>
      </c>
      <c r="D52" s="20" t="s">
        <v>288</v>
      </c>
      <c r="E52" s="21">
        <v>0.39735524409665385</v>
      </c>
      <c r="G52" s="22" t="s">
        <v>275</v>
      </c>
      <c r="H52" s="21">
        <v>6.253176691564831E-2</v>
      </c>
    </row>
    <row r="53" spans="1:8">
      <c r="A53" s="20" t="s">
        <v>45</v>
      </c>
      <c r="B53" s="21">
        <v>1.0192637814984529E-2</v>
      </c>
      <c r="D53" s="20" t="s">
        <v>287</v>
      </c>
      <c r="E53" s="21">
        <v>0.19720118120014188</v>
      </c>
      <c r="G53" s="20" t="s">
        <v>337</v>
      </c>
      <c r="H53" s="21">
        <v>3.6992998489217527E-2</v>
      </c>
    </row>
    <row r="54" spans="1:8">
      <c r="A54" s="20" t="s">
        <v>47</v>
      </c>
      <c r="B54" s="21">
        <v>9.6837789535405925E-3</v>
      </c>
      <c r="D54" s="20" t="s">
        <v>289</v>
      </c>
      <c r="E54" s="21">
        <v>0.15082809101703507</v>
      </c>
      <c r="G54" s="20" t="s">
        <v>59</v>
      </c>
      <c r="H54" s="21"/>
    </row>
    <row r="55" spans="1:8">
      <c r="A55" s="20" t="s">
        <v>138</v>
      </c>
      <c r="B55" s="21">
        <v>5.6214323951185259E-2</v>
      </c>
      <c r="D55" s="20" t="s">
        <v>313</v>
      </c>
      <c r="E55" s="21">
        <v>6.768800055366701E-3</v>
      </c>
      <c r="G55" s="22" t="s">
        <v>277</v>
      </c>
      <c r="H55" s="21">
        <v>0.10444563483913229</v>
      </c>
    </row>
    <row r="56" spans="1:8">
      <c r="A56" s="20" t="s">
        <v>295</v>
      </c>
      <c r="B56" s="21">
        <v>0.1852651086303074</v>
      </c>
      <c r="D56" s="20" t="s">
        <v>33</v>
      </c>
      <c r="E56" s="21"/>
      <c r="G56" s="22" t="s">
        <v>278</v>
      </c>
      <c r="H56" s="21">
        <v>5.3561864020067844E-2</v>
      </c>
    </row>
    <row r="57" spans="1:8">
      <c r="A57" s="20" t="s">
        <v>11</v>
      </c>
      <c r="B57" s="21"/>
      <c r="D57" s="20" t="s">
        <v>286</v>
      </c>
      <c r="E57" s="21">
        <v>0.11770646329207028</v>
      </c>
      <c r="G57" s="22" t="s">
        <v>279</v>
      </c>
      <c r="H57" s="21">
        <v>8.6127477318728801E-2</v>
      </c>
    </row>
    <row r="58" spans="1:8">
      <c r="A58" s="20" t="s">
        <v>125</v>
      </c>
      <c r="B58" s="21">
        <v>2.5540905188032887E-3</v>
      </c>
      <c r="D58" s="20" t="s">
        <v>288</v>
      </c>
      <c r="E58" s="21">
        <v>0.36932880790264905</v>
      </c>
      <c r="G58" s="22" t="s">
        <v>280</v>
      </c>
      <c r="H58" s="21">
        <v>0.14675950711169497</v>
      </c>
    </row>
    <row r="59" spans="1:8">
      <c r="A59" s="20" t="s">
        <v>133</v>
      </c>
      <c r="B59" s="21">
        <v>3.3649308119375686E-2</v>
      </c>
      <c r="D59" s="20" t="s">
        <v>287</v>
      </c>
      <c r="E59" s="21">
        <v>0.3133275353443894</v>
      </c>
      <c r="G59" s="22" t="s">
        <v>282</v>
      </c>
      <c r="H59" s="21">
        <v>3.2779860550418934E-2</v>
      </c>
    </row>
    <row r="60" spans="1:8">
      <c r="A60" s="20" t="s">
        <v>67</v>
      </c>
      <c r="B60" s="21">
        <v>5.626796628272381E-3</v>
      </c>
      <c r="D60" s="20" t="s">
        <v>289</v>
      </c>
      <c r="E60" s="21">
        <v>0.19963719346089137</v>
      </c>
      <c r="G60" s="22" t="s">
        <v>270</v>
      </c>
      <c r="H60" s="21">
        <v>6.8559185690283964E-2</v>
      </c>
    </row>
    <row r="61" spans="1:8">
      <c r="A61" s="20" t="s">
        <v>135</v>
      </c>
      <c r="B61" s="21">
        <v>6.0527667376059149E-3</v>
      </c>
      <c r="D61" s="20" t="s">
        <v>314</v>
      </c>
      <c r="E61" s="21">
        <v>4.2243872685990801E-3</v>
      </c>
      <c r="G61" s="22" t="s">
        <v>271</v>
      </c>
      <c r="H61" s="21">
        <v>0.19539367993243734</v>
      </c>
    </row>
    <row r="62" spans="1:8">
      <c r="A62" s="20" t="s">
        <v>105</v>
      </c>
      <c r="B62" s="21">
        <v>6.7744091875330788E-3</v>
      </c>
      <c r="D62" s="20" t="s">
        <v>117</v>
      </c>
      <c r="E62" s="21"/>
      <c r="G62" s="22" t="s">
        <v>272</v>
      </c>
      <c r="H62" s="21">
        <v>3.8564542030598128E-2</v>
      </c>
    </row>
    <row r="63" spans="1:8">
      <c r="A63" s="20" t="s">
        <v>69</v>
      </c>
      <c r="B63" s="21">
        <v>3.6354284272207987E-3</v>
      </c>
      <c r="D63" s="20" t="s">
        <v>286</v>
      </c>
      <c r="E63" s="21">
        <v>0.22356777001648259</v>
      </c>
      <c r="G63" s="22" t="s">
        <v>273</v>
      </c>
      <c r="H63" s="21">
        <v>0.10669523289811256</v>
      </c>
    </row>
    <row r="64" spans="1:8">
      <c r="A64" s="20" t="s">
        <v>148</v>
      </c>
      <c r="B64" s="21">
        <v>1.7347201970585577E-2</v>
      </c>
      <c r="D64" s="20" t="s">
        <v>288</v>
      </c>
      <c r="E64" s="21">
        <v>0.11877037698840154</v>
      </c>
      <c r="G64" s="22" t="s">
        <v>274</v>
      </c>
      <c r="H64" s="21">
        <v>8.7412961946664217E-2</v>
      </c>
    </row>
    <row r="65" spans="1:8">
      <c r="A65" s="20" t="s">
        <v>296</v>
      </c>
      <c r="B65" s="21">
        <v>7.5640001589396724E-2</v>
      </c>
      <c r="D65" s="20" t="s">
        <v>287</v>
      </c>
      <c r="E65" s="21">
        <v>5.0302748170423101E-2</v>
      </c>
      <c r="G65" s="22" t="s">
        <v>275</v>
      </c>
      <c r="H65" s="21">
        <v>7.9700053661860948E-2</v>
      </c>
    </row>
    <row r="66" spans="1:8">
      <c r="A66" s="20" t="s">
        <v>13</v>
      </c>
      <c r="B66" s="21"/>
      <c r="D66" s="20" t="s">
        <v>289</v>
      </c>
      <c r="E66" s="21">
        <v>0.6073591048246928</v>
      </c>
      <c r="G66" s="20" t="s">
        <v>366</v>
      </c>
      <c r="H66" s="21">
        <v>2.304632280398182E-2</v>
      </c>
    </row>
    <row r="67" spans="1:8">
      <c r="A67" s="20" t="s">
        <v>57</v>
      </c>
      <c r="B67" s="21">
        <v>2.5832327238217663E-2</v>
      </c>
      <c r="D67" s="20" t="s">
        <v>324</v>
      </c>
      <c r="E67" s="21">
        <v>1.0813082804645841E-3</v>
      </c>
      <c r="G67" s="20" t="s">
        <v>25</v>
      </c>
      <c r="H67" s="21"/>
    </row>
    <row r="68" spans="1:8">
      <c r="A68" s="20" t="s">
        <v>41</v>
      </c>
      <c r="B68" s="21">
        <v>5.7090691525807143E-3</v>
      </c>
      <c r="D68" s="20" t="s">
        <v>97</v>
      </c>
      <c r="E68" s="21"/>
      <c r="G68" s="22" t="s">
        <v>277</v>
      </c>
      <c r="H68" s="21">
        <v>0.13259201900466105</v>
      </c>
    </row>
    <row r="69" spans="1:8">
      <c r="A69" s="20" t="s">
        <v>131</v>
      </c>
      <c r="B69" s="21">
        <v>1.3767179501064796E-2</v>
      </c>
      <c r="C69" s="18"/>
      <c r="D69" s="20" t="s">
        <v>286</v>
      </c>
      <c r="E69" s="21">
        <v>0.20387245845521276</v>
      </c>
      <c r="G69" s="22" t="s">
        <v>278</v>
      </c>
      <c r="H69" s="21">
        <v>0.12105003869935725</v>
      </c>
    </row>
    <row r="70" spans="1:8">
      <c r="A70" s="20" t="s">
        <v>127</v>
      </c>
      <c r="B70" s="21">
        <v>1.625397625225395E-2</v>
      </c>
      <c r="C70" s="18"/>
      <c r="D70" s="20" t="s">
        <v>288</v>
      </c>
      <c r="E70" s="21">
        <v>0.13715733967741314</v>
      </c>
      <c r="G70" s="22" t="s">
        <v>279</v>
      </c>
      <c r="H70" s="21">
        <v>0.10978957015434646</v>
      </c>
    </row>
    <row r="71" spans="1:8">
      <c r="A71" s="20" t="s">
        <v>81</v>
      </c>
      <c r="B71" s="21">
        <v>6.3492742923650744E-2</v>
      </c>
      <c r="C71" s="18"/>
      <c r="D71" s="20" t="s">
        <v>287</v>
      </c>
      <c r="E71" s="21">
        <v>5.1713534942362686E-2</v>
      </c>
      <c r="G71" s="22" t="s">
        <v>280</v>
      </c>
      <c r="H71" s="21">
        <v>0.18122316849548945</v>
      </c>
    </row>
    <row r="72" spans="1:8">
      <c r="A72" s="20" t="s">
        <v>129</v>
      </c>
      <c r="B72" s="21">
        <v>3.7353954013814609E-3</v>
      </c>
      <c r="D72" s="20" t="s">
        <v>289</v>
      </c>
      <c r="E72" s="21">
        <v>0.60725666692501146</v>
      </c>
      <c r="G72" s="22" t="s">
        <v>281</v>
      </c>
      <c r="H72" s="21">
        <v>5.7428390139567784E-2</v>
      </c>
    </row>
    <row r="73" spans="1:8">
      <c r="A73" s="20" t="s">
        <v>297</v>
      </c>
      <c r="B73" s="21">
        <v>0.12879069046914934</v>
      </c>
      <c r="D73" s="20" t="s">
        <v>303</v>
      </c>
      <c r="E73" s="21">
        <v>0.11170604563822059</v>
      </c>
      <c r="G73" s="22" t="s">
        <v>282</v>
      </c>
      <c r="H73" s="21">
        <v>1.4075585917223904E-2</v>
      </c>
    </row>
    <row r="74" spans="1:8">
      <c r="A74" s="20" t="s">
        <v>15</v>
      </c>
      <c r="B74" s="21"/>
      <c r="D74" s="20" t="s">
        <v>136</v>
      </c>
      <c r="E74" s="21"/>
      <c r="G74" s="22" t="s">
        <v>270</v>
      </c>
      <c r="H74" s="21">
        <v>4.0819199159949318E-2</v>
      </c>
    </row>
    <row r="75" spans="1:8">
      <c r="A75" s="20" t="s">
        <v>165</v>
      </c>
      <c r="B75" s="21">
        <v>1.9217201591959351E-3</v>
      </c>
      <c r="D75" s="20" t="s">
        <v>286</v>
      </c>
      <c r="E75" s="21">
        <v>0.25658932177299182</v>
      </c>
      <c r="G75" s="22" t="s">
        <v>271</v>
      </c>
      <c r="H75" s="21">
        <v>0.11183052996132926</v>
      </c>
    </row>
    <row r="76" spans="1:8">
      <c r="A76" s="20" t="s">
        <v>123</v>
      </c>
      <c r="B76" s="21">
        <v>3.3038299855547792E-2</v>
      </c>
      <c r="D76" s="20" t="s">
        <v>288</v>
      </c>
      <c r="E76" s="21">
        <v>0.13066005873093531</v>
      </c>
      <c r="G76" s="22" t="s">
        <v>272</v>
      </c>
      <c r="H76" s="21">
        <v>2.2520937467558247E-2</v>
      </c>
    </row>
    <row r="77" spans="1:8">
      <c r="A77" s="20" t="s">
        <v>79</v>
      </c>
      <c r="B77" s="21">
        <v>2.0300822649356728E-2</v>
      </c>
      <c r="D77" s="20" t="s">
        <v>287</v>
      </c>
      <c r="E77" s="21">
        <v>0.28564992123866195</v>
      </c>
      <c r="G77" s="22" t="s">
        <v>273</v>
      </c>
      <c r="H77" s="21">
        <v>8.4805405130299757E-2</v>
      </c>
    </row>
    <row r="78" spans="1:8">
      <c r="A78" s="20" t="s">
        <v>51</v>
      </c>
      <c r="B78" s="21">
        <v>6.3134254590118139E-3</v>
      </c>
      <c r="D78" s="20" t="s">
        <v>289</v>
      </c>
      <c r="E78" s="21">
        <v>0.32710069825741095</v>
      </c>
      <c r="G78" s="22" t="s">
        <v>274</v>
      </c>
      <c r="H78" s="21">
        <v>0.10950805833532554</v>
      </c>
    </row>
    <row r="79" spans="1:8">
      <c r="A79" s="20" t="s">
        <v>37</v>
      </c>
      <c r="B79" s="21">
        <v>1.7415406248127586E-2</v>
      </c>
      <c r="D79" s="20" t="s">
        <v>367</v>
      </c>
      <c r="E79" s="21">
        <v>4.646632436666717E-3</v>
      </c>
      <c r="G79" s="22" t="s">
        <v>275</v>
      </c>
      <c r="H79" s="21">
        <v>1.4357097534891946E-2</v>
      </c>
    </row>
    <row r="80" spans="1:8">
      <c r="A80" s="20" t="s">
        <v>298</v>
      </c>
      <c r="B80" s="21">
        <v>7.8989674371239854E-2</v>
      </c>
      <c r="D80" s="20" t="s">
        <v>125</v>
      </c>
      <c r="E80" s="21"/>
      <c r="G80" s="20" t="s">
        <v>300</v>
      </c>
      <c r="H80" s="21">
        <v>1.0102836399116846E-2</v>
      </c>
    </row>
    <row r="81" spans="1:8">
      <c r="A81" s="20" t="s">
        <v>17</v>
      </c>
      <c r="B81" s="21"/>
      <c r="D81" s="20" t="s">
        <v>286</v>
      </c>
      <c r="E81" s="21">
        <v>0.35606798755044955</v>
      </c>
      <c r="G81" s="20" t="s">
        <v>27</v>
      </c>
      <c r="H81" s="21"/>
    </row>
    <row r="82" spans="1:8">
      <c r="A82" s="20" t="s">
        <v>101</v>
      </c>
      <c r="B82" s="21">
        <v>1.4149730200688141E-2</v>
      </c>
      <c r="D82" s="20" t="s">
        <v>288</v>
      </c>
      <c r="E82" s="21">
        <v>0.2923026958742202</v>
      </c>
      <c r="G82" s="22" t="s">
        <v>277</v>
      </c>
      <c r="H82" s="21">
        <v>0.1247037778592119</v>
      </c>
    </row>
    <row r="83" spans="1:8">
      <c r="A83" s="20" t="s">
        <v>59</v>
      </c>
      <c r="B83" s="21">
        <v>2.3046322803981816E-2</v>
      </c>
      <c r="D83" s="20" t="s">
        <v>287</v>
      </c>
      <c r="E83" s="21">
        <v>8.9639493349805005E-2</v>
      </c>
      <c r="G83" s="22" t="s">
        <v>278</v>
      </c>
      <c r="H83" s="21">
        <v>0.1096022488922785</v>
      </c>
    </row>
    <row r="84" spans="1:8">
      <c r="A84" s="20" t="s">
        <v>136</v>
      </c>
      <c r="B84" s="21">
        <v>4.6466324366667162E-3</v>
      </c>
      <c r="D84" s="20" t="s">
        <v>289</v>
      </c>
      <c r="E84" s="21">
        <v>0.26198982322552516</v>
      </c>
      <c r="G84" s="22" t="s">
        <v>279</v>
      </c>
      <c r="H84" s="21">
        <v>5.8198968224063619E-2</v>
      </c>
    </row>
    <row r="85" spans="1:8">
      <c r="A85" s="20" t="s">
        <v>95</v>
      </c>
      <c r="B85" s="21">
        <v>2.1238859065707293E-3</v>
      </c>
      <c r="D85" s="20" t="s">
        <v>347</v>
      </c>
      <c r="E85" s="21">
        <v>2.5540905188032896E-3</v>
      </c>
      <c r="G85" s="22" t="s">
        <v>280</v>
      </c>
      <c r="H85" s="21">
        <v>0.19428697551166324</v>
      </c>
    </row>
    <row r="86" spans="1:8">
      <c r="A86" s="20" t="s">
        <v>43</v>
      </c>
      <c r="B86" s="21">
        <v>1.648558598035663E-2</v>
      </c>
      <c r="D86" s="20" t="s">
        <v>161</v>
      </c>
      <c r="E86" s="21"/>
      <c r="G86" s="22" t="s">
        <v>281</v>
      </c>
      <c r="H86" s="21">
        <v>6.1219274004467784E-2</v>
      </c>
    </row>
    <row r="87" spans="1:8">
      <c r="A87" s="20" t="s">
        <v>93</v>
      </c>
      <c r="B87" s="21">
        <v>1.0632433252497757E-2</v>
      </c>
      <c r="D87" s="20" t="s">
        <v>286</v>
      </c>
      <c r="E87" s="21">
        <v>0.33936328123379544</v>
      </c>
      <c r="G87" s="22" t="s">
        <v>270</v>
      </c>
      <c r="H87" s="21">
        <v>9.9902420912634654E-2</v>
      </c>
    </row>
    <row r="88" spans="1:8">
      <c r="A88" s="20" t="s">
        <v>103</v>
      </c>
      <c r="B88" s="21">
        <v>6.8576336985712808E-3</v>
      </c>
      <c r="D88" s="20" t="s">
        <v>288</v>
      </c>
      <c r="E88" s="21">
        <v>0.22224665982162736</v>
      </c>
      <c r="G88" s="22" t="s">
        <v>271</v>
      </c>
      <c r="H88" s="21">
        <v>0.11442312175932347</v>
      </c>
    </row>
    <row r="89" spans="1:8">
      <c r="A89" s="20" t="s">
        <v>49</v>
      </c>
      <c r="B89" s="21">
        <v>3.9188396849379348E-3</v>
      </c>
      <c r="D89" s="20" t="s">
        <v>287</v>
      </c>
      <c r="E89" s="21">
        <v>0.15197668669935924</v>
      </c>
      <c r="G89" s="22" t="s">
        <v>272</v>
      </c>
      <c r="H89" s="21">
        <v>3.7172993879484591E-2</v>
      </c>
    </row>
    <row r="90" spans="1:8">
      <c r="A90" s="20" t="s">
        <v>83</v>
      </c>
      <c r="B90" s="21">
        <v>1.0605365243556517E-2</v>
      </c>
      <c r="D90" s="20" t="s">
        <v>289</v>
      </c>
      <c r="E90" s="21">
        <v>0.28641337224521801</v>
      </c>
      <c r="G90" s="22" t="s">
        <v>273</v>
      </c>
      <c r="H90" s="21">
        <v>7.7064262781308679E-2</v>
      </c>
    </row>
    <row r="91" spans="1:8">
      <c r="A91" s="20" t="s">
        <v>163</v>
      </c>
      <c r="B91" s="21">
        <v>3.1578622043964906E-3</v>
      </c>
      <c r="D91" s="20" t="s">
        <v>338</v>
      </c>
      <c r="E91" s="21">
        <v>1.5445672706739582E-2</v>
      </c>
      <c r="G91" s="22" t="s">
        <v>274</v>
      </c>
      <c r="H91" s="21">
        <v>1.3939872652876649E-2</v>
      </c>
    </row>
    <row r="92" spans="1:8">
      <c r="A92" s="20" t="s">
        <v>111</v>
      </c>
      <c r="B92" s="21">
        <v>3.4272387806149837E-3</v>
      </c>
      <c r="D92" s="20" t="s">
        <v>89</v>
      </c>
      <c r="E92" s="21"/>
      <c r="G92" s="22" t="s">
        <v>275</v>
      </c>
      <c r="H92" s="21">
        <v>0.10948608352268695</v>
      </c>
    </row>
    <row r="93" spans="1:8">
      <c r="A93" s="20" t="s">
        <v>113</v>
      </c>
      <c r="B93" s="21">
        <v>4.6476792152952825E-3</v>
      </c>
      <c r="D93" s="20" t="s">
        <v>286</v>
      </c>
      <c r="E93" s="21">
        <v>8.2518012936618229E-2</v>
      </c>
      <c r="G93" s="20" t="s">
        <v>301</v>
      </c>
      <c r="H93" s="21">
        <v>1.2921512031662693E-2</v>
      </c>
    </row>
    <row r="94" spans="1:8">
      <c r="A94" s="20" t="s">
        <v>299</v>
      </c>
      <c r="B94" s="21">
        <v>0.10369920940813426</v>
      </c>
      <c r="D94" s="20" t="s">
        <v>288</v>
      </c>
      <c r="E94" s="21">
        <v>0.23056503592040126</v>
      </c>
      <c r="G94" s="20" t="s">
        <v>99</v>
      </c>
      <c r="H94" s="21"/>
    </row>
    <row r="95" spans="1:8">
      <c r="A95" s="20" t="s">
        <v>268</v>
      </c>
      <c r="B95" s="21">
        <v>1</v>
      </c>
      <c r="D95" s="20" t="s">
        <v>287</v>
      </c>
      <c r="E95" s="21">
        <v>0.30276829729418991</v>
      </c>
      <c r="G95" s="22" t="s">
        <v>277</v>
      </c>
      <c r="H95" s="21">
        <v>8.3451678606163454E-2</v>
      </c>
    </row>
    <row r="96" spans="1:8">
      <c r="D96" s="20" t="s">
        <v>289</v>
      </c>
      <c r="E96" s="21">
        <v>0.3841486538487906</v>
      </c>
      <c r="G96" s="22" t="s">
        <v>278</v>
      </c>
      <c r="H96" s="21">
        <v>0.21755999014747876</v>
      </c>
    </row>
    <row r="97" spans="4:8">
      <c r="D97" s="20" t="s">
        <v>339</v>
      </c>
      <c r="E97" s="21">
        <v>1.3020493471569297E-3</v>
      </c>
      <c r="G97" s="22" t="s">
        <v>279</v>
      </c>
      <c r="H97" s="21">
        <v>6.14907105840602E-2</v>
      </c>
    </row>
    <row r="98" spans="4:8">
      <c r="D98" s="20" t="s">
        <v>53</v>
      </c>
      <c r="E98" s="21"/>
      <c r="G98" s="22" t="s">
        <v>280</v>
      </c>
      <c r="H98" s="21">
        <v>1.464064537715719E-2</v>
      </c>
    </row>
    <row r="99" spans="4:8">
      <c r="D99" s="20" t="s">
        <v>286</v>
      </c>
      <c r="E99" s="21">
        <v>3.4737299183305329E-2</v>
      </c>
      <c r="G99" s="22" t="s">
        <v>281</v>
      </c>
      <c r="H99" s="21">
        <v>3.2063013373792623E-2</v>
      </c>
    </row>
    <row r="100" spans="4:8">
      <c r="D100" s="20" t="s">
        <v>288</v>
      </c>
      <c r="E100" s="21">
        <v>0.18584455055303958</v>
      </c>
      <c r="G100" s="22" t="s">
        <v>282</v>
      </c>
      <c r="H100" s="21">
        <v>1.464064537715719E-2</v>
      </c>
    </row>
    <row r="101" spans="4:8">
      <c r="D101" s="20" t="s">
        <v>287</v>
      </c>
      <c r="E101" s="21">
        <v>0.77941815026365513</v>
      </c>
      <c r="G101" s="22" t="s">
        <v>270</v>
      </c>
      <c r="H101" s="21">
        <v>6.354040093686221E-2</v>
      </c>
    </row>
    <row r="102" spans="4:8">
      <c r="D102" s="20" t="s">
        <v>315</v>
      </c>
      <c r="E102" s="21">
        <v>1.4100448853691574E-3</v>
      </c>
      <c r="G102" s="22" t="s">
        <v>271</v>
      </c>
      <c r="H102" s="21">
        <v>5.2340307223336956E-2</v>
      </c>
    </row>
    <row r="103" spans="4:8">
      <c r="D103" s="20" t="s">
        <v>133</v>
      </c>
      <c r="E103" s="21"/>
      <c r="G103" s="22" t="s">
        <v>272</v>
      </c>
      <c r="H103" s="21">
        <v>0.13176580828533341</v>
      </c>
    </row>
    <row r="104" spans="4:8">
      <c r="D104" s="20" t="s">
        <v>286</v>
      </c>
      <c r="E104" s="21">
        <v>0.25838857319063341</v>
      </c>
      <c r="G104" s="22" t="s">
        <v>273</v>
      </c>
      <c r="H104" s="21">
        <v>4.685006520690301E-3</v>
      </c>
    </row>
    <row r="105" spans="4:8">
      <c r="D105" s="20" t="s">
        <v>288</v>
      </c>
      <c r="E105" s="21">
        <v>0.25399912560783827</v>
      </c>
      <c r="G105" s="22" t="s">
        <v>274</v>
      </c>
      <c r="H105" s="21">
        <v>0.10670102306541517</v>
      </c>
    </row>
    <row r="106" spans="4:8">
      <c r="D106" s="20" t="s">
        <v>287</v>
      </c>
      <c r="E106" s="21">
        <v>0.17754066042676772</v>
      </c>
      <c r="G106" s="22" t="s">
        <v>275</v>
      </c>
      <c r="H106" s="21">
        <v>0.21712077050255266</v>
      </c>
    </row>
    <row r="107" spans="4:8">
      <c r="D107" s="20" t="s">
        <v>289</v>
      </c>
      <c r="E107" s="21">
        <v>0.31007164077476063</v>
      </c>
      <c r="G107" s="20" t="s">
        <v>302</v>
      </c>
      <c r="H107" s="21">
        <v>9.712914839484903E-3</v>
      </c>
    </row>
    <row r="108" spans="4:8">
      <c r="D108" s="20" t="s">
        <v>348</v>
      </c>
      <c r="E108" s="21">
        <v>3.3649308119375693E-2</v>
      </c>
      <c r="G108" s="20" t="s">
        <v>31</v>
      </c>
      <c r="H108" s="21"/>
    </row>
    <row r="109" spans="4:8">
      <c r="D109" s="20" t="s">
        <v>85</v>
      </c>
      <c r="E109" s="21"/>
      <c r="G109" s="22" t="s">
        <v>277</v>
      </c>
      <c r="H109" s="21">
        <v>5.3922198049279953E-2</v>
      </c>
    </row>
    <row r="110" spans="4:8">
      <c r="D110" s="20" t="s">
        <v>286</v>
      </c>
      <c r="E110" s="21">
        <v>0.4084127104803677</v>
      </c>
      <c r="G110" s="22" t="s">
        <v>278</v>
      </c>
      <c r="H110" s="21">
        <v>5.7773783624228525E-2</v>
      </c>
    </row>
    <row r="111" spans="4:8">
      <c r="D111" s="20" t="s">
        <v>288</v>
      </c>
      <c r="E111" s="21">
        <v>0.27323297040709493</v>
      </c>
      <c r="G111" s="22" t="s">
        <v>279</v>
      </c>
      <c r="H111" s="21">
        <v>3.9132109343526567E-2</v>
      </c>
    </row>
    <row r="112" spans="4:8">
      <c r="D112" s="20" t="s">
        <v>287</v>
      </c>
      <c r="E112" s="21">
        <v>8.4277899338318488E-2</v>
      </c>
      <c r="G112" s="22" t="s">
        <v>280</v>
      </c>
      <c r="H112" s="21">
        <v>0.1572730768784919</v>
      </c>
    </row>
    <row r="113" spans="4:8">
      <c r="D113" s="20" t="s">
        <v>289</v>
      </c>
      <c r="E113" s="21">
        <v>0.23407641977421892</v>
      </c>
      <c r="G113" s="22" t="s">
        <v>281</v>
      </c>
      <c r="H113" s="21">
        <v>0.24008216721816195</v>
      </c>
    </row>
    <row r="114" spans="4:8">
      <c r="D114" s="20" t="s">
        <v>340</v>
      </c>
      <c r="E114" s="21">
        <v>1.1787768243364655E-2</v>
      </c>
      <c r="G114" s="22" t="s">
        <v>270</v>
      </c>
      <c r="H114" s="21">
        <v>4.1083579313069801E-2</v>
      </c>
    </row>
    <row r="115" spans="4:8">
      <c r="D115" s="20" t="s">
        <v>35</v>
      </c>
      <c r="E115" s="21"/>
      <c r="G115" s="22" t="s">
        <v>271</v>
      </c>
      <c r="H115" s="21">
        <v>8.730260632723881E-2</v>
      </c>
    </row>
    <row r="116" spans="4:8">
      <c r="D116" s="20" t="s">
        <v>286</v>
      </c>
      <c r="E116" s="21">
        <v>0.12189995798633808</v>
      </c>
      <c r="G116" s="22" t="s">
        <v>272</v>
      </c>
      <c r="H116" s="21">
        <v>6.8814995559833281E-2</v>
      </c>
    </row>
    <row r="117" spans="4:8">
      <c r="D117" s="20" t="s">
        <v>288</v>
      </c>
      <c r="E117" s="21">
        <v>5.5975900249315404E-2</v>
      </c>
      <c r="G117" s="22" t="s">
        <v>273</v>
      </c>
      <c r="H117" s="21">
        <v>0.11852612670465325</v>
      </c>
    </row>
    <row r="118" spans="4:8">
      <c r="D118" s="20" t="s">
        <v>287</v>
      </c>
      <c r="E118" s="21">
        <v>0.32927000145734997</v>
      </c>
      <c r="G118" s="22" t="s">
        <v>274</v>
      </c>
      <c r="H118" s="21">
        <v>0.13608935698151609</v>
      </c>
    </row>
    <row r="119" spans="4:8">
      <c r="D119" s="20" t="s">
        <v>289</v>
      </c>
      <c r="E119" s="21">
        <v>0.49285414030699654</v>
      </c>
      <c r="G119" s="20" t="s">
        <v>313</v>
      </c>
      <c r="H119" s="21">
        <v>6.768800055366701E-3</v>
      </c>
    </row>
    <row r="120" spans="4:8">
      <c r="D120" s="20" t="s">
        <v>316</v>
      </c>
      <c r="E120" s="21">
        <v>5.6383624991644685E-3</v>
      </c>
      <c r="G120" s="20" t="s">
        <v>33</v>
      </c>
      <c r="H120" s="21"/>
    </row>
    <row r="121" spans="4:8">
      <c r="D121" s="20" t="s">
        <v>95</v>
      </c>
      <c r="E121" s="21"/>
      <c r="G121" s="22" t="s">
        <v>277</v>
      </c>
      <c r="H121" s="21">
        <v>0.11978231607653482</v>
      </c>
    </row>
    <row r="122" spans="4:8">
      <c r="D122" s="20" t="s">
        <v>286</v>
      </c>
      <c r="E122" s="21">
        <v>0.21663442983121706</v>
      </c>
      <c r="G122" s="22" t="s">
        <v>279</v>
      </c>
      <c r="H122" s="21">
        <v>7.9854877384356551E-2</v>
      </c>
    </row>
    <row r="123" spans="4:8">
      <c r="D123" s="20" t="s">
        <v>288</v>
      </c>
      <c r="E123" s="21">
        <v>0.15667311417210394</v>
      </c>
      <c r="G123" s="22" t="s">
        <v>280</v>
      </c>
      <c r="H123" s="21">
        <v>0.36932880790264905</v>
      </c>
    </row>
    <row r="124" spans="4:8">
      <c r="D124" s="20" t="s">
        <v>287</v>
      </c>
      <c r="E124" s="21">
        <v>7.7369439225434666E-3</v>
      </c>
      <c r="G124" s="22" t="s">
        <v>270</v>
      </c>
      <c r="H124" s="21">
        <v>0.19584081331469413</v>
      </c>
    </row>
    <row r="125" spans="4:8">
      <c r="D125" s="20" t="s">
        <v>289</v>
      </c>
      <c r="E125" s="21">
        <v>0.61895551207413557</v>
      </c>
      <c r="G125" s="22" t="s">
        <v>271</v>
      </c>
      <c r="H125" s="21">
        <v>0.11748672202969525</v>
      </c>
    </row>
    <row r="126" spans="4:8">
      <c r="D126" s="20" t="s">
        <v>368</v>
      </c>
      <c r="E126" s="21">
        <v>2.1238859065707298E-3</v>
      </c>
      <c r="G126" s="22" t="s">
        <v>273</v>
      </c>
      <c r="H126" s="21">
        <v>1.5970975476871312E-2</v>
      </c>
    </row>
    <row r="127" spans="4:8">
      <c r="D127" s="20" t="s">
        <v>71</v>
      </c>
      <c r="E127" s="21"/>
      <c r="G127" s="22" t="s">
        <v>275</v>
      </c>
      <c r="H127" s="21">
        <v>0.10173548781519898</v>
      </c>
    </row>
    <row r="128" spans="4:8">
      <c r="D128" s="20" t="s">
        <v>286</v>
      </c>
      <c r="E128" s="21">
        <v>0.15145309048331285</v>
      </c>
      <c r="G128" s="20" t="s">
        <v>314</v>
      </c>
      <c r="H128" s="21">
        <v>4.2243872685990801E-3</v>
      </c>
    </row>
    <row r="129" spans="4:8">
      <c r="D129" s="20" t="s">
        <v>288</v>
      </c>
      <c r="E129" s="21">
        <v>0.24666073902373289</v>
      </c>
      <c r="G129" s="20" t="s">
        <v>117</v>
      </c>
      <c r="H129" s="21"/>
    </row>
    <row r="130" spans="4:8">
      <c r="D130" s="20" t="s">
        <v>287</v>
      </c>
      <c r="E130" s="21">
        <v>0.11276062200337035</v>
      </c>
      <c r="G130" s="22" t="s">
        <v>277</v>
      </c>
      <c r="H130" s="21">
        <v>0.50675360848384654</v>
      </c>
    </row>
    <row r="131" spans="4:8">
      <c r="D131" s="20" t="s">
        <v>289</v>
      </c>
      <c r="E131" s="21">
        <v>0.48912554848958395</v>
      </c>
      <c r="G131" s="22" t="s">
        <v>278</v>
      </c>
      <c r="H131" s="21">
        <v>0.1006054963408462</v>
      </c>
    </row>
    <row r="132" spans="4:8">
      <c r="D132" s="20" t="s">
        <v>304</v>
      </c>
      <c r="E132" s="21">
        <v>3.5585319721288741E-3</v>
      </c>
      <c r="G132" s="22" t="s">
        <v>280</v>
      </c>
      <c r="H132" s="21">
        <v>0.11877037698840154</v>
      </c>
    </row>
    <row r="133" spans="4:8">
      <c r="D133" s="20" t="s">
        <v>157</v>
      </c>
      <c r="E133" s="21"/>
      <c r="G133" s="22" t="s">
        <v>270</v>
      </c>
      <c r="H133" s="21">
        <v>5.0302748170423101E-2</v>
      </c>
    </row>
    <row r="134" spans="4:8">
      <c r="D134" s="20" t="s">
        <v>286</v>
      </c>
      <c r="E134" s="21">
        <v>0.45210086786864773</v>
      </c>
      <c r="G134" s="22" t="s">
        <v>273</v>
      </c>
      <c r="H134" s="21">
        <v>0.22356777001648259</v>
      </c>
    </row>
    <row r="135" spans="4:8">
      <c r="D135" s="20" t="s">
        <v>288</v>
      </c>
      <c r="E135" s="21">
        <v>0.17407425636959312</v>
      </c>
      <c r="G135" s="20" t="s">
        <v>324</v>
      </c>
      <c r="H135" s="21">
        <v>1.0813082804645841E-3</v>
      </c>
    </row>
    <row r="136" spans="4:8">
      <c r="D136" s="20" t="s">
        <v>287</v>
      </c>
      <c r="E136" s="21">
        <v>0.22009483021497944</v>
      </c>
      <c r="G136" s="20" t="s">
        <v>97</v>
      </c>
      <c r="H136" s="21"/>
    </row>
    <row r="137" spans="4:8">
      <c r="D137" s="20" t="s">
        <v>289</v>
      </c>
      <c r="E137" s="21">
        <v>0.15373004554677971</v>
      </c>
      <c r="G137" s="22" t="s">
        <v>277</v>
      </c>
      <c r="H137" s="21">
        <v>0.26063621616504606</v>
      </c>
    </row>
    <row r="138" spans="4:8">
      <c r="D138" s="20" t="s">
        <v>341</v>
      </c>
      <c r="E138" s="21">
        <v>1.7334871744784257E-2</v>
      </c>
      <c r="G138" s="22" t="s">
        <v>278</v>
      </c>
      <c r="H138" s="21">
        <v>0.18076442858227046</v>
      </c>
    </row>
    <row r="139" spans="4:8">
      <c r="D139" s="20" t="s">
        <v>109</v>
      </c>
      <c r="E139" s="21"/>
      <c r="G139" s="22" t="s">
        <v>279</v>
      </c>
      <c r="H139" s="21">
        <v>0.16585602217769496</v>
      </c>
    </row>
    <row r="140" spans="4:8">
      <c r="D140" s="20" t="s">
        <v>286</v>
      </c>
      <c r="E140" s="21">
        <v>0.30558862530905889</v>
      </c>
      <c r="G140" s="22" t="s">
        <v>280</v>
      </c>
      <c r="H140" s="21">
        <v>7.4542032439413472E-2</v>
      </c>
    </row>
    <row r="141" spans="4:8">
      <c r="D141" s="20" t="s">
        <v>288</v>
      </c>
      <c r="E141" s="21">
        <v>0.20987913929795063</v>
      </c>
      <c r="G141" s="22" t="s">
        <v>281</v>
      </c>
      <c r="H141" s="21">
        <v>6.2615307237999684E-2</v>
      </c>
    </row>
    <row r="142" spans="4:8">
      <c r="D142" s="20" t="s">
        <v>287</v>
      </c>
      <c r="E142" s="21">
        <v>0.20183552858413087</v>
      </c>
      <c r="G142" s="22" t="s">
        <v>270</v>
      </c>
      <c r="H142" s="21">
        <v>2.6555599035714247E-2</v>
      </c>
    </row>
    <row r="143" spans="4:8">
      <c r="D143" s="20" t="s">
        <v>289</v>
      </c>
      <c r="E143" s="21">
        <v>0.28269670680885967</v>
      </c>
      <c r="G143" s="22" t="s">
        <v>272</v>
      </c>
      <c r="H143" s="21">
        <v>2.515793590664844E-2</v>
      </c>
    </row>
    <row r="144" spans="4:8">
      <c r="D144" s="20" t="s">
        <v>317</v>
      </c>
      <c r="E144" s="21">
        <v>7.8337806346621269E-3</v>
      </c>
      <c r="G144" s="22" t="s">
        <v>273</v>
      </c>
      <c r="H144" s="21">
        <v>2.8325972304761863E-2</v>
      </c>
    </row>
    <row r="145" spans="4:8">
      <c r="D145" s="20" t="s">
        <v>75</v>
      </c>
      <c r="E145" s="21"/>
      <c r="G145" s="22" t="s">
        <v>274</v>
      </c>
      <c r="H145" s="21">
        <v>0.10286800452202276</v>
      </c>
    </row>
    <row r="146" spans="4:8">
      <c r="D146" s="20" t="s">
        <v>286</v>
      </c>
      <c r="E146" s="21">
        <v>0.31504622280426742</v>
      </c>
      <c r="G146" s="22" t="s">
        <v>275</v>
      </c>
      <c r="H146" s="21">
        <v>7.2678481628428132E-2</v>
      </c>
    </row>
    <row r="147" spans="4:8">
      <c r="D147" s="20" t="s">
        <v>288</v>
      </c>
      <c r="E147" s="21">
        <v>0.19037747477621131</v>
      </c>
      <c r="G147" s="20" t="s">
        <v>303</v>
      </c>
      <c r="H147" s="21">
        <v>0.11170604563822059</v>
      </c>
    </row>
    <row r="148" spans="4:8">
      <c r="D148" s="20" t="s">
        <v>287</v>
      </c>
      <c r="E148" s="21">
        <v>0.12744277175542087</v>
      </c>
      <c r="G148" s="20" t="s">
        <v>136</v>
      </c>
      <c r="H148" s="21"/>
    </row>
    <row r="149" spans="4:8">
      <c r="D149" s="20" t="s">
        <v>289</v>
      </c>
      <c r="E149" s="21">
        <v>0.36713353066410043</v>
      </c>
      <c r="G149" s="22" t="s">
        <v>277</v>
      </c>
      <c r="H149" s="21">
        <v>0.18247353008829337</v>
      </c>
    </row>
    <row r="150" spans="4:8">
      <c r="D150" s="20" t="s">
        <v>325</v>
      </c>
      <c r="E150" s="21">
        <v>1.5681192632688766E-2</v>
      </c>
      <c r="G150" s="22" t="s">
        <v>278</v>
      </c>
      <c r="H150" s="21">
        <v>9.0560937143741208E-2</v>
      </c>
    </row>
    <row r="151" spans="4:8">
      <c r="D151" s="20" t="s">
        <v>67</v>
      </c>
      <c r="E151" s="21"/>
      <c r="G151" s="22" t="s">
        <v>279</v>
      </c>
      <c r="H151" s="21">
        <v>5.4066231025376332E-2</v>
      </c>
    </row>
    <row r="152" spans="4:8">
      <c r="D152" s="20" t="s">
        <v>286</v>
      </c>
      <c r="E152" s="21">
        <v>2.948460903439511E-2</v>
      </c>
      <c r="G152" s="22" t="s">
        <v>280</v>
      </c>
      <c r="H152" s="21">
        <v>8.5604866041944699E-2</v>
      </c>
    </row>
    <row r="153" spans="4:8">
      <c r="D153" s="20" t="s">
        <v>288</v>
      </c>
      <c r="E153" s="21">
        <v>0.14447458426853604</v>
      </c>
      <c r="G153" s="22" t="s">
        <v>281</v>
      </c>
      <c r="H153" s="21">
        <v>4.5055192688990615E-2</v>
      </c>
    </row>
    <row r="154" spans="4:8">
      <c r="D154" s="20" t="s">
        <v>287</v>
      </c>
      <c r="E154" s="21">
        <v>0.47930180445258241</v>
      </c>
      <c r="G154" s="22" t="s">
        <v>270</v>
      </c>
      <c r="H154" s="21">
        <v>6.7582789033485927E-2</v>
      </c>
    </row>
    <row r="155" spans="4:8">
      <c r="D155" s="20" t="s">
        <v>289</v>
      </c>
      <c r="E155" s="21">
        <v>0.34673900224448645</v>
      </c>
      <c r="G155" s="22" t="s">
        <v>271</v>
      </c>
      <c r="H155" s="21">
        <v>1.3516557806697185E-2</v>
      </c>
    </row>
    <row r="156" spans="4:8">
      <c r="D156" s="20" t="s">
        <v>349</v>
      </c>
      <c r="E156" s="21">
        <v>5.6267966282723819E-3</v>
      </c>
      <c r="G156" s="22" t="s">
        <v>272</v>
      </c>
      <c r="H156" s="21">
        <v>0.20455057439847882</v>
      </c>
    </row>
    <row r="157" spans="4:8">
      <c r="D157" s="20" t="s">
        <v>43</v>
      </c>
      <c r="E157" s="21"/>
      <c r="G157" s="22" t="s">
        <v>273</v>
      </c>
      <c r="H157" s="21">
        <v>0.11421491330546128</v>
      </c>
    </row>
    <row r="158" spans="4:8">
      <c r="D158" s="20" t="s">
        <v>286</v>
      </c>
      <c r="E158" s="21">
        <v>0.2305612504893147</v>
      </c>
      <c r="G158" s="22" t="s">
        <v>275</v>
      </c>
      <c r="H158" s="21">
        <v>0.14237440846753055</v>
      </c>
    </row>
    <row r="159" spans="4:8">
      <c r="D159" s="20" t="s">
        <v>288</v>
      </c>
      <c r="E159" s="21">
        <v>6.4771072757562165E-2</v>
      </c>
      <c r="G159" s="20" t="s">
        <v>367</v>
      </c>
      <c r="H159" s="21">
        <v>4.646632436666717E-3</v>
      </c>
    </row>
    <row r="160" spans="4:8">
      <c r="D160" s="20" t="s">
        <v>287</v>
      </c>
      <c r="E160" s="21">
        <v>0.24681344165134028</v>
      </c>
      <c r="G160" s="20" t="s">
        <v>125</v>
      </c>
      <c r="H160" s="21"/>
    </row>
    <row r="161" spans="4:8">
      <c r="D161" s="20" t="s">
        <v>289</v>
      </c>
      <c r="E161" s="21">
        <v>0.4578542351017828</v>
      </c>
      <c r="G161" s="22" t="s">
        <v>277</v>
      </c>
      <c r="H161" s="21">
        <v>6.0625744329467893E-2</v>
      </c>
    </row>
    <row r="162" spans="4:8">
      <c r="D162" s="20" t="s">
        <v>369</v>
      </c>
      <c r="E162" s="21">
        <v>1.6485585980356637E-2</v>
      </c>
      <c r="G162" s="22" t="s">
        <v>278</v>
      </c>
      <c r="H162" s="21">
        <v>8.682472663911478E-2</v>
      </c>
    </row>
    <row r="163" spans="4:8">
      <c r="D163" s="20" t="s">
        <v>93</v>
      </c>
      <c r="E163" s="21"/>
      <c r="G163" s="22" t="s">
        <v>279</v>
      </c>
      <c r="H163" s="21">
        <v>0.11453935225694251</v>
      </c>
    </row>
    <row r="164" spans="4:8">
      <c r="D164" s="20" t="s">
        <v>286</v>
      </c>
      <c r="E164" s="21">
        <v>0.22254849355318368</v>
      </c>
      <c r="G164" s="22" t="s">
        <v>280</v>
      </c>
      <c r="H164" s="21">
        <v>7.1451770102587159E-2</v>
      </c>
    </row>
    <row r="165" spans="4:8">
      <c r="D165" s="20" t="s">
        <v>288</v>
      </c>
      <c r="E165" s="21">
        <v>0.29152666811474132</v>
      </c>
      <c r="G165" s="22" t="s">
        <v>281</v>
      </c>
      <c r="H165" s="21">
        <v>4.3304103092477063E-3</v>
      </c>
    </row>
    <row r="166" spans="4:8">
      <c r="D166" s="20" t="s">
        <v>287</v>
      </c>
      <c r="E166" s="21">
        <v>0.27931501839703593</v>
      </c>
      <c r="G166" s="22" t="s">
        <v>282</v>
      </c>
      <c r="H166" s="21">
        <v>0.21652051546238532</v>
      </c>
    </row>
    <row r="167" spans="4:8">
      <c r="D167" s="20" t="s">
        <v>289</v>
      </c>
      <c r="E167" s="21">
        <v>0.20660981993503905</v>
      </c>
      <c r="G167" s="22" t="s">
        <v>270</v>
      </c>
      <c r="H167" s="21">
        <v>5.9326621185071066E-2</v>
      </c>
    </row>
    <row r="168" spans="4:8">
      <c r="D168" s="20" t="s">
        <v>370</v>
      </c>
      <c r="E168" s="21">
        <v>1.0632433252497759E-2</v>
      </c>
      <c r="G168" s="22" t="s">
        <v>271</v>
      </c>
      <c r="H168" s="21">
        <v>1.0826025773119266E-2</v>
      </c>
    </row>
    <row r="169" spans="4:8">
      <c r="D169" s="20" t="s">
        <v>107</v>
      </c>
      <c r="E169" s="21"/>
      <c r="G169" s="22" t="s">
        <v>272</v>
      </c>
      <c r="H169" s="21">
        <v>1.948684639161468E-2</v>
      </c>
    </row>
    <row r="170" spans="4:8">
      <c r="D170" s="20" t="s">
        <v>286</v>
      </c>
      <c r="E170" s="21">
        <v>0.22856584241975211</v>
      </c>
      <c r="G170" s="22" t="s">
        <v>273</v>
      </c>
      <c r="H170" s="21">
        <v>5.7161416082069726E-2</v>
      </c>
    </row>
    <row r="171" spans="4:8">
      <c r="D171" s="20" t="s">
        <v>288</v>
      </c>
      <c r="E171" s="21">
        <v>0.35653534032358081</v>
      </c>
      <c r="G171" s="22" t="s">
        <v>274</v>
      </c>
      <c r="H171" s="21">
        <v>0.22301613092625688</v>
      </c>
    </row>
    <row r="172" spans="4:8">
      <c r="D172" s="20" t="s">
        <v>287</v>
      </c>
      <c r="E172" s="21">
        <v>0.20099716514578836</v>
      </c>
      <c r="G172" s="22" t="s">
        <v>275</v>
      </c>
      <c r="H172" s="21">
        <v>7.5890440542122975E-2</v>
      </c>
    </row>
    <row r="173" spans="4:8">
      <c r="D173" s="20" t="s">
        <v>289</v>
      </c>
      <c r="E173" s="21">
        <v>0.21390165211087878</v>
      </c>
      <c r="G173" s="20" t="s">
        <v>347</v>
      </c>
      <c r="H173" s="21">
        <v>2.5540905188032896E-3</v>
      </c>
    </row>
    <row r="174" spans="4:8">
      <c r="D174" s="20" t="s">
        <v>305</v>
      </c>
      <c r="E174" s="21">
        <v>1.8586529758283666E-2</v>
      </c>
      <c r="G174" s="20" t="s">
        <v>161</v>
      </c>
      <c r="H174" s="21"/>
    </row>
    <row r="175" spans="4:8">
      <c r="D175" s="20" t="s">
        <v>103</v>
      </c>
      <c r="E175" s="21"/>
      <c r="G175" s="22" t="s">
        <v>277</v>
      </c>
      <c r="H175" s="21">
        <v>0.11436740520369414</v>
      </c>
    </row>
    <row r="176" spans="4:8">
      <c r="D176" s="20" t="s">
        <v>286</v>
      </c>
      <c r="E176" s="21">
        <v>0.23754182589759118</v>
      </c>
      <c r="G176" s="22" t="s">
        <v>278</v>
      </c>
      <c r="H176" s="21">
        <v>0.13262220278176912</v>
      </c>
    </row>
    <row r="177" spans="4:8">
      <c r="D177" s="20" t="s">
        <v>288</v>
      </c>
      <c r="E177" s="21">
        <v>0.33213196012024115</v>
      </c>
      <c r="G177" s="22" t="s">
        <v>279</v>
      </c>
      <c r="H177" s="21">
        <v>3.9423764259754746E-2</v>
      </c>
    </row>
    <row r="178" spans="4:8">
      <c r="D178" s="20" t="s">
        <v>287</v>
      </c>
      <c r="E178" s="21">
        <v>0.22955596804929421</v>
      </c>
      <c r="G178" s="22" t="s">
        <v>280</v>
      </c>
      <c r="H178" s="21">
        <v>0.21333919845551019</v>
      </c>
    </row>
    <row r="179" spans="4:8">
      <c r="D179" s="20" t="s">
        <v>289</v>
      </c>
      <c r="E179" s="21">
        <v>0.20077024593287329</v>
      </c>
      <c r="G179" s="22" t="s">
        <v>281</v>
      </c>
      <c r="H179" s="21">
        <v>8.907461366117142E-3</v>
      </c>
    </row>
    <row r="180" spans="4:8">
      <c r="D180" s="20" t="s">
        <v>371</v>
      </c>
      <c r="E180" s="21">
        <v>6.8576336985712825E-3</v>
      </c>
      <c r="G180" s="22" t="s">
        <v>270</v>
      </c>
      <c r="H180" s="21">
        <v>4.1238247109054757E-2</v>
      </c>
    </row>
    <row r="181" spans="4:8">
      <c r="D181" s="20" t="s">
        <v>49</v>
      </c>
      <c r="E181" s="21"/>
      <c r="G181" s="22" t="s">
        <v>271</v>
      </c>
      <c r="H181" s="21">
        <v>8.0826964381923952E-2</v>
      </c>
    </row>
    <row r="182" spans="4:8">
      <c r="D182" s="20" t="s">
        <v>286</v>
      </c>
      <c r="E182" s="21">
        <v>9.071775892234038E-2</v>
      </c>
      <c r="G182" s="22" t="s">
        <v>272</v>
      </c>
      <c r="H182" s="21">
        <v>2.9911475208380514E-2</v>
      </c>
    </row>
    <row r="183" spans="4:8">
      <c r="D183" s="20" t="s">
        <v>288</v>
      </c>
      <c r="E183" s="21">
        <v>0.28122505306119039</v>
      </c>
      <c r="G183" s="22" t="s">
        <v>273</v>
      </c>
      <c r="H183" s="21">
        <v>0.1713311703777049</v>
      </c>
    </row>
    <row r="184" spans="4:8">
      <c r="D184" s="20" t="s">
        <v>287</v>
      </c>
      <c r="E184" s="21">
        <v>0.12174323253030406</v>
      </c>
      <c r="G184" s="22" t="s">
        <v>274</v>
      </c>
      <c r="H184" s="21">
        <v>4.3987463609210312E-3</v>
      </c>
    </row>
    <row r="185" spans="4:8">
      <c r="D185" s="20" t="s">
        <v>289</v>
      </c>
      <c r="E185" s="21">
        <v>0.5063139554861652</v>
      </c>
      <c r="G185" s="22" t="s">
        <v>275</v>
      </c>
      <c r="H185" s="21">
        <v>0.16363336449516949</v>
      </c>
    </row>
    <row r="186" spans="4:8">
      <c r="D186" s="20" t="s">
        <v>372</v>
      </c>
      <c r="E186" s="21">
        <v>3.9188396849379357E-3</v>
      </c>
      <c r="G186" s="20" t="s">
        <v>338</v>
      </c>
      <c r="H186" s="21">
        <v>1.5445672706739582E-2</v>
      </c>
    </row>
    <row r="187" spans="4:8">
      <c r="D187" s="20" t="s">
        <v>168</v>
      </c>
      <c r="E187" s="21"/>
      <c r="G187" s="20" t="s">
        <v>89</v>
      </c>
      <c r="H187" s="21"/>
    </row>
    <row r="188" spans="4:8">
      <c r="D188" s="20" t="s">
        <v>286</v>
      </c>
      <c r="E188" s="21">
        <v>0.19775463126341825</v>
      </c>
      <c r="G188" s="22" t="s">
        <v>277</v>
      </c>
      <c r="H188" s="21">
        <v>0.22692453553953501</v>
      </c>
    </row>
    <row r="189" spans="4:8">
      <c r="D189" s="20" t="s">
        <v>288</v>
      </c>
      <c r="E189" s="21">
        <v>0.272619292343734</v>
      </c>
      <c r="G189" s="22" t="s">
        <v>278</v>
      </c>
      <c r="H189" s="21">
        <v>0.11042851723990886</v>
      </c>
    </row>
    <row r="190" spans="4:8">
      <c r="D190" s="20" t="s">
        <v>287</v>
      </c>
      <c r="E190" s="21">
        <v>0.19698942430303859</v>
      </c>
      <c r="G190" s="22" t="s">
        <v>279</v>
      </c>
      <c r="H190" s="21">
        <v>4.6795601069346722E-2</v>
      </c>
    </row>
    <row r="191" spans="4:8">
      <c r="D191" s="20" t="s">
        <v>289</v>
      </c>
      <c r="E191" s="21">
        <v>0.33263665208980919</v>
      </c>
      <c r="G191" s="22" t="s">
        <v>280</v>
      </c>
      <c r="H191" s="21">
        <v>0.10405764116879558</v>
      </c>
    </row>
    <row r="192" spans="4:8">
      <c r="D192" s="20" t="s">
        <v>306</v>
      </c>
      <c r="E192" s="21">
        <v>1.2451040178376399E-2</v>
      </c>
      <c r="G192" s="22" t="s">
        <v>281</v>
      </c>
      <c r="H192" s="21">
        <v>7.7967387187036663E-2</v>
      </c>
    </row>
    <row r="193" spans="4:8">
      <c r="D193" s="20" t="s">
        <v>154</v>
      </c>
      <c r="E193" s="21"/>
      <c r="G193" s="22" t="s">
        <v>282</v>
      </c>
      <c r="H193" s="21">
        <v>4.8540007564569027E-2</v>
      </c>
    </row>
    <row r="194" spans="4:8">
      <c r="D194" s="20" t="s">
        <v>286</v>
      </c>
      <c r="E194" s="21">
        <v>1.7523364517705982E-2</v>
      </c>
      <c r="G194" s="22" t="s">
        <v>270</v>
      </c>
      <c r="H194" s="21">
        <v>0.11922639361466002</v>
      </c>
    </row>
    <row r="195" spans="4:8">
      <c r="D195" s="20" t="s">
        <v>288</v>
      </c>
      <c r="E195" s="21">
        <v>0.33294392583641369</v>
      </c>
      <c r="G195" s="22" t="s">
        <v>271</v>
      </c>
      <c r="H195" s="21">
        <v>8.221463786645393E-2</v>
      </c>
    </row>
    <row r="196" spans="4:8">
      <c r="D196" s="20" t="s">
        <v>287</v>
      </c>
      <c r="E196" s="21">
        <v>0.16355140216525585</v>
      </c>
      <c r="G196" s="22" t="s">
        <v>272</v>
      </c>
      <c r="H196" s="21">
        <v>0.10132726581307597</v>
      </c>
    </row>
    <row r="197" spans="4:8">
      <c r="D197" s="20" t="s">
        <v>289</v>
      </c>
      <c r="E197" s="21">
        <v>0.48598130748062446</v>
      </c>
      <c r="G197" s="22" t="s">
        <v>273</v>
      </c>
      <c r="H197" s="21">
        <v>9.7080015219550859E-3</v>
      </c>
    </row>
    <row r="198" spans="4:8">
      <c r="D198" s="20" t="s">
        <v>307</v>
      </c>
      <c r="E198" s="21">
        <v>1.89351649374218E-3</v>
      </c>
      <c r="G198" s="22" t="s">
        <v>275</v>
      </c>
      <c r="H198" s="21">
        <v>7.2810011414663145E-2</v>
      </c>
    </row>
    <row r="199" spans="4:8">
      <c r="D199" s="20" t="s">
        <v>165</v>
      </c>
      <c r="E199" s="21"/>
      <c r="G199" s="20" t="s">
        <v>339</v>
      </c>
      <c r="H199" s="21">
        <v>1.3020493471569297E-3</v>
      </c>
    </row>
    <row r="200" spans="4:8">
      <c r="D200" s="20" t="s">
        <v>286</v>
      </c>
      <c r="E200" s="21">
        <v>0.47708119198409282</v>
      </c>
      <c r="G200" s="20" t="s">
        <v>53</v>
      </c>
      <c r="H200" s="21"/>
    </row>
    <row r="201" spans="4:8">
      <c r="D201" s="20" t="s">
        <v>288</v>
      </c>
      <c r="E201" s="21">
        <v>8.2219938367281004E-2</v>
      </c>
      <c r="G201" s="22" t="s">
        <v>280</v>
      </c>
      <c r="H201" s="21">
        <v>9.9001302594776269E-2</v>
      </c>
    </row>
    <row r="202" spans="4:8">
      <c r="D202" s="20" t="s">
        <v>287</v>
      </c>
      <c r="E202" s="21">
        <v>0.15786228166517952</v>
      </c>
      <c r="G202" s="22" t="s">
        <v>282</v>
      </c>
      <c r="H202" s="21">
        <v>8.6843247958263314E-2</v>
      </c>
    </row>
    <row r="203" spans="4:8">
      <c r="D203" s="20" t="s">
        <v>289</v>
      </c>
      <c r="E203" s="21">
        <v>0.28283658798344663</v>
      </c>
      <c r="G203" s="22" t="s">
        <v>270</v>
      </c>
      <c r="H203" s="21">
        <v>0.20625271373911722</v>
      </c>
    </row>
    <row r="204" spans="4:8">
      <c r="D204" s="20" t="s">
        <v>360</v>
      </c>
      <c r="E204" s="21">
        <v>1.9217201591959353E-3</v>
      </c>
      <c r="G204" s="22" t="s">
        <v>271</v>
      </c>
      <c r="H204" s="21">
        <v>0.13894919673322131</v>
      </c>
    </row>
    <row r="205" spans="4:8">
      <c r="D205" s="20" t="s">
        <v>150</v>
      </c>
      <c r="E205" s="21"/>
      <c r="G205" s="22" t="s">
        <v>272</v>
      </c>
      <c r="H205" s="21">
        <v>0.43421623979131657</v>
      </c>
    </row>
    <row r="206" spans="4:8">
      <c r="D206" s="20" t="s">
        <v>286</v>
      </c>
      <c r="E206" s="21">
        <v>0.38713446907040466</v>
      </c>
      <c r="G206" s="22" t="s">
        <v>273</v>
      </c>
      <c r="H206" s="21">
        <v>3.4737299183305329E-2</v>
      </c>
    </row>
    <row r="207" spans="4:8">
      <c r="D207" s="20" t="s">
        <v>288</v>
      </c>
      <c r="E207" s="21">
        <v>0.23019252505324814</v>
      </c>
      <c r="G207" s="20" t="s">
        <v>315</v>
      </c>
      <c r="H207" s="21">
        <v>1.4100448853691574E-3</v>
      </c>
    </row>
    <row r="208" spans="4:8">
      <c r="D208" s="20" t="s">
        <v>287</v>
      </c>
      <c r="E208" s="21">
        <v>0.17155273023513895</v>
      </c>
      <c r="G208" s="20" t="s">
        <v>133</v>
      </c>
      <c r="H208" s="21"/>
    </row>
    <row r="209" spans="4:8">
      <c r="D209" s="20" t="s">
        <v>289</v>
      </c>
      <c r="E209" s="21">
        <v>0.21112027564120836</v>
      </c>
      <c r="G209" s="22" t="s">
        <v>277</v>
      </c>
      <c r="H209" s="21">
        <v>0.16505036271070667</v>
      </c>
    </row>
    <row r="210" spans="4:8">
      <c r="D210" s="20" t="s">
        <v>318</v>
      </c>
      <c r="E210" s="21">
        <v>1.0957470586576461E-2</v>
      </c>
      <c r="G210" s="22" t="s">
        <v>278</v>
      </c>
      <c r="H210" s="21">
        <v>8.84580727722106E-2</v>
      </c>
    </row>
    <row r="211" spans="4:8">
      <c r="D211" s="20" t="s">
        <v>152</v>
      </c>
      <c r="E211" s="21"/>
      <c r="G211" s="22" t="s">
        <v>279</v>
      </c>
      <c r="H211" s="21">
        <v>5.656320529184334E-2</v>
      </c>
    </row>
    <row r="212" spans="4:8">
      <c r="D212" s="20" t="s">
        <v>286</v>
      </c>
      <c r="E212" s="21">
        <v>0.2512562817833176</v>
      </c>
      <c r="G212" s="22" t="s">
        <v>280</v>
      </c>
      <c r="H212" s="21">
        <v>0.15184633379169604</v>
      </c>
    </row>
    <row r="213" spans="4:8">
      <c r="D213" s="20" t="s">
        <v>288</v>
      </c>
      <c r="E213" s="21">
        <v>0.16180904540855237</v>
      </c>
      <c r="G213" s="22" t="s">
        <v>281</v>
      </c>
      <c r="H213" s="21">
        <v>2.2750184985522965E-2</v>
      </c>
    </row>
    <row r="214" spans="4:8">
      <c r="D214" s="20" t="s">
        <v>287</v>
      </c>
      <c r="E214" s="21">
        <v>0.14070351779865786</v>
      </c>
      <c r="G214" s="22" t="s">
        <v>282</v>
      </c>
      <c r="H214" s="21">
        <v>7.9402606830619241E-2</v>
      </c>
    </row>
    <row r="215" spans="4:8">
      <c r="D215" s="20" t="s">
        <v>289</v>
      </c>
      <c r="E215" s="21">
        <v>0.44623115500947214</v>
      </c>
      <c r="G215" s="22" t="s">
        <v>270</v>
      </c>
      <c r="H215" s="21">
        <v>4.2467012257473825E-2</v>
      </c>
    </row>
    <row r="216" spans="4:8">
      <c r="D216" s="20" t="s">
        <v>319</v>
      </c>
      <c r="E216" s="21">
        <v>2.6726328022086241E-3</v>
      </c>
      <c r="G216" s="22" t="s">
        <v>271</v>
      </c>
      <c r="H216" s="21">
        <v>6.8696637456947915E-2</v>
      </c>
    </row>
    <row r="217" spans="4:8">
      <c r="D217" s="20" t="s">
        <v>123</v>
      </c>
      <c r="E217" s="21"/>
      <c r="G217" s="22" t="s">
        <v>272</v>
      </c>
      <c r="H217" s="21">
        <v>6.6377010712346002E-2</v>
      </c>
    </row>
    <row r="218" spans="4:8">
      <c r="D218" s="20" t="s">
        <v>286</v>
      </c>
      <c r="E218" s="21">
        <v>0.375083961724401</v>
      </c>
      <c r="G218" s="22" t="s">
        <v>273</v>
      </c>
      <c r="H218" s="21">
        <v>6.0328138013562849E-2</v>
      </c>
    </row>
    <row r="219" spans="4:8">
      <c r="D219" s="20" t="s">
        <v>288</v>
      </c>
      <c r="E219" s="21">
        <v>0.32577149727632526</v>
      </c>
      <c r="G219" s="22" t="s">
        <v>274</v>
      </c>
      <c r="H219" s="21">
        <v>9.1179173361013333E-2</v>
      </c>
    </row>
    <row r="220" spans="4:8">
      <c r="D220" s="20" t="s">
        <v>287</v>
      </c>
      <c r="E220" s="21">
        <v>0.14097965900537476</v>
      </c>
      <c r="G220" s="22" t="s">
        <v>275</v>
      </c>
      <c r="H220" s="21">
        <v>0.10688126181605724</v>
      </c>
    </row>
    <row r="221" spans="4:8">
      <c r="D221" s="20" t="s">
        <v>289</v>
      </c>
      <c r="E221" s="21">
        <v>0.15816488199389891</v>
      </c>
      <c r="G221" s="20" t="s">
        <v>348</v>
      </c>
      <c r="H221" s="21">
        <v>3.3649308119375693E-2</v>
      </c>
    </row>
    <row r="222" spans="4:8">
      <c r="D222" s="20" t="s">
        <v>361</v>
      </c>
      <c r="E222" s="21">
        <v>3.3038299855547799E-2</v>
      </c>
      <c r="G222" s="20" t="s">
        <v>85</v>
      </c>
      <c r="H222" s="21"/>
    </row>
    <row r="223" spans="4:8">
      <c r="D223" s="20" t="s">
        <v>87</v>
      </c>
      <c r="E223" s="21"/>
      <c r="G223" s="22" t="s">
        <v>277</v>
      </c>
      <c r="H223" s="21">
        <v>6.9282129966372411E-2</v>
      </c>
    </row>
    <row r="224" spans="4:8">
      <c r="D224" s="20" t="s">
        <v>286</v>
      </c>
      <c r="E224" s="21">
        <v>6.7928264158819723E-2</v>
      </c>
      <c r="G224" s="22" t="s">
        <v>278</v>
      </c>
      <c r="H224" s="21">
        <v>3.1130882109580923E-2</v>
      </c>
    </row>
    <row r="225" spans="4:8">
      <c r="D225" s="20" t="s">
        <v>288</v>
      </c>
      <c r="E225" s="21">
        <v>0.58885123536851847</v>
      </c>
      <c r="G225" s="22" t="s">
        <v>279</v>
      </c>
      <c r="H225" s="21">
        <v>0.13366340769826557</v>
      </c>
    </row>
    <row r="226" spans="4:8">
      <c r="D226" s="20" t="s">
        <v>287</v>
      </c>
      <c r="E226" s="21">
        <v>0.12428130827976122</v>
      </c>
      <c r="G226" s="22" t="s">
        <v>280</v>
      </c>
      <c r="H226" s="21">
        <v>2.5300124850073068E-2</v>
      </c>
    </row>
    <row r="227" spans="4:8">
      <c r="D227" s="20" t="s">
        <v>289</v>
      </c>
      <c r="E227" s="21">
        <v>0.2189391921929007</v>
      </c>
      <c r="G227" s="22" t="s">
        <v>281</v>
      </c>
      <c r="H227" s="21">
        <v>0.12294017599072041</v>
      </c>
    </row>
    <row r="228" spans="4:8">
      <c r="D228" s="20" t="s">
        <v>342</v>
      </c>
      <c r="E228" s="21">
        <v>6.6394424139679508E-3</v>
      </c>
      <c r="G228" s="22" t="s">
        <v>282</v>
      </c>
      <c r="H228" s="21">
        <v>0.12499266956630144</v>
      </c>
    </row>
    <row r="229" spans="4:8">
      <c r="D229" s="20" t="s">
        <v>119</v>
      </c>
      <c r="E229" s="21"/>
      <c r="G229" s="22" t="s">
        <v>270</v>
      </c>
      <c r="H229" s="21">
        <v>1.3404039660958864E-2</v>
      </c>
    </row>
    <row r="230" spans="4:8">
      <c r="D230" s="20" t="s">
        <v>286</v>
      </c>
      <c r="E230" s="21">
        <v>6.7931549227461932E-2</v>
      </c>
      <c r="G230" s="22" t="s">
        <v>271</v>
      </c>
      <c r="H230" s="21">
        <v>3.6358457572860825E-2</v>
      </c>
    </row>
    <row r="231" spans="4:8">
      <c r="D231" s="20" t="s">
        <v>288</v>
      </c>
      <c r="E231" s="21">
        <v>0.20119853767359577</v>
      </c>
      <c r="G231" s="22" t="s">
        <v>272</v>
      </c>
      <c r="H231" s="21">
        <v>3.4515402104498799E-2</v>
      </c>
    </row>
    <row r="232" spans="4:8">
      <c r="D232" s="20" t="s">
        <v>287</v>
      </c>
      <c r="E232" s="21">
        <v>0.23743590866590883</v>
      </c>
      <c r="G232" s="22" t="s">
        <v>273</v>
      </c>
      <c r="H232" s="21">
        <v>0.10475256978860756</v>
      </c>
    </row>
    <row r="233" spans="4:8">
      <c r="D233" s="20" t="s">
        <v>289</v>
      </c>
      <c r="E233" s="21">
        <v>0.49343400443303348</v>
      </c>
      <c r="G233" s="22" t="s">
        <v>274</v>
      </c>
      <c r="H233" s="21">
        <v>8.7168145383346829E-2</v>
      </c>
    </row>
    <row r="234" spans="4:8">
      <c r="D234" s="20" t="s">
        <v>326</v>
      </c>
      <c r="E234" s="21">
        <v>7.3034056228211712E-3</v>
      </c>
      <c r="G234" s="22" t="s">
        <v>275</v>
      </c>
      <c r="H234" s="21">
        <v>0.21649199530841329</v>
      </c>
    </row>
    <row r="235" spans="4:8">
      <c r="D235" s="20" t="s">
        <v>41</v>
      </c>
      <c r="E235" s="21"/>
      <c r="G235" s="20" t="s">
        <v>340</v>
      </c>
      <c r="H235" s="21">
        <v>1.1787768243364655E-2</v>
      </c>
    </row>
    <row r="236" spans="4:8">
      <c r="D236" s="20" t="s">
        <v>286</v>
      </c>
      <c r="E236" s="21">
        <v>8.0536912880546957E-2</v>
      </c>
      <c r="G236" s="20" t="s">
        <v>35</v>
      </c>
      <c r="H236" s="21"/>
    </row>
    <row r="237" spans="4:8">
      <c r="D237" s="20" t="s">
        <v>288</v>
      </c>
      <c r="E237" s="21">
        <v>0.18255033458247336</v>
      </c>
      <c r="G237" s="22" t="s">
        <v>277</v>
      </c>
      <c r="H237" s="21">
        <v>2.1017234135575529E-2</v>
      </c>
    </row>
    <row r="238" spans="4:8">
      <c r="D238" s="20" t="s">
        <v>287</v>
      </c>
      <c r="E238" s="21">
        <v>0.50335570550341846</v>
      </c>
      <c r="G238" s="22" t="s">
        <v>278</v>
      </c>
      <c r="H238" s="21">
        <v>0.16638643677614745</v>
      </c>
    </row>
    <row r="239" spans="4:8">
      <c r="D239" s="20" t="s">
        <v>289</v>
      </c>
      <c r="E239" s="21">
        <v>0.23355704703356123</v>
      </c>
      <c r="G239" s="22" t="s">
        <v>279</v>
      </c>
      <c r="H239" s="21">
        <v>0.30545046939527354</v>
      </c>
    </row>
    <row r="240" spans="4:8">
      <c r="D240" s="20" t="s">
        <v>355</v>
      </c>
      <c r="E240" s="21">
        <v>5.7090691525807152E-3</v>
      </c>
      <c r="G240" s="22" t="s">
        <v>281</v>
      </c>
      <c r="H240" s="21">
        <v>5.5975900249315404E-2</v>
      </c>
    </row>
    <row r="241" spans="4:8">
      <c r="D241" s="20" t="s">
        <v>162</v>
      </c>
      <c r="E241" s="21"/>
      <c r="G241" s="22" t="s">
        <v>271</v>
      </c>
      <c r="H241" s="21">
        <v>0.24520106491504787</v>
      </c>
    </row>
    <row r="242" spans="4:8">
      <c r="D242" s="20" t="s">
        <v>286</v>
      </c>
      <c r="E242" s="21">
        <v>0.28733705377614804</v>
      </c>
      <c r="G242" s="22" t="s">
        <v>272</v>
      </c>
      <c r="H242" s="21">
        <v>8.4068936542302117E-2</v>
      </c>
    </row>
    <row r="243" spans="4:8">
      <c r="D243" s="20" t="s">
        <v>288</v>
      </c>
      <c r="E243" s="21">
        <v>0.23195862846469387</v>
      </c>
      <c r="G243" s="22" t="s">
        <v>273</v>
      </c>
      <c r="H243" s="21">
        <v>1.6813787308460424E-2</v>
      </c>
    </row>
    <row r="244" spans="4:8">
      <c r="D244" s="20" t="s">
        <v>287</v>
      </c>
      <c r="E244" s="21">
        <v>0.21454506473354309</v>
      </c>
      <c r="G244" s="22" t="s">
        <v>274</v>
      </c>
      <c r="H244" s="21">
        <v>0.10508617067787765</v>
      </c>
    </row>
    <row r="245" spans="4:8">
      <c r="D245" s="20" t="s">
        <v>289</v>
      </c>
      <c r="E245" s="21">
        <v>0.26615925302561499</v>
      </c>
      <c r="G245" s="20" t="s">
        <v>316</v>
      </c>
      <c r="H245" s="21">
        <v>5.6383624991644685E-3</v>
      </c>
    </row>
    <row r="246" spans="4:8">
      <c r="D246" s="20" t="s">
        <v>343</v>
      </c>
      <c r="E246" s="21">
        <v>1.9671564965366119E-2</v>
      </c>
      <c r="G246" s="20" t="s">
        <v>95</v>
      </c>
      <c r="H246" s="21"/>
    </row>
    <row r="247" spans="4:8">
      <c r="D247" s="20" t="s">
        <v>83</v>
      </c>
      <c r="E247" s="21"/>
      <c r="G247" s="22" t="s">
        <v>277</v>
      </c>
      <c r="H247" s="21">
        <v>0.54158607284870086</v>
      </c>
    </row>
    <row r="248" spans="4:8">
      <c r="D248" s="20" t="s">
        <v>286</v>
      </c>
      <c r="E248" s="21">
        <v>0.28236548201554046</v>
      </c>
      <c r="G248" s="22" t="s">
        <v>279</v>
      </c>
      <c r="H248" s="21">
        <v>7.7369439225434655E-2</v>
      </c>
    </row>
    <row r="249" spans="4:8">
      <c r="D249" s="20" t="s">
        <v>288</v>
      </c>
      <c r="E249" s="21">
        <v>0.17164601455866166</v>
      </c>
      <c r="G249" s="22" t="s">
        <v>281</v>
      </c>
      <c r="H249" s="21">
        <v>0.15667311417210392</v>
      </c>
    </row>
    <row r="250" spans="4:8">
      <c r="D250" s="20" t="s">
        <v>287</v>
      </c>
      <c r="E250" s="21">
        <v>0.15481260618833417</v>
      </c>
      <c r="G250" s="22" t="s">
        <v>270</v>
      </c>
      <c r="H250" s="21">
        <v>7.7369439225434657E-3</v>
      </c>
    </row>
    <row r="251" spans="4:8">
      <c r="D251" s="20" t="s">
        <v>289</v>
      </c>
      <c r="E251" s="21">
        <v>0.39117589723746365</v>
      </c>
      <c r="G251" s="22" t="s">
        <v>273</v>
      </c>
      <c r="H251" s="21">
        <v>0.21663442983121703</v>
      </c>
    </row>
    <row r="252" spans="4:8">
      <c r="D252" s="20" t="s">
        <v>373</v>
      </c>
      <c r="E252" s="21">
        <v>1.0605365243556521E-2</v>
      </c>
      <c r="G252" s="20" t="s">
        <v>368</v>
      </c>
      <c r="H252" s="21">
        <v>2.1238859065707302E-3</v>
      </c>
    </row>
    <row r="253" spans="4:8">
      <c r="D253" s="20" t="s">
        <v>39</v>
      </c>
      <c r="E253" s="21"/>
      <c r="G253" s="20" t="s">
        <v>71</v>
      </c>
      <c r="H253" s="21"/>
    </row>
    <row r="254" spans="4:8">
      <c r="D254" s="20" t="s">
        <v>286</v>
      </c>
      <c r="E254" s="21">
        <v>0.53867835908763928</v>
      </c>
      <c r="G254" s="22" t="s">
        <v>277</v>
      </c>
      <c r="H254" s="21">
        <v>2.9970928220651973E-2</v>
      </c>
    </row>
    <row r="255" spans="4:8">
      <c r="D255" s="20" t="s">
        <v>288</v>
      </c>
      <c r="E255" s="21">
        <v>0.20137801438155048</v>
      </c>
      <c r="G255" s="22" t="s">
        <v>278</v>
      </c>
      <c r="H255" s="21">
        <v>0.15874601645156786</v>
      </c>
    </row>
    <row r="256" spans="4:8">
      <c r="D256" s="20" t="s">
        <v>289</v>
      </c>
      <c r="E256" s="21">
        <v>0.25994362653081027</v>
      </c>
      <c r="G256" s="22" t="s">
        <v>279</v>
      </c>
      <c r="H256" s="21">
        <v>0.30040860381736406</v>
      </c>
    </row>
    <row r="257" spans="4:8">
      <c r="D257" s="20" t="s">
        <v>320</v>
      </c>
      <c r="E257" s="21">
        <v>1.0090117106691167E-2</v>
      </c>
      <c r="G257" s="22" t="s">
        <v>280</v>
      </c>
      <c r="H257" s="21">
        <v>0.15834640400979091</v>
      </c>
    </row>
    <row r="258" spans="4:8">
      <c r="D258" s="20" t="s">
        <v>73</v>
      </c>
      <c r="E258" s="21"/>
      <c r="G258" s="22" t="s">
        <v>281</v>
      </c>
      <c r="H258" s="21">
        <v>5.1450093393349029E-2</v>
      </c>
    </row>
    <row r="259" spans="4:8">
      <c r="D259" s="20" t="s">
        <v>286</v>
      </c>
      <c r="E259" s="21">
        <v>0.39644746820553461</v>
      </c>
      <c r="G259" s="22" t="s">
        <v>282</v>
      </c>
      <c r="H259" s="21">
        <v>3.686424162059293E-2</v>
      </c>
    </row>
    <row r="260" spans="4:8">
      <c r="D260" s="20" t="s">
        <v>288</v>
      </c>
      <c r="E260" s="21">
        <v>0.29024943314220431</v>
      </c>
      <c r="G260" s="22" t="s">
        <v>270</v>
      </c>
      <c r="H260" s="21">
        <v>6.0541274830053678E-2</v>
      </c>
    </row>
    <row r="261" spans="4:8">
      <c r="D261" s="20" t="s">
        <v>289</v>
      </c>
      <c r="E261" s="21">
        <v>0.31330309865226108</v>
      </c>
      <c r="G261" s="22" t="s">
        <v>271</v>
      </c>
      <c r="H261" s="21">
        <v>5.2219347173316666E-2</v>
      </c>
    </row>
    <row r="262" spans="4:8">
      <c r="D262" s="20" t="s">
        <v>327</v>
      </c>
      <c r="E262" s="21">
        <v>2.9265447703356109E-3</v>
      </c>
      <c r="G262" s="22" t="s">
        <v>273</v>
      </c>
      <c r="H262" s="21">
        <v>5.4946701737861953E-2</v>
      </c>
    </row>
    <row r="263" spans="4:8">
      <c r="D263" s="20" t="s">
        <v>170</v>
      </c>
      <c r="E263" s="21"/>
      <c r="G263" s="22" t="s">
        <v>274</v>
      </c>
      <c r="H263" s="21">
        <v>3.5565501482552317E-2</v>
      </c>
    </row>
    <row r="264" spans="4:8">
      <c r="D264" s="20" t="s">
        <v>286</v>
      </c>
      <c r="E264" s="21">
        <v>8.5186602653590959E-2</v>
      </c>
      <c r="G264" s="22" t="s">
        <v>275</v>
      </c>
      <c r="H264" s="21">
        <v>6.0940887262898577E-2</v>
      </c>
    </row>
    <row r="265" spans="4:8">
      <c r="D265" s="20" t="s">
        <v>288</v>
      </c>
      <c r="E265" s="21">
        <v>0.22005357814378074</v>
      </c>
      <c r="G265" s="20" t="s">
        <v>304</v>
      </c>
      <c r="H265" s="21">
        <v>3.5585319721288741E-3</v>
      </c>
    </row>
    <row r="266" spans="4:8">
      <c r="D266" s="20" t="s">
        <v>287</v>
      </c>
      <c r="E266" s="21">
        <v>0.28787685510068722</v>
      </c>
      <c r="G266" s="20" t="s">
        <v>157</v>
      </c>
      <c r="H266" s="21"/>
    </row>
    <row r="267" spans="4:8">
      <c r="D267" s="20" t="s">
        <v>289</v>
      </c>
      <c r="E267" s="21">
        <v>0.40688296410194114</v>
      </c>
      <c r="G267" s="22" t="s">
        <v>277</v>
      </c>
      <c r="H267" s="21">
        <v>4.4626011091080414E-2</v>
      </c>
    </row>
    <row r="268" spans="4:8">
      <c r="D268" s="20" t="s">
        <v>321</v>
      </c>
      <c r="E268" s="21">
        <v>7.2457579685667453E-3</v>
      </c>
      <c r="G268" s="22" t="s">
        <v>278</v>
      </c>
      <c r="H268" s="21">
        <v>7.7931453165179659E-2</v>
      </c>
    </row>
    <row r="269" spans="4:8">
      <c r="D269" s="20" t="s">
        <v>159</v>
      </c>
      <c r="E269" s="21"/>
      <c r="G269" s="22" t="s">
        <v>279</v>
      </c>
      <c r="H269" s="21">
        <v>3.1172581290519634E-2</v>
      </c>
    </row>
    <row r="270" spans="4:8">
      <c r="D270" s="20" t="s">
        <v>286</v>
      </c>
      <c r="E270" s="21">
        <v>0.31889924255780044</v>
      </c>
      <c r="G270" s="22" t="s">
        <v>280</v>
      </c>
      <c r="H270" s="21">
        <v>0.11419008714612278</v>
      </c>
    </row>
    <row r="271" spans="4:8">
      <c r="D271" s="20" t="s">
        <v>288</v>
      </c>
      <c r="E271" s="21">
        <v>0.12396171519594472</v>
      </c>
      <c r="G271" s="22" t="s">
        <v>281</v>
      </c>
      <c r="H271" s="21">
        <v>4.5938540849186825E-2</v>
      </c>
    </row>
    <row r="272" spans="4:8">
      <c r="D272" s="20" t="s">
        <v>287</v>
      </c>
      <c r="E272" s="21">
        <v>0.21939255966561261</v>
      </c>
      <c r="G272" s="22" t="s">
        <v>282</v>
      </c>
      <c r="H272" s="21">
        <v>1.3945628374283486E-2</v>
      </c>
    </row>
    <row r="273" spans="4:8">
      <c r="D273" s="20" t="s">
        <v>289</v>
      </c>
      <c r="E273" s="21">
        <v>0.33774648258064222</v>
      </c>
      <c r="G273" s="22" t="s">
        <v>270</v>
      </c>
      <c r="H273" s="21">
        <v>0.10623287561595346</v>
      </c>
    </row>
    <row r="274" spans="4:8">
      <c r="D274" s="20" t="s">
        <v>308</v>
      </c>
      <c r="E274" s="21">
        <v>8.4315916312121802E-3</v>
      </c>
      <c r="G274" s="22" t="s">
        <v>271</v>
      </c>
      <c r="H274" s="21">
        <v>2.4609932597778657E-2</v>
      </c>
    </row>
    <row r="275" spans="4:8">
      <c r="D275" s="20" t="s">
        <v>131</v>
      </c>
      <c r="E275" s="21"/>
      <c r="G275" s="22" t="s">
        <v>272</v>
      </c>
      <c r="H275" s="21">
        <v>8.9252022001247322E-2</v>
      </c>
    </row>
    <row r="276" spans="4:8">
      <c r="D276" s="20" t="s">
        <v>286</v>
      </c>
      <c r="E276" s="21">
        <v>0.29968323942288333</v>
      </c>
      <c r="G276" s="22" t="s">
        <v>273</v>
      </c>
      <c r="H276" s="21">
        <v>8.0802611705440286E-2</v>
      </c>
    </row>
    <row r="277" spans="4:8">
      <c r="D277" s="20" t="s">
        <v>288</v>
      </c>
      <c r="E277" s="21">
        <v>0.31910205203524011</v>
      </c>
      <c r="G277" s="22" t="s">
        <v>274</v>
      </c>
      <c r="H277" s="21">
        <v>0.26367081771960466</v>
      </c>
    </row>
    <row r="278" spans="4:8">
      <c r="D278" s="20" t="s">
        <v>287</v>
      </c>
      <c r="E278" s="21">
        <v>9.1282192455767089E-2</v>
      </c>
      <c r="G278" s="22" t="s">
        <v>275</v>
      </c>
      <c r="H278" s="21">
        <v>0.1076274384436027</v>
      </c>
    </row>
    <row r="279" spans="4:8">
      <c r="D279" s="20" t="s">
        <v>289</v>
      </c>
      <c r="E279" s="21">
        <v>0.28993251608610948</v>
      </c>
      <c r="G279" s="20" t="s">
        <v>341</v>
      </c>
      <c r="H279" s="21">
        <v>1.733487174478426E-2</v>
      </c>
    </row>
    <row r="280" spans="4:8">
      <c r="D280" s="20" t="s">
        <v>356</v>
      </c>
      <c r="E280" s="21">
        <v>1.3767179501064798E-2</v>
      </c>
      <c r="G280" s="20" t="s">
        <v>109</v>
      </c>
      <c r="H280" s="21"/>
    </row>
    <row r="281" spans="4:8">
      <c r="D281" s="20" t="s">
        <v>55</v>
      </c>
      <c r="E281" s="21"/>
      <c r="G281" s="22" t="s">
        <v>277</v>
      </c>
      <c r="H281" s="21">
        <v>7.5127483856976346E-2</v>
      </c>
    </row>
    <row r="282" spans="4:8">
      <c r="D282" s="20" t="s">
        <v>286</v>
      </c>
      <c r="E282" s="21">
        <v>0.20155104272946489</v>
      </c>
      <c r="G282" s="22" t="s">
        <v>278</v>
      </c>
      <c r="H282" s="21">
        <v>0.14849820165478483</v>
      </c>
    </row>
    <row r="283" spans="4:8">
      <c r="D283" s="20" t="s">
        <v>288</v>
      </c>
      <c r="E283" s="21">
        <v>0.18350308978316174</v>
      </c>
      <c r="G283" s="22" t="s">
        <v>279</v>
      </c>
      <c r="H283" s="21">
        <v>5.9071021297098514E-2</v>
      </c>
    </row>
    <row r="284" spans="4:8">
      <c r="D284" s="20" t="s">
        <v>287</v>
      </c>
      <c r="E284" s="21">
        <v>0.23178160068028558</v>
      </c>
      <c r="G284" s="22" t="s">
        <v>280</v>
      </c>
      <c r="H284" s="21">
        <v>7.0613542193702999E-2</v>
      </c>
    </row>
    <row r="285" spans="4:8">
      <c r="D285" s="20" t="s">
        <v>289</v>
      </c>
      <c r="E285" s="21">
        <v>0.38316426680708782</v>
      </c>
      <c r="G285" s="22" t="s">
        <v>281</v>
      </c>
      <c r="H285" s="21">
        <v>7.8459491326336686E-2</v>
      </c>
    </row>
    <row r="286" spans="4:8">
      <c r="D286" s="20" t="s">
        <v>328</v>
      </c>
      <c r="E286" s="21">
        <v>1.3600782236757453E-2</v>
      </c>
      <c r="G286" s="22" t="s">
        <v>282</v>
      </c>
      <c r="H286" s="21">
        <v>6.0806105777910929E-2</v>
      </c>
    </row>
    <row r="287" spans="4:8">
      <c r="D287" s="20" t="s">
        <v>127</v>
      </c>
      <c r="E287" s="21"/>
      <c r="G287" s="22" t="s">
        <v>271</v>
      </c>
      <c r="H287" s="21">
        <v>0.11121481618405164</v>
      </c>
    </row>
    <row r="288" spans="4:8">
      <c r="D288" s="20" t="s">
        <v>286</v>
      </c>
      <c r="E288" s="21">
        <v>0.34993781045875599</v>
      </c>
      <c r="G288" s="22" t="s">
        <v>272</v>
      </c>
      <c r="H288" s="21">
        <v>9.062071240007924E-2</v>
      </c>
    </row>
    <row r="289" spans="4:8">
      <c r="D289" s="20" t="s">
        <v>288</v>
      </c>
      <c r="E289" s="21">
        <v>0.25109153848000176</v>
      </c>
      <c r="G289" s="22" t="s">
        <v>273</v>
      </c>
      <c r="H289" s="21">
        <v>0.14024634067275571</v>
      </c>
    </row>
    <row r="290" spans="4:8">
      <c r="D290" s="20" t="s">
        <v>287</v>
      </c>
      <c r="E290" s="21">
        <v>0.166916089404851</v>
      </c>
      <c r="G290" s="22" t="s">
        <v>274</v>
      </c>
      <c r="H290" s="21">
        <v>0.14572741180471899</v>
      </c>
    </row>
    <row r="291" spans="4:8">
      <c r="D291" s="20" t="s">
        <v>289</v>
      </c>
      <c r="E291" s="21">
        <v>0.23205456165639118</v>
      </c>
      <c r="G291" s="22" t="s">
        <v>275</v>
      </c>
      <c r="H291" s="21">
        <v>1.9614872831584172E-2</v>
      </c>
    </row>
    <row r="292" spans="4:8">
      <c r="D292" s="20" t="s">
        <v>357</v>
      </c>
      <c r="E292" s="21">
        <v>1.6253976252253954E-2</v>
      </c>
      <c r="G292" s="20" t="s">
        <v>317</v>
      </c>
      <c r="H292" s="21">
        <v>7.8337806346621269E-3</v>
      </c>
    </row>
    <row r="293" spans="4:8">
      <c r="D293" s="20" t="s">
        <v>45</v>
      </c>
      <c r="E293" s="21"/>
      <c r="G293" s="20" t="s">
        <v>75</v>
      </c>
      <c r="H293" s="21"/>
    </row>
    <row r="294" spans="4:8">
      <c r="D294" s="20" t="s">
        <v>286</v>
      </c>
      <c r="E294" s="21">
        <v>0.2525025634749134</v>
      </c>
      <c r="G294" s="22" t="s">
        <v>277</v>
      </c>
      <c r="H294" s="21">
        <v>0.22618790931895719</v>
      </c>
    </row>
    <row r="295" spans="4:8">
      <c r="D295" s="20" t="s">
        <v>288</v>
      </c>
      <c r="E295" s="21">
        <v>0.24618715079727563</v>
      </c>
      <c r="G295" s="22" t="s">
        <v>278</v>
      </c>
      <c r="H295" s="21">
        <v>9.5444919714179344E-2</v>
      </c>
    </row>
    <row r="296" spans="4:8">
      <c r="D296" s="20" t="s">
        <v>287</v>
      </c>
      <c r="E296" s="21">
        <v>6.7711639628765613E-2</v>
      </c>
      <c r="G296" s="22" t="s">
        <v>279</v>
      </c>
      <c r="H296" s="21">
        <v>4.5500701630963883E-2</v>
      </c>
    </row>
    <row r="297" spans="4:8">
      <c r="D297" s="20" t="s">
        <v>289</v>
      </c>
      <c r="E297" s="21">
        <v>0.4335986460990453</v>
      </c>
      <c r="G297" s="22" t="s">
        <v>280</v>
      </c>
      <c r="H297" s="21">
        <v>0.12744277237085222</v>
      </c>
    </row>
    <row r="298" spans="4:8">
      <c r="D298" s="20" t="s">
        <v>344</v>
      </c>
      <c r="E298" s="21">
        <v>1.019263781498453E-2</v>
      </c>
      <c r="G298" s="22" t="s">
        <v>281</v>
      </c>
      <c r="H298" s="21">
        <v>6.2934702405359116E-2</v>
      </c>
    </row>
    <row r="299" spans="4:8">
      <c r="D299" s="20" t="s">
        <v>47</v>
      </c>
      <c r="E299" s="21"/>
      <c r="G299" s="22" t="s">
        <v>270</v>
      </c>
      <c r="H299" s="21">
        <v>1.6913701265579013E-2</v>
      </c>
    </row>
    <row r="300" spans="4:8">
      <c r="D300" s="20" t="s">
        <v>286</v>
      </c>
      <c r="E300" s="21">
        <v>0.12400409229990336</v>
      </c>
      <c r="G300" s="22" t="s">
        <v>271</v>
      </c>
      <c r="H300" s="21">
        <v>4.6807684585755786E-2</v>
      </c>
    </row>
    <row r="301" spans="4:8">
      <c r="D301" s="20" t="s">
        <v>288</v>
      </c>
      <c r="E301" s="21">
        <v>0.25064327091906746</v>
      </c>
      <c r="G301" s="22" t="s">
        <v>272</v>
      </c>
      <c r="H301" s="21">
        <v>6.3721385904086061E-2</v>
      </c>
    </row>
    <row r="302" spans="4:8">
      <c r="D302" s="20" t="s">
        <v>287</v>
      </c>
      <c r="E302" s="21">
        <v>0.43314629371617897</v>
      </c>
      <c r="G302" s="22" t="s">
        <v>273</v>
      </c>
      <c r="H302" s="21">
        <v>0.15422327132265518</v>
      </c>
    </row>
    <row r="303" spans="4:8">
      <c r="D303" s="20" t="s">
        <v>289</v>
      </c>
      <c r="E303" s="21">
        <v>0.19220634306485021</v>
      </c>
      <c r="G303" s="22" t="s">
        <v>274</v>
      </c>
      <c r="H303" s="21">
        <v>6.853111486681597E-2</v>
      </c>
    </row>
    <row r="304" spans="4:8">
      <c r="D304" s="20" t="s">
        <v>345</v>
      </c>
      <c r="E304" s="21">
        <v>9.6837789535405942E-3</v>
      </c>
      <c r="G304" s="22" t="s">
        <v>275</v>
      </c>
      <c r="H304" s="21">
        <v>9.2291836614796299E-2</v>
      </c>
    </row>
    <row r="305" spans="4:8">
      <c r="D305" s="20" t="s">
        <v>138</v>
      </c>
      <c r="E305" s="21"/>
      <c r="G305" s="20" t="s">
        <v>325</v>
      </c>
      <c r="H305" s="21">
        <v>1.5681192632688766E-2</v>
      </c>
    </row>
    <row r="306" spans="4:8">
      <c r="D306" s="20" t="s">
        <v>286</v>
      </c>
      <c r="E306" s="21">
        <v>0.23715738845433068</v>
      </c>
      <c r="G306" s="20" t="s">
        <v>67</v>
      </c>
      <c r="H306" s="21"/>
    </row>
    <row r="307" spans="4:8">
      <c r="D307" s="20" t="s">
        <v>288</v>
      </c>
      <c r="E307" s="21">
        <v>0.27795383949073393</v>
      </c>
      <c r="G307" s="22" t="s">
        <v>277</v>
      </c>
      <c r="H307" s="21">
        <v>0.25651609859923746</v>
      </c>
    </row>
    <row r="308" spans="4:8">
      <c r="D308" s="20" t="s">
        <v>287</v>
      </c>
      <c r="E308" s="21">
        <v>0.15973843255365705</v>
      </c>
      <c r="G308" s="22" t="s">
        <v>278</v>
      </c>
      <c r="H308" s="21">
        <v>2.8305224673019307E-2</v>
      </c>
    </row>
    <row r="309" spans="4:8">
      <c r="D309" s="20" t="s">
        <v>289</v>
      </c>
      <c r="E309" s="21">
        <v>0.32515033950127836</v>
      </c>
      <c r="G309" s="22" t="s">
        <v>279</v>
      </c>
      <c r="H309" s="21">
        <v>6.1917678972229731E-2</v>
      </c>
    </row>
    <row r="310" spans="4:8">
      <c r="D310" s="20" t="s">
        <v>346</v>
      </c>
      <c r="E310" s="21">
        <v>5.6214323951185273E-2</v>
      </c>
      <c r="G310" s="22" t="s">
        <v>280</v>
      </c>
      <c r="H310" s="21">
        <v>7.3711522585987774E-2</v>
      </c>
    </row>
    <row r="311" spans="4:8">
      <c r="D311" s="20" t="s">
        <v>135</v>
      </c>
      <c r="E311" s="21"/>
      <c r="G311" s="22" t="s">
        <v>281</v>
      </c>
      <c r="H311" s="21">
        <v>7.0763061682548256E-2</v>
      </c>
    </row>
    <row r="312" spans="4:8">
      <c r="D312" s="20" t="s">
        <v>286</v>
      </c>
      <c r="E312" s="21">
        <v>0.26291677275558933</v>
      </c>
      <c r="G312" s="22" t="s">
        <v>270</v>
      </c>
      <c r="H312" s="21">
        <v>0.1549711050742362</v>
      </c>
    </row>
    <row r="313" spans="4:8">
      <c r="D313" s="20" t="s">
        <v>288</v>
      </c>
      <c r="E313" s="21">
        <v>0.15907355561728415</v>
      </c>
      <c r="G313" s="22" t="s">
        <v>271</v>
      </c>
      <c r="H313" s="21">
        <v>0.28010378582675355</v>
      </c>
    </row>
    <row r="314" spans="4:8">
      <c r="D314" s="20" t="s">
        <v>287</v>
      </c>
      <c r="E314" s="21">
        <v>0.18579791296038106</v>
      </c>
      <c r="G314" s="22" t="s">
        <v>272</v>
      </c>
      <c r="H314" s="21">
        <v>4.422691355159266E-2</v>
      </c>
    </row>
    <row r="315" spans="4:8">
      <c r="D315" s="20" t="s">
        <v>289</v>
      </c>
      <c r="E315" s="21">
        <v>0.3922117586667454</v>
      </c>
      <c r="G315" s="22" t="s">
        <v>275</v>
      </c>
      <c r="H315" s="21">
        <v>2.948460903439511E-2</v>
      </c>
    </row>
    <row r="316" spans="4:8">
      <c r="D316" s="20" t="s">
        <v>350</v>
      </c>
      <c r="E316" s="21">
        <v>6.0527667376059158E-3</v>
      </c>
      <c r="G316" s="20" t="s">
        <v>349</v>
      </c>
      <c r="H316" s="21">
        <v>5.6267966282723819E-3</v>
      </c>
    </row>
    <row r="317" spans="4:8">
      <c r="D317" s="20" t="s">
        <v>166</v>
      </c>
      <c r="E317" s="21"/>
      <c r="G317" s="20" t="s">
        <v>43</v>
      </c>
      <c r="H317" s="21"/>
    </row>
    <row r="318" spans="4:8">
      <c r="D318" s="20" t="s">
        <v>286</v>
      </c>
      <c r="E318" s="21">
        <v>0.20933318170021878</v>
      </c>
      <c r="G318" s="22" t="s">
        <v>277</v>
      </c>
      <c r="H318" s="21">
        <v>0.17232670706368053</v>
      </c>
    </row>
    <row r="319" spans="4:8">
      <c r="D319" s="20" t="s">
        <v>288</v>
      </c>
      <c r="E319" s="21">
        <v>0.24726107890726443</v>
      </c>
      <c r="G319" s="22" t="s">
        <v>278</v>
      </c>
      <c r="H319" s="21">
        <v>0.15449980705598843</v>
      </c>
    </row>
    <row r="320" spans="4:8">
      <c r="D320" s="20" t="s">
        <v>287</v>
      </c>
      <c r="E320" s="21">
        <v>0.16092346189960924</v>
      </c>
      <c r="G320" s="22" t="s">
        <v>279</v>
      </c>
      <c r="H320" s="21">
        <v>0.13102772098211379</v>
      </c>
    </row>
    <row r="321" spans="4:8">
      <c r="D321" s="20" t="s">
        <v>289</v>
      </c>
      <c r="E321" s="21">
        <v>0.38248227749290759</v>
      </c>
      <c r="G321" s="22" t="s">
        <v>280</v>
      </c>
      <c r="H321" s="21">
        <v>5.2886472209344768E-2</v>
      </c>
    </row>
    <row r="322" spans="4:8">
      <c r="D322" s="20" t="s">
        <v>309</v>
      </c>
      <c r="E322" s="21">
        <v>6.4603689110131002E-3</v>
      </c>
      <c r="G322" s="22" t="s">
        <v>281</v>
      </c>
      <c r="H322" s="21">
        <v>4.4567252055815239E-3</v>
      </c>
    </row>
    <row r="323" spans="4:8">
      <c r="D323" s="20" t="s">
        <v>163</v>
      </c>
      <c r="E323" s="21"/>
      <c r="G323" s="22" t="s">
        <v>282</v>
      </c>
      <c r="H323" s="21">
        <v>7.4278753426358741E-3</v>
      </c>
    </row>
    <row r="324" spans="4:8">
      <c r="D324" s="20" t="s">
        <v>286</v>
      </c>
      <c r="E324" s="21">
        <v>0.23547733414034372</v>
      </c>
      <c r="G324" s="22" t="s">
        <v>270</v>
      </c>
      <c r="H324" s="21">
        <v>0.11884600548217399</v>
      </c>
    </row>
    <row r="325" spans="4:8">
      <c r="D325" s="20" t="s">
        <v>288</v>
      </c>
      <c r="E325" s="21">
        <v>0.13802161526560222</v>
      </c>
      <c r="G325" s="22" t="s">
        <v>271</v>
      </c>
      <c r="H325" s="21">
        <v>6.4979053476127299E-2</v>
      </c>
    </row>
    <row r="326" spans="4:8">
      <c r="D326" s="20" t="s">
        <v>287</v>
      </c>
      <c r="E326" s="21">
        <v>0.48690333225685656</v>
      </c>
      <c r="G326" s="22" t="s">
        <v>272</v>
      </c>
      <c r="H326" s="21">
        <v>6.2988382693038997E-2</v>
      </c>
    </row>
    <row r="327" spans="4:8">
      <c r="D327" s="20" t="s">
        <v>289</v>
      </c>
      <c r="E327" s="21">
        <v>0.1395977183371975</v>
      </c>
      <c r="G327" s="22" t="s">
        <v>273</v>
      </c>
      <c r="H327" s="21">
        <v>0.10577294483928862</v>
      </c>
    </row>
    <row r="328" spans="4:8">
      <c r="D328" s="20" t="s">
        <v>374</v>
      </c>
      <c r="E328" s="21">
        <v>3.157862204396491E-3</v>
      </c>
      <c r="G328" s="22" t="s">
        <v>274</v>
      </c>
      <c r="H328" s="21">
        <v>2.8523041209465146E-2</v>
      </c>
    </row>
    <row r="329" spans="4:8">
      <c r="D329" s="20" t="s">
        <v>111</v>
      </c>
      <c r="E329" s="21"/>
      <c r="G329" s="22" t="s">
        <v>275</v>
      </c>
      <c r="H329" s="21">
        <v>9.6265264440560924E-2</v>
      </c>
    </row>
    <row r="330" spans="4:8">
      <c r="D330" s="20" t="s">
        <v>286</v>
      </c>
      <c r="E330" s="21">
        <v>0.47136756844365119</v>
      </c>
      <c r="G330" s="20" t="s">
        <v>369</v>
      </c>
      <c r="H330" s="21">
        <v>1.6485585980356637E-2</v>
      </c>
    </row>
    <row r="331" spans="4:8">
      <c r="D331" s="20" t="s">
        <v>288</v>
      </c>
      <c r="E331" s="21">
        <v>0.27592247831377015</v>
      </c>
      <c r="G331" s="20" t="s">
        <v>93</v>
      </c>
      <c r="H331" s="21"/>
    </row>
    <row r="332" spans="4:8">
      <c r="D332" s="20" t="s">
        <v>287</v>
      </c>
      <c r="E332" s="21">
        <v>4.3797218987147453E-2</v>
      </c>
      <c r="G332" s="22" t="s">
        <v>277</v>
      </c>
      <c r="H332" s="21">
        <v>5.8022983343206123E-2</v>
      </c>
    </row>
    <row r="333" spans="4:8">
      <c r="D333" s="20" t="s">
        <v>289</v>
      </c>
      <c r="E333" s="21">
        <v>0.20891273425543125</v>
      </c>
      <c r="G333" s="22" t="s">
        <v>278</v>
      </c>
      <c r="H333" s="21">
        <v>2.8235028394949301E-2</v>
      </c>
    </row>
    <row r="334" spans="4:8">
      <c r="D334" s="20" t="s">
        <v>375</v>
      </c>
      <c r="E334" s="21">
        <v>3.4272387806149841E-3</v>
      </c>
      <c r="G334" s="22" t="s">
        <v>279</v>
      </c>
      <c r="H334" s="21">
        <v>0.12035180819688364</v>
      </c>
    </row>
    <row r="335" spans="4:8">
      <c r="D335" s="20" t="s">
        <v>79</v>
      </c>
      <c r="E335" s="21"/>
      <c r="G335" s="22" t="s">
        <v>280</v>
      </c>
      <c r="H335" s="21">
        <v>9.1057966573711499E-2</v>
      </c>
    </row>
    <row r="336" spans="4:8">
      <c r="D336" s="20" t="s">
        <v>286</v>
      </c>
      <c r="E336" s="21">
        <v>0.29248493171634066</v>
      </c>
      <c r="G336" s="22" t="s">
        <v>281</v>
      </c>
      <c r="H336" s="21">
        <v>0.16517491604734322</v>
      </c>
    </row>
    <row r="337" spans="4:8">
      <c r="D337" s="20" t="s">
        <v>288</v>
      </c>
      <c r="E337" s="21">
        <v>0.29439802249445912</v>
      </c>
      <c r="G337" s="22" t="s">
        <v>282</v>
      </c>
      <c r="H337" s="21">
        <v>3.5293785493686627E-2</v>
      </c>
    </row>
    <row r="338" spans="4:8">
      <c r="D338" s="20" t="s">
        <v>287</v>
      </c>
      <c r="E338" s="21">
        <v>0.14685966736436284</v>
      </c>
      <c r="G338" s="22" t="s">
        <v>270</v>
      </c>
      <c r="H338" s="21">
        <v>0.12811644134208247</v>
      </c>
    </row>
    <row r="339" spans="4:8">
      <c r="D339" s="20" t="s">
        <v>289</v>
      </c>
      <c r="E339" s="21">
        <v>0.26625737842483749</v>
      </c>
      <c r="G339" s="22" t="s">
        <v>271</v>
      </c>
      <c r="H339" s="21">
        <v>5.5058305370151141E-2</v>
      </c>
    </row>
    <row r="340" spans="4:8">
      <c r="D340" s="20" t="s">
        <v>362</v>
      </c>
      <c r="E340" s="21">
        <v>2.0300822649356731E-2</v>
      </c>
      <c r="G340" s="22" t="s">
        <v>272</v>
      </c>
      <c r="H340" s="21">
        <v>9.6140271684802381E-2</v>
      </c>
    </row>
    <row r="341" spans="4:8">
      <c r="D341" s="20" t="s">
        <v>91</v>
      </c>
      <c r="E341" s="21"/>
      <c r="G341" s="22" t="s">
        <v>273</v>
      </c>
      <c r="H341" s="21">
        <v>0.12225767281549538</v>
      </c>
    </row>
    <row r="342" spans="4:8">
      <c r="D342" s="20" t="s">
        <v>286</v>
      </c>
      <c r="E342" s="21">
        <v>0.23809523828405246</v>
      </c>
      <c r="G342" s="22" t="s">
        <v>274</v>
      </c>
      <c r="H342" s="21">
        <v>5.2517152713629375E-2</v>
      </c>
    </row>
    <row r="343" spans="4:8">
      <c r="D343" s="20" t="s">
        <v>288</v>
      </c>
      <c r="E343" s="21">
        <v>0.54894179865294146</v>
      </c>
      <c r="G343" s="22" t="s">
        <v>275</v>
      </c>
      <c r="H343" s="21">
        <v>4.7773668024058948E-2</v>
      </c>
    </row>
    <row r="344" spans="4:8">
      <c r="D344" s="20" t="s">
        <v>287</v>
      </c>
      <c r="E344" s="21">
        <v>5.9964726702112496E-2</v>
      </c>
      <c r="G344" s="20" t="s">
        <v>370</v>
      </c>
      <c r="H344" s="21">
        <v>1.0632433252497757E-2</v>
      </c>
    </row>
    <row r="345" spans="4:8">
      <c r="D345" s="20" t="s">
        <v>289</v>
      </c>
      <c r="E345" s="21">
        <v>0.15299823636089357</v>
      </c>
      <c r="G345" s="20" t="s">
        <v>107</v>
      </c>
      <c r="H345" s="21"/>
    </row>
    <row r="346" spans="4:8">
      <c r="D346" s="20" t="s">
        <v>310</v>
      </c>
      <c r="E346" s="21">
        <v>5.0169338907913689E-3</v>
      </c>
      <c r="G346" s="22" t="s">
        <v>277</v>
      </c>
      <c r="H346" s="21">
        <v>7.4298562758552802E-2</v>
      </c>
    </row>
    <row r="347" spans="4:8">
      <c r="D347" s="20" t="s">
        <v>77</v>
      </c>
      <c r="E347" s="21"/>
      <c r="G347" s="22" t="s">
        <v>278</v>
      </c>
      <c r="H347" s="21">
        <v>3.1283605470161617E-2</v>
      </c>
    </row>
    <row r="348" spans="4:8">
      <c r="D348" s="20" t="s">
        <v>286</v>
      </c>
      <c r="E348" s="21">
        <v>0.11629235341352163</v>
      </c>
      <c r="G348" s="22" t="s">
        <v>279</v>
      </c>
      <c r="H348" s="21">
        <v>0.10831948388216434</v>
      </c>
    </row>
    <row r="349" spans="4:8">
      <c r="D349" s="20" t="s">
        <v>288</v>
      </c>
      <c r="E349" s="21">
        <v>0.34887706024056492</v>
      </c>
      <c r="G349" s="22" t="s">
        <v>280</v>
      </c>
      <c r="H349" s="21">
        <v>0.13051129122120894</v>
      </c>
    </row>
    <row r="350" spans="4:8">
      <c r="D350" s="20" t="s">
        <v>287</v>
      </c>
      <c r="E350" s="21">
        <v>0.22962938434920818</v>
      </c>
      <c r="G350" s="22" t="s">
        <v>281</v>
      </c>
      <c r="H350" s="21">
        <v>0.22602404910237181</v>
      </c>
    </row>
    <row r="351" spans="4:8">
      <c r="D351" s="20" t="s">
        <v>289</v>
      </c>
      <c r="E351" s="21">
        <v>0.30520120199670525</v>
      </c>
      <c r="G351" s="22" t="s">
        <v>271</v>
      </c>
      <c r="H351" s="21">
        <v>0.10167171777802525</v>
      </c>
    </row>
    <row r="352" spans="4:8">
      <c r="D352" s="20" t="s">
        <v>329</v>
      </c>
      <c r="E352" s="21">
        <v>1.1929181582822313E-2</v>
      </c>
      <c r="G352" s="22" t="s">
        <v>272</v>
      </c>
      <c r="H352" s="21">
        <v>9.9325447367763109E-2</v>
      </c>
    </row>
    <row r="353" spans="4:8">
      <c r="D353" s="20" t="s">
        <v>155</v>
      </c>
      <c r="E353" s="21"/>
      <c r="G353" s="22" t="s">
        <v>273</v>
      </c>
      <c r="H353" s="21">
        <v>0.18457327222733733</v>
      </c>
    </row>
    <row r="354" spans="4:8">
      <c r="D354" s="20" t="s">
        <v>286</v>
      </c>
      <c r="E354" s="21">
        <v>0.3255680513266111</v>
      </c>
      <c r="G354" s="22" t="s">
        <v>275</v>
      </c>
      <c r="H354" s="21">
        <v>4.3992570192414766E-2</v>
      </c>
    </row>
    <row r="355" spans="4:8">
      <c r="D355" s="20" t="s">
        <v>288</v>
      </c>
      <c r="E355" s="21">
        <v>0.22951572192741945</v>
      </c>
      <c r="G355" s="20" t="s">
        <v>305</v>
      </c>
      <c r="H355" s="21">
        <v>1.8586529758283669E-2</v>
      </c>
    </row>
    <row r="356" spans="4:8">
      <c r="D356" s="20" t="s">
        <v>287</v>
      </c>
      <c r="E356" s="21">
        <v>0.10150332791466965</v>
      </c>
      <c r="G356" s="20" t="s">
        <v>103</v>
      </c>
      <c r="H356" s="21"/>
    </row>
    <row r="357" spans="4:8">
      <c r="D357" s="20" t="s">
        <v>289</v>
      </c>
      <c r="E357" s="21">
        <v>0.34341289883129983</v>
      </c>
      <c r="G357" s="22" t="s">
        <v>277</v>
      </c>
      <c r="H357" s="21">
        <v>7.5549992520003814E-2</v>
      </c>
    </row>
    <row r="358" spans="4:8">
      <c r="D358" s="20" t="s">
        <v>330</v>
      </c>
      <c r="E358" s="21">
        <v>6.8842217744986252E-3</v>
      </c>
      <c r="G358" s="22" t="s">
        <v>278</v>
      </c>
      <c r="H358" s="21">
        <v>8.1085486858376035E-2</v>
      </c>
    </row>
    <row r="359" spans="4:8">
      <c r="D359" s="20" t="s">
        <v>105</v>
      </c>
      <c r="E359" s="21"/>
      <c r="G359" s="22" t="s">
        <v>279</v>
      </c>
      <c r="H359" s="21">
        <v>4.4134766554493457E-2</v>
      </c>
    </row>
    <row r="360" spans="4:8">
      <c r="D360" s="20" t="s">
        <v>286</v>
      </c>
      <c r="E360" s="21">
        <v>0.1159183673571309</v>
      </c>
      <c r="G360" s="22" t="s">
        <v>280</v>
      </c>
      <c r="H360" s="21">
        <v>0.21723704518736012</v>
      </c>
    </row>
    <row r="361" spans="4:8">
      <c r="D361" s="20" t="s">
        <v>288</v>
      </c>
      <c r="E361" s="21">
        <v>0.32228571420792451</v>
      </c>
      <c r="G361" s="22" t="s">
        <v>281</v>
      </c>
      <c r="H361" s="21">
        <v>9.271636097392022E-2</v>
      </c>
    </row>
    <row r="362" spans="4:8">
      <c r="D362" s="20" t="s">
        <v>287</v>
      </c>
      <c r="E362" s="21">
        <v>0.29861224478971615</v>
      </c>
      <c r="G362" s="22" t="s">
        <v>282</v>
      </c>
      <c r="H362" s="21">
        <v>2.2178553958960907E-2</v>
      </c>
    </row>
    <row r="363" spans="4:8">
      <c r="D363" s="20" t="s">
        <v>289</v>
      </c>
      <c r="E363" s="21">
        <v>0.26318367364522849</v>
      </c>
      <c r="G363" s="22" t="s">
        <v>270</v>
      </c>
      <c r="H363" s="21">
        <v>3.8365410482310215E-2</v>
      </c>
    </row>
    <row r="364" spans="4:8">
      <c r="D364" s="20" t="s">
        <v>351</v>
      </c>
      <c r="E364" s="21">
        <v>6.7744091875330797E-3</v>
      </c>
      <c r="G364" s="22" t="s">
        <v>272</v>
      </c>
      <c r="H364" s="21">
        <v>0.19119055756698403</v>
      </c>
    </row>
    <row r="365" spans="4:8">
      <c r="D365" s="20" t="s">
        <v>63</v>
      </c>
      <c r="E365" s="21"/>
      <c r="G365" s="22" t="s">
        <v>273</v>
      </c>
      <c r="H365" s="21">
        <v>8.7885907805549057E-2</v>
      </c>
    </row>
    <row r="366" spans="4:8">
      <c r="D366" s="20" t="s">
        <v>286</v>
      </c>
      <c r="E366" s="21">
        <v>0.10626076973365095</v>
      </c>
      <c r="G366" s="22" t="s">
        <v>274</v>
      </c>
      <c r="H366" s="21">
        <v>6.378202713524174E-2</v>
      </c>
    </row>
    <row r="367" spans="4:8">
      <c r="D367" s="20" t="s">
        <v>288</v>
      </c>
      <c r="E367" s="21">
        <v>0.24576392884073092</v>
      </c>
      <c r="G367" s="22" t="s">
        <v>275</v>
      </c>
      <c r="H367" s="21">
        <v>8.5873890956800425E-2</v>
      </c>
    </row>
    <row r="368" spans="4:8">
      <c r="D368" s="20" t="s">
        <v>287</v>
      </c>
      <c r="E368" s="21">
        <v>0.31950028706456635</v>
      </c>
      <c r="G368" s="20" t="s">
        <v>371</v>
      </c>
      <c r="H368" s="21">
        <v>6.8576336985712808E-3</v>
      </c>
    </row>
    <row r="369" spans="4:8">
      <c r="D369" s="20" t="s">
        <v>289</v>
      </c>
      <c r="E369" s="21">
        <v>0.32847501436105175</v>
      </c>
      <c r="G369" s="20" t="s">
        <v>49</v>
      </c>
      <c r="H369" s="21"/>
    </row>
    <row r="370" spans="4:8">
      <c r="D370" s="20" t="s">
        <v>331</v>
      </c>
      <c r="E370" s="21">
        <v>1.7825473283980851E-2</v>
      </c>
      <c r="G370" s="22" t="s">
        <v>277</v>
      </c>
      <c r="H370" s="21">
        <v>9.9293610741299693E-2</v>
      </c>
    </row>
    <row r="371" spans="4:8">
      <c r="D371" s="20" t="s">
        <v>65</v>
      </c>
      <c r="E371" s="21"/>
      <c r="G371" s="22" t="s">
        <v>278</v>
      </c>
      <c r="H371" s="21">
        <v>8.6605220630282642E-2</v>
      </c>
    </row>
    <row r="372" spans="4:8">
      <c r="D372" s="20" t="s">
        <v>286</v>
      </c>
      <c r="E372" s="21">
        <v>0.17684534275212871</v>
      </c>
      <c r="G372" s="22" t="s">
        <v>279</v>
      </c>
      <c r="H372" s="21">
        <v>0.32041512411458278</v>
      </c>
    </row>
    <row r="373" spans="4:8">
      <c r="D373" s="20" t="s">
        <v>288</v>
      </c>
      <c r="E373" s="21">
        <v>0.18222759228376301</v>
      </c>
      <c r="G373" s="22" t="s">
        <v>280</v>
      </c>
      <c r="H373" s="21">
        <v>0.24312359426225877</v>
      </c>
    </row>
    <row r="374" spans="4:8">
      <c r="D374" s="20" t="s">
        <v>287</v>
      </c>
      <c r="E374" s="21">
        <v>0.21671792624390268</v>
      </c>
      <c r="G374" s="22" t="s">
        <v>281</v>
      </c>
      <c r="H374" s="21">
        <v>3.8101458798931599E-2</v>
      </c>
    </row>
    <row r="375" spans="4:8">
      <c r="D375" s="20" t="s">
        <v>289</v>
      </c>
      <c r="E375" s="21">
        <v>0.4242091387202056</v>
      </c>
      <c r="G375" s="22" t="s">
        <v>270</v>
      </c>
      <c r="H375" s="21">
        <v>8.1283112109193811E-2</v>
      </c>
    </row>
    <row r="376" spans="4:8">
      <c r="D376" s="20" t="s">
        <v>332</v>
      </c>
      <c r="E376" s="21">
        <v>7.1923290107753579E-3</v>
      </c>
      <c r="G376" s="22" t="s">
        <v>271</v>
      </c>
      <c r="H376" s="21">
        <v>4.0460120421110246E-2</v>
      </c>
    </row>
    <row r="377" spans="4:8">
      <c r="D377" s="20" t="s">
        <v>142</v>
      </c>
      <c r="E377" s="21"/>
      <c r="G377" s="22" t="s">
        <v>273</v>
      </c>
      <c r="H377" s="21">
        <v>1.1611873160516144E-2</v>
      </c>
    </row>
    <row r="378" spans="4:8">
      <c r="D378" s="20" t="s">
        <v>286</v>
      </c>
      <c r="E378" s="21">
        <v>0.10524225596467639</v>
      </c>
      <c r="G378" s="22" t="s">
        <v>274</v>
      </c>
      <c r="H378" s="21">
        <v>1.2095701208870983E-2</v>
      </c>
    </row>
    <row r="379" spans="4:8">
      <c r="D379" s="20" t="s">
        <v>288</v>
      </c>
      <c r="E379" s="21">
        <v>0.30003971385648626</v>
      </c>
      <c r="G379" s="22" t="s">
        <v>275</v>
      </c>
      <c r="H379" s="21">
        <v>6.7010184552953253E-2</v>
      </c>
    </row>
    <row r="380" spans="4:8">
      <c r="D380" s="20" t="s">
        <v>287</v>
      </c>
      <c r="E380" s="21">
        <v>0.21048451192935277</v>
      </c>
      <c r="G380" s="20" t="s">
        <v>372</v>
      </c>
      <c r="H380" s="21">
        <v>3.9188396849379357E-3</v>
      </c>
    </row>
    <row r="381" spans="4:8">
      <c r="D381" s="20" t="s">
        <v>289</v>
      </c>
      <c r="E381" s="21">
        <v>0.3842335182494846</v>
      </c>
      <c r="G381" s="20" t="s">
        <v>168</v>
      </c>
      <c r="H381" s="21"/>
    </row>
    <row r="382" spans="4:8">
      <c r="D382" s="20" t="s">
        <v>322</v>
      </c>
      <c r="E382" s="21">
        <v>1.1338820430896412E-2</v>
      </c>
      <c r="G382" s="22" t="s">
        <v>277</v>
      </c>
      <c r="H382" s="21">
        <v>0.11586605432809617</v>
      </c>
    </row>
    <row r="383" spans="4:8">
      <c r="D383" s="20" t="s">
        <v>113</v>
      </c>
      <c r="E383" s="21"/>
      <c r="G383" s="22" t="s">
        <v>278</v>
      </c>
      <c r="H383" s="21">
        <v>2.5400306021506919E-2</v>
      </c>
    </row>
    <row r="384" spans="4:8">
      <c r="D384" s="20" t="s">
        <v>286</v>
      </c>
      <c r="E384" s="21">
        <v>0.30343702207934375</v>
      </c>
      <c r="G384" s="22" t="s">
        <v>279</v>
      </c>
      <c r="H384" s="21">
        <v>0.19137029174020609</v>
      </c>
    </row>
    <row r="385" spans="4:8">
      <c r="D385" s="20" t="s">
        <v>288</v>
      </c>
      <c r="E385" s="21">
        <v>0.16132585382412068</v>
      </c>
      <c r="G385" s="22" t="s">
        <v>280</v>
      </c>
      <c r="H385" s="21">
        <v>0.14047831133081554</v>
      </c>
    </row>
    <row r="386" spans="4:8">
      <c r="D386" s="20" t="s">
        <v>287</v>
      </c>
      <c r="E386" s="21">
        <v>0.27659357473623769</v>
      </c>
      <c r="G386" s="22" t="s">
        <v>281</v>
      </c>
      <c r="H386" s="21">
        <v>5.9046574913539596E-2</v>
      </c>
    </row>
    <row r="387" spans="4:8">
      <c r="D387" s="20" t="s">
        <v>289</v>
      </c>
      <c r="E387" s="21">
        <v>0.25864354936029793</v>
      </c>
      <c r="G387" s="22" t="s">
        <v>282</v>
      </c>
      <c r="H387" s="21">
        <v>7.3094406099378867E-2</v>
      </c>
    </row>
    <row r="388" spans="4:8">
      <c r="D388" s="20" t="s">
        <v>376</v>
      </c>
      <c r="E388" s="21">
        <v>4.6476792152952834E-3</v>
      </c>
      <c r="G388" s="22" t="s">
        <v>270</v>
      </c>
      <c r="H388" s="21">
        <v>0.11695104964668331</v>
      </c>
    </row>
    <row r="389" spans="4:8">
      <c r="D389" s="20" t="s">
        <v>92</v>
      </c>
      <c r="E389" s="21"/>
      <c r="G389" s="22" t="s">
        <v>271</v>
      </c>
      <c r="H389" s="21">
        <v>6.8617373703327322E-2</v>
      </c>
    </row>
    <row r="390" spans="4:8">
      <c r="D390" s="20" t="s">
        <v>286</v>
      </c>
      <c r="E390" s="21">
        <v>0.23634564608797939</v>
      </c>
      <c r="G390" s="22" t="s">
        <v>272</v>
      </c>
      <c r="H390" s="21">
        <v>1.1421000953027947E-2</v>
      </c>
    </row>
    <row r="391" spans="4:8">
      <c r="D391" s="20" t="s">
        <v>288</v>
      </c>
      <c r="E391" s="21">
        <v>0.25046174144011424</v>
      </c>
      <c r="G391" s="22" t="s">
        <v>273</v>
      </c>
      <c r="H391" s="21">
        <v>9.7706662914893452E-2</v>
      </c>
    </row>
    <row r="392" spans="4:8">
      <c r="D392" s="20" t="s">
        <v>287</v>
      </c>
      <c r="E392" s="21">
        <v>0.22783641183090397</v>
      </c>
      <c r="G392" s="22" t="s">
        <v>274</v>
      </c>
      <c r="H392" s="21">
        <v>6.8069165680046562E-2</v>
      </c>
    </row>
    <row r="393" spans="4:8">
      <c r="D393" s="20" t="s">
        <v>289</v>
      </c>
      <c r="E393" s="21">
        <v>0.28535620064100242</v>
      </c>
      <c r="G393" s="22" t="s">
        <v>275</v>
      </c>
      <c r="H393" s="21">
        <v>3.1978802668478253E-2</v>
      </c>
    </row>
    <row r="394" spans="4:8">
      <c r="D394" s="20" t="s">
        <v>311</v>
      </c>
      <c r="E394" s="21">
        <v>1.0779013290886791E-2</v>
      </c>
      <c r="G394" s="20" t="s">
        <v>306</v>
      </c>
      <c r="H394" s="21">
        <v>1.2451040178376399E-2</v>
      </c>
    </row>
    <row r="395" spans="4:8">
      <c r="D395" s="20" t="s">
        <v>144</v>
      </c>
      <c r="E395" s="21"/>
      <c r="G395" s="20" t="s">
        <v>154</v>
      </c>
      <c r="H395" s="21"/>
    </row>
    <row r="396" spans="4:8">
      <c r="D396" s="20" t="s">
        <v>286</v>
      </c>
      <c r="E396" s="21">
        <v>0.20258878134814701</v>
      </c>
      <c r="G396" s="22" t="s">
        <v>278</v>
      </c>
      <c r="H396" s="21">
        <v>0.17523364517705983</v>
      </c>
    </row>
    <row r="397" spans="4:8">
      <c r="D397" s="20" t="s">
        <v>288</v>
      </c>
      <c r="E397" s="21">
        <v>0.1252461895136239</v>
      </c>
      <c r="G397" s="22" t="s">
        <v>279</v>
      </c>
      <c r="H397" s="21">
        <v>0.31074766230356465</v>
      </c>
    </row>
    <row r="398" spans="4:8">
      <c r="D398" s="20" t="s">
        <v>287</v>
      </c>
      <c r="E398" s="21">
        <v>0.2707919574418613</v>
      </c>
      <c r="G398" s="22" t="s">
        <v>280</v>
      </c>
      <c r="H398" s="21">
        <v>0.29205607529509975</v>
      </c>
    </row>
    <row r="399" spans="4:8">
      <c r="D399" s="20" t="s">
        <v>289</v>
      </c>
      <c r="E399" s="21">
        <v>0.40137307169636777</v>
      </c>
      <c r="G399" s="22" t="s">
        <v>281</v>
      </c>
      <c r="H399" s="21">
        <v>4.0887850541313962E-2</v>
      </c>
    </row>
    <row r="400" spans="4:8">
      <c r="D400" s="20" t="s">
        <v>333</v>
      </c>
      <c r="E400" s="21">
        <v>3.7316503192283849E-2</v>
      </c>
      <c r="G400" s="22" t="s">
        <v>271</v>
      </c>
      <c r="H400" s="21">
        <v>1.7523364517705982E-2</v>
      </c>
    </row>
    <row r="401" spans="4:8">
      <c r="D401" s="20" t="s">
        <v>61</v>
      </c>
      <c r="E401" s="21"/>
      <c r="G401" s="22" t="s">
        <v>272</v>
      </c>
      <c r="H401" s="21">
        <v>0.14602803764754987</v>
      </c>
    </row>
    <row r="402" spans="4:8">
      <c r="D402" s="20" t="s">
        <v>286</v>
      </c>
      <c r="E402" s="21">
        <v>0.25667875460914941</v>
      </c>
      <c r="G402" s="22" t="s">
        <v>275</v>
      </c>
      <c r="H402" s="21">
        <v>1.7523364517705982E-2</v>
      </c>
    </row>
    <row r="403" spans="4:8">
      <c r="D403" s="20" t="s">
        <v>288</v>
      </c>
      <c r="E403" s="21">
        <v>0.26677492309610423</v>
      </c>
      <c r="G403" s="20" t="s">
        <v>307</v>
      </c>
      <c r="H403" s="21">
        <v>1.89351649374218E-3</v>
      </c>
    </row>
    <row r="404" spans="4:8">
      <c r="D404" s="20" t="s">
        <v>287</v>
      </c>
      <c r="E404" s="21">
        <v>0.18592369964981961</v>
      </c>
      <c r="G404" s="20" t="s">
        <v>165</v>
      </c>
      <c r="H404" s="21"/>
    </row>
    <row r="405" spans="4:8">
      <c r="D405" s="20" t="s">
        <v>289</v>
      </c>
      <c r="E405" s="21">
        <v>0.29062262264492689</v>
      </c>
      <c r="G405" s="22" t="s">
        <v>277</v>
      </c>
      <c r="H405" s="21">
        <v>0.13155190138764961</v>
      </c>
    </row>
    <row r="406" spans="4:8">
      <c r="D406" s="20" t="s">
        <v>334</v>
      </c>
      <c r="E406" s="21">
        <v>4.6315786381590325E-3</v>
      </c>
      <c r="G406" s="22" t="s">
        <v>278</v>
      </c>
      <c r="H406" s="21">
        <v>9.8663926040737204E-2</v>
      </c>
    </row>
    <row r="407" spans="4:8">
      <c r="D407" s="20" t="s">
        <v>81</v>
      </c>
      <c r="E407" s="21"/>
      <c r="G407" s="22" t="s">
        <v>279</v>
      </c>
      <c r="H407" s="21">
        <v>5.2620760555059841E-2</v>
      </c>
    </row>
    <row r="408" spans="4:8">
      <c r="D408" s="20" t="s">
        <v>286</v>
      </c>
      <c r="E408" s="21">
        <v>0.26967339963798664</v>
      </c>
      <c r="G408" s="22" t="s">
        <v>280</v>
      </c>
      <c r="H408" s="21">
        <v>8.2219938367281004E-2</v>
      </c>
    </row>
    <row r="409" spans="4:8">
      <c r="D409" s="20" t="s">
        <v>288</v>
      </c>
      <c r="E409" s="21">
        <v>0.21563875045111799</v>
      </c>
      <c r="G409" s="22" t="s">
        <v>270</v>
      </c>
      <c r="H409" s="21">
        <v>0.15786228166517952</v>
      </c>
    </row>
    <row r="410" spans="4:8">
      <c r="D410" s="20" t="s">
        <v>287</v>
      </c>
      <c r="E410" s="21">
        <v>0.16941153389506766</v>
      </c>
      <c r="G410" s="22" t="s">
        <v>274</v>
      </c>
      <c r="H410" s="21">
        <v>2.0554984591820251E-2</v>
      </c>
    </row>
    <row r="411" spans="4:8">
      <c r="D411" s="20" t="s">
        <v>289</v>
      </c>
      <c r="E411" s="21">
        <v>0.34527631601582764</v>
      </c>
      <c r="G411" s="22" t="s">
        <v>275</v>
      </c>
      <c r="H411" s="21">
        <v>0.45652620739227256</v>
      </c>
    </row>
    <row r="412" spans="4:8">
      <c r="D412" s="20" t="s">
        <v>358</v>
      </c>
      <c r="E412" s="21">
        <v>6.3492742923650758E-2</v>
      </c>
      <c r="G412" s="20" t="s">
        <v>360</v>
      </c>
      <c r="H412" s="21">
        <v>1.9217201591959353E-3</v>
      </c>
    </row>
    <row r="413" spans="4:8">
      <c r="D413" s="20" t="s">
        <v>51</v>
      </c>
      <c r="E413" s="21"/>
      <c r="G413" s="20" t="s">
        <v>150</v>
      </c>
      <c r="H413" s="21"/>
    </row>
    <row r="414" spans="4:8">
      <c r="D414" s="20" t="s">
        <v>286</v>
      </c>
      <c r="E414" s="21">
        <v>0.24627603861157024</v>
      </c>
      <c r="G414" s="22" t="s">
        <v>277</v>
      </c>
      <c r="H414" s="21">
        <v>4.3575507717799319E-2</v>
      </c>
    </row>
    <row r="415" spans="4:8">
      <c r="D415" s="20" t="s">
        <v>288</v>
      </c>
      <c r="E415" s="21">
        <v>0.38860118683458195</v>
      </c>
      <c r="G415" s="22" t="s">
        <v>278</v>
      </c>
      <c r="H415" s="21">
        <v>0.167544767923409</v>
      </c>
    </row>
    <row r="416" spans="4:8">
      <c r="D416" s="20" t="s">
        <v>287</v>
      </c>
      <c r="E416" s="21">
        <v>0.18590713384559432</v>
      </c>
      <c r="G416" s="22" t="s">
        <v>280</v>
      </c>
      <c r="H416" s="21">
        <v>0.13776605305385359</v>
      </c>
    </row>
    <row r="417" spans="4:8">
      <c r="D417" s="20" t="s">
        <v>289</v>
      </c>
      <c r="E417" s="21">
        <v>0.17921564070825347</v>
      </c>
      <c r="G417" s="22" t="s">
        <v>281</v>
      </c>
      <c r="H417" s="21">
        <v>4.9172704294895987E-2</v>
      </c>
    </row>
    <row r="418" spans="4:8">
      <c r="D418" s="20" t="s">
        <v>363</v>
      </c>
      <c r="E418" s="21">
        <v>6.3134254590118156E-3</v>
      </c>
      <c r="G418" s="22" t="s">
        <v>282</v>
      </c>
      <c r="H418" s="21">
        <v>4.3253767704498541E-2</v>
      </c>
    </row>
    <row r="419" spans="4:8">
      <c r="D419" s="20" t="s">
        <v>129</v>
      </c>
      <c r="E419" s="21"/>
      <c r="G419" s="22" t="s">
        <v>270</v>
      </c>
      <c r="H419" s="21">
        <v>5.4238353622084498E-2</v>
      </c>
    </row>
    <row r="420" spans="4:8">
      <c r="D420" s="20" t="s">
        <v>286</v>
      </c>
      <c r="E420" s="21">
        <v>0.34696332371757016</v>
      </c>
      <c r="G420" s="22" t="s">
        <v>271</v>
      </c>
      <c r="H420" s="21">
        <v>3.1871197280941968E-2</v>
      </c>
    </row>
    <row r="421" spans="4:8">
      <c r="D421" s="20" t="s">
        <v>288</v>
      </c>
      <c r="E421" s="21">
        <v>0.14306810951387047</v>
      </c>
      <c r="G421" s="22" t="s">
        <v>272</v>
      </c>
      <c r="H421" s="21">
        <v>8.5443179332112498E-2</v>
      </c>
    </row>
    <row r="422" spans="4:8">
      <c r="D422" s="20" t="s">
        <v>287</v>
      </c>
      <c r="E422" s="21">
        <v>0.20560092444882139</v>
      </c>
      <c r="G422" s="22" t="s">
        <v>273</v>
      </c>
      <c r="H422" s="21">
        <v>0.14216677284463089</v>
      </c>
    </row>
    <row r="423" spans="4:8">
      <c r="D423" s="20" t="s">
        <v>289</v>
      </c>
      <c r="E423" s="21">
        <v>0.30436764231973784</v>
      </c>
      <c r="G423" s="22" t="s">
        <v>274</v>
      </c>
      <c r="H423" s="21">
        <v>0.11085704366079974</v>
      </c>
    </row>
    <row r="424" spans="4:8">
      <c r="D424" s="20" t="s">
        <v>359</v>
      </c>
      <c r="E424" s="21">
        <v>3.7353954013814613E-3</v>
      </c>
      <c r="G424" s="22" t="s">
        <v>275</v>
      </c>
      <c r="H424" s="21">
        <v>0.13411065256497398</v>
      </c>
    </row>
    <row r="425" spans="4:8">
      <c r="D425" s="20" t="s">
        <v>69</v>
      </c>
      <c r="E425" s="21"/>
      <c r="G425" s="20" t="s">
        <v>318</v>
      </c>
      <c r="H425" s="21">
        <v>1.0957470586576461E-2</v>
      </c>
    </row>
    <row r="426" spans="4:8">
      <c r="D426" s="20" t="s">
        <v>286</v>
      </c>
      <c r="E426" s="21">
        <v>0.25034226512160457</v>
      </c>
      <c r="G426" s="20" t="s">
        <v>152</v>
      </c>
      <c r="H426" s="21"/>
    </row>
    <row r="427" spans="4:8">
      <c r="D427" s="20" t="s">
        <v>288</v>
      </c>
      <c r="E427" s="21">
        <v>0.19264619536169317</v>
      </c>
      <c r="G427" s="22" t="s">
        <v>278</v>
      </c>
      <c r="H427" s="21">
        <v>0.24120603051198491</v>
      </c>
    </row>
    <row r="428" spans="4:8">
      <c r="D428" s="20" t="s">
        <v>287</v>
      </c>
      <c r="E428" s="21">
        <v>9.1922550474339171E-2</v>
      </c>
      <c r="G428" s="22" t="s">
        <v>279</v>
      </c>
      <c r="H428" s="21">
        <v>0.20502512449748719</v>
      </c>
    </row>
    <row r="429" spans="4:8">
      <c r="D429" s="20" t="s">
        <v>289</v>
      </c>
      <c r="E429" s="21">
        <v>0.46508898904236312</v>
      </c>
      <c r="G429" s="22" t="s">
        <v>280</v>
      </c>
      <c r="H429" s="21">
        <v>3.6180904516893569E-2</v>
      </c>
    </row>
    <row r="430" spans="4:8">
      <c r="D430" s="20" t="s">
        <v>352</v>
      </c>
      <c r="E430" s="21">
        <v>3.6354284272207991E-3</v>
      </c>
      <c r="G430" s="22" t="s">
        <v>281</v>
      </c>
      <c r="H430" s="21">
        <v>0.1256281408916588</v>
      </c>
    </row>
    <row r="431" spans="4:8">
      <c r="D431" s="20" t="s">
        <v>37</v>
      </c>
      <c r="E431" s="21"/>
      <c r="G431" s="22" t="s">
        <v>272</v>
      </c>
      <c r="H431" s="21">
        <v>0.14070351779865786</v>
      </c>
    </row>
    <row r="432" spans="4:8">
      <c r="D432" s="20" t="s">
        <v>286</v>
      </c>
      <c r="E432" s="21">
        <v>0.18229202111058704</v>
      </c>
      <c r="G432" s="22" t="s">
        <v>275</v>
      </c>
      <c r="H432" s="21">
        <v>0.2512562817833176</v>
      </c>
    </row>
    <row r="433" spans="4:8">
      <c r="D433" s="20" t="s">
        <v>288</v>
      </c>
      <c r="E433" s="21">
        <v>0.2608837655937597</v>
      </c>
      <c r="G433" s="20" t="s">
        <v>319</v>
      </c>
      <c r="H433" s="21">
        <v>2.6726328022086241E-3</v>
      </c>
    </row>
    <row r="434" spans="4:8">
      <c r="D434" s="20" t="s">
        <v>287</v>
      </c>
      <c r="E434" s="21">
        <v>0.13881139349810781</v>
      </c>
      <c r="G434" s="20" t="s">
        <v>123</v>
      </c>
      <c r="H434" s="21"/>
    </row>
    <row r="435" spans="4:8">
      <c r="D435" s="20" t="s">
        <v>289</v>
      </c>
      <c r="E435" s="21">
        <v>0.41801281979754545</v>
      </c>
      <c r="G435" s="22" t="s">
        <v>277</v>
      </c>
      <c r="H435" s="21">
        <v>1.5208161730182589E-2</v>
      </c>
    </row>
    <row r="436" spans="4:8">
      <c r="D436" s="20" t="s">
        <v>364</v>
      </c>
      <c r="E436" s="21">
        <v>1.7415406248127589E-2</v>
      </c>
      <c r="G436" s="22" t="s">
        <v>278</v>
      </c>
      <c r="H436" s="21">
        <v>2.5346936216970981E-3</v>
      </c>
    </row>
    <row r="437" spans="4:8">
      <c r="D437" s="20" t="s">
        <v>121</v>
      </c>
      <c r="E437" s="21"/>
      <c r="G437" s="22" t="s">
        <v>279</v>
      </c>
      <c r="H437" s="21">
        <v>0.14042202664201922</v>
      </c>
    </row>
    <row r="438" spans="4:8">
      <c r="D438" s="20" t="s">
        <v>286</v>
      </c>
      <c r="E438" s="21">
        <v>0.38194280301414785</v>
      </c>
      <c r="G438" s="22" t="s">
        <v>280</v>
      </c>
      <c r="H438" s="21">
        <v>0.15366580080122288</v>
      </c>
    </row>
    <row r="439" spans="4:8">
      <c r="D439" s="20" t="s">
        <v>288</v>
      </c>
      <c r="E439" s="21">
        <v>0.10399432761472882</v>
      </c>
      <c r="G439" s="22" t="s">
        <v>281</v>
      </c>
      <c r="H439" s="21">
        <v>5.9311830385121264E-2</v>
      </c>
    </row>
    <row r="440" spans="4:8">
      <c r="D440" s="20" t="s">
        <v>287</v>
      </c>
      <c r="E440" s="21">
        <v>0.11226660358694382</v>
      </c>
      <c r="G440" s="22" t="s">
        <v>282</v>
      </c>
      <c r="H440" s="21">
        <v>0.11279386608998111</v>
      </c>
    </row>
    <row r="441" spans="4:8">
      <c r="D441" s="20" t="s">
        <v>289</v>
      </c>
      <c r="E441" s="21">
        <v>0.40179626578417954</v>
      </c>
      <c r="G441" s="22" t="s">
        <v>270</v>
      </c>
      <c r="H441" s="21">
        <v>7.0717951833837722E-2</v>
      </c>
    </row>
    <row r="442" spans="4:8">
      <c r="D442" s="20" t="s">
        <v>335</v>
      </c>
      <c r="E442" s="21">
        <v>2.7158369456465243E-3</v>
      </c>
      <c r="G442" s="22" t="s">
        <v>271</v>
      </c>
      <c r="H442" s="21">
        <v>2.0835181567328557E-2</v>
      </c>
    </row>
    <row r="443" spans="4:8">
      <c r="D443" s="20" t="s">
        <v>146</v>
      </c>
      <c r="E443" s="21"/>
      <c r="G443" s="22" t="s">
        <v>272</v>
      </c>
      <c r="H443" s="21">
        <v>4.9426525604208474E-2</v>
      </c>
    </row>
    <row r="444" spans="4:8">
      <c r="D444" s="20" t="s">
        <v>286</v>
      </c>
      <c r="E444" s="21">
        <v>0.32826230790410621</v>
      </c>
      <c r="G444" s="22" t="s">
        <v>273</v>
      </c>
      <c r="H444" s="21">
        <v>8.3290032263930322E-2</v>
      </c>
    </row>
    <row r="445" spans="4:8">
      <c r="D445" s="20" t="s">
        <v>288</v>
      </c>
      <c r="E445" s="21">
        <v>0.12617136796201023</v>
      </c>
      <c r="G445" s="22" t="s">
        <v>274</v>
      </c>
      <c r="H445" s="21">
        <v>5.6396933054433024E-2</v>
      </c>
    </row>
    <row r="446" spans="4:8">
      <c r="D446" s="20" t="s">
        <v>287</v>
      </c>
      <c r="E446" s="21">
        <v>7.779010888036722E-2</v>
      </c>
      <c r="G446" s="22" t="s">
        <v>275</v>
      </c>
      <c r="H446" s="21">
        <v>0.2353969964060377</v>
      </c>
    </row>
    <row r="447" spans="4:8">
      <c r="D447" s="20" t="s">
        <v>289</v>
      </c>
      <c r="E447" s="21">
        <v>0.46777621525351637</v>
      </c>
      <c r="G447" s="20" t="s">
        <v>361</v>
      </c>
      <c r="H447" s="21">
        <v>3.3038299855547799E-2</v>
      </c>
    </row>
    <row r="448" spans="4:8">
      <c r="D448" s="20" t="s">
        <v>323</v>
      </c>
      <c r="E448" s="21">
        <v>1.3194175093493627E-2</v>
      </c>
      <c r="G448" s="20" t="s">
        <v>87</v>
      </c>
      <c r="H448" s="21"/>
    </row>
    <row r="449" spans="4:8">
      <c r="D449" s="20" t="s">
        <v>148</v>
      </c>
      <c r="E449" s="21"/>
      <c r="G449" s="22" t="s">
        <v>277</v>
      </c>
      <c r="H449" s="21">
        <v>7.6152762570951132E-2</v>
      </c>
    </row>
    <row r="450" spans="4:8">
      <c r="D450" s="20" t="s">
        <v>286</v>
      </c>
      <c r="E450" s="21">
        <v>0.21381304975894044</v>
      </c>
      <c r="G450" s="22" t="s">
        <v>278</v>
      </c>
      <c r="H450" s="21">
        <v>2.284582877128534E-2</v>
      </c>
    </row>
    <row r="451" spans="4:8">
      <c r="D451" s="20" t="s">
        <v>288</v>
      </c>
      <c r="E451" s="21">
        <v>0.33940550284103599</v>
      </c>
      <c r="G451" s="22" t="s">
        <v>279</v>
      </c>
      <c r="H451" s="21">
        <v>0.11994060085066423</v>
      </c>
    </row>
    <row r="452" spans="4:8">
      <c r="D452" s="20" t="s">
        <v>287</v>
      </c>
      <c r="E452" s="21">
        <v>8.7372613166224605E-2</v>
      </c>
      <c r="G452" s="22" t="s">
        <v>280</v>
      </c>
      <c r="H452" s="21">
        <v>0.47309903686209798</v>
      </c>
    </row>
    <row r="453" spans="4:8">
      <c r="D453" s="20" t="s">
        <v>289</v>
      </c>
      <c r="E453" s="21">
        <v>0.35940883423379894</v>
      </c>
      <c r="G453" s="22" t="s">
        <v>281</v>
      </c>
      <c r="H453" s="21">
        <v>8.1483455406230712E-2</v>
      </c>
    </row>
    <row r="454" spans="4:8">
      <c r="D454" s="20" t="s">
        <v>353</v>
      </c>
      <c r="E454" s="21">
        <v>1.734720197058558E-2</v>
      </c>
      <c r="G454" s="22" t="s">
        <v>282</v>
      </c>
      <c r="H454" s="21">
        <v>3.4268743100189784E-2</v>
      </c>
    </row>
    <row r="455" spans="4:8">
      <c r="D455" s="20" t="s">
        <v>115</v>
      </c>
      <c r="E455" s="21"/>
      <c r="G455" s="22" t="s">
        <v>270</v>
      </c>
      <c r="H455" s="21">
        <v>1.462133035915392E-2</v>
      </c>
    </row>
    <row r="456" spans="4:8">
      <c r="D456" s="20" t="s">
        <v>286</v>
      </c>
      <c r="E456" s="21">
        <v>0.2813940092021221</v>
      </c>
      <c r="G456" s="22" t="s">
        <v>272</v>
      </c>
      <c r="H456" s="21">
        <v>0.1096599779206073</v>
      </c>
    </row>
    <row r="457" spans="4:8">
      <c r="D457" s="20" t="s">
        <v>288</v>
      </c>
      <c r="E457" s="21">
        <v>7.2244623589869966E-2</v>
      </c>
      <c r="G457" s="22" t="s">
        <v>273</v>
      </c>
      <c r="H457" s="21">
        <v>2.985188287334415E-2</v>
      </c>
    </row>
    <row r="458" spans="4:8">
      <c r="D458" s="20" t="s">
        <v>287</v>
      </c>
      <c r="E458" s="21">
        <v>0.20497311831426537</v>
      </c>
      <c r="G458" s="22" t="s">
        <v>274</v>
      </c>
      <c r="H458" s="21">
        <v>3.8076381285475566E-2</v>
      </c>
    </row>
    <row r="459" spans="4:8">
      <c r="D459" s="20" t="s">
        <v>289</v>
      </c>
      <c r="E459" s="21">
        <v>0.44138824889374251</v>
      </c>
      <c r="G459" s="20" t="s">
        <v>342</v>
      </c>
      <c r="H459" s="21">
        <v>6.6394424139679508E-3</v>
      </c>
    </row>
    <row r="460" spans="4:8">
      <c r="D460" s="20" t="s">
        <v>336</v>
      </c>
      <c r="E460" s="21">
        <v>3.1269566818534489E-3</v>
      </c>
      <c r="G460" s="20" t="s">
        <v>119</v>
      </c>
      <c r="H460" s="21"/>
    </row>
    <row r="461" spans="4:8">
      <c r="D461" s="20" t="s">
        <v>268</v>
      </c>
      <c r="E461" s="21">
        <v>1</v>
      </c>
      <c r="G461" s="22" t="s">
        <v>277</v>
      </c>
      <c r="H461" s="21">
        <v>0.10124829633899539</v>
      </c>
    </row>
    <row r="462" spans="4:8">
      <c r="G462" s="22" t="s">
        <v>278</v>
      </c>
      <c r="H462" s="21">
        <v>0.20353503621083863</v>
      </c>
    </row>
    <row r="463" spans="4:8">
      <c r="G463" s="22" t="s">
        <v>279</v>
      </c>
      <c r="H463" s="21">
        <v>0.18865067188319948</v>
      </c>
    </row>
    <row r="464" spans="4:8">
      <c r="G464" s="22" t="s">
        <v>280</v>
      </c>
      <c r="H464" s="21">
        <v>0.18821798685594443</v>
      </c>
    </row>
    <row r="465" spans="7:8">
      <c r="G465" s="22" t="s">
        <v>281</v>
      </c>
      <c r="H465" s="21">
        <v>1.2980550817651339E-2</v>
      </c>
    </row>
    <row r="466" spans="7:8">
      <c r="G466" s="22" t="s">
        <v>270</v>
      </c>
      <c r="H466" s="21">
        <v>0.15955260376000077</v>
      </c>
    </row>
    <row r="467" spans="7:8">
      <c r="G467" s="22" t="s">
        <v>271</v>
      </c>
      <c r="H467" s="21">
        <v>2.5961101635302679E-2</v>
      </c>
    </row>
    <row r="468" spans="7:8">
      <c r="G468" s="22" t="s">
        <v>272</v>
      </c>
      <c r="H468" s="21">
        <v>5.1922203270605358E-2</v>
      </c>
    </row>
    <row r="469" spans="7:8">
      <c r="G469" s="22" t="s">
        <v>274</v>
      </c>
      <c r="H469" s="21">
        <v>6.0575903815706253E-2</v>
      </c>
    </row>
    <row r="470" spans="7:8">
      <c r="G470" s="22" t="s">
        <v>275</v>
      </c>
      <c r="H470" s="21">
        <v>7.3556454117556843E-3</v>
      </c>
    </row>
    <row r="471" spans="7:8">
      <c r="G471" s="20" t="s">
        <v>326</v>
      </c>
      <c r="H471" s="21">
        <v>7.3034056228211712E-3</v>
      </c>
    </row>
    <row r="472" spans="7:8">
      <c r="G472" s="20" t="s">
        <v>41</v>
      </c>
      <c r="H472" s="21"/>
    </row>
    <row r="473" spans="7:8">
      <c r="G473" s="22" t="s">
        <v>277</v>
      </c>
      <c r="H473" s="21">
        <v>0.23355704703356123</v>
      </c>
    </row>
    <row r="474" spans="7:8">
      <c r="G474" s="22" t="s">
        <v>280</v>
      </c>
      <c r="H474" s="21">
        <v>0.18255033458247336</v>
      </c>
    </row>
    <row r="475" spans="7:8">
      <c r="G475" s="22" t="s">
        <v>272</v>
      </c>
      <c r="H475" s="21">
        <v>0.50335570550341846</v>
      </c>
    </row>
    <row r="476" spans="7:8">
      <c r="G476" s="22" t="s">
        <v>273</v>
      </c>
      <c r="H476" s="21">
        <v>8.0536912880546957E-2</v>
      </c>
    </row>
    <row r="477" spans="7:8">
      <c r="G477" s="20" t="s">
        <v>355</v>
      </c>
      <c r="H477" s="21">
        <v>5.7090691525807152E-3</v>
      </c>
    </row>
    <row r="478" spans="7:8">
      <c r="G478" s="20" t="s">
        <v>162</v>
      </c>
      <c r="H478" s="21"/>
    </row>
    <row r="479" spans="7:8">
      <c r="G479" s="22" t="s">
        <v>277</v>
      </c>
      <c r="H479" s="21">
        <v>6.9180361635049106E-2</v>
      </c>
    </row>
    <row r="480" spans="7:8">
      <c r="G480" s="22" t="s">
        <v>278</v>
      </c>
      <c r="H480" s="21">
        <v>5.5823001760089426E-2</v>
      </c>
    </row>
    <row r="481" spans="7:8">
      <c r="G481" s="22" t="s">
        <v>279</v>
      </c>
      <c r="H481" s="21">
        <v>0.14115588963047648</v>
      </c>
    </row>
    <row r="482" spans="7:8">
      <c r="G482" s="22" t="s">
        <v>280</v>
      </c>
      <c r="H482" s="21">
        <v>7.9622074309031149E-2</v>
      </c>
    </row>
    <row r="483" spans="7:8">
      <c r="G483" s="22" t="s">
        <v>281</v>
      </c>
      <c r="H483" s="21">
        <v>7.6867068610655509E-2</v>
      </c>
    </row>
    <row r="484" spans="7:8">
      <c r="G484" s="22" t="s">
        <v>282</v>
      </c>
      <c r="H484" s="21">
        <v>7.5469485545007223E-2</v>
      </c>
    </row>
    <row r="485" spans="7:8">
      <c r="G485" s="22" t="s">
        <v>270</v>
      </c>
      <c r="H485" s="21">
        <v>4.9437492909025375E-2</v>
      </c>
    </row>
    <row r="486" spans="7:8">
      <c r="G486" s="22" t="s">
        <v>271</v>
      </c>
      <c r="H486" s="21">
        <v>0.14277837112048195</v>
      </c>
    </row>
    <row r="487" spans="7:8">
      <c r="G487" s="22" t="s">
        <v>272</v>
      </c>
      <c r="H487" s="21">
        <v>2.2329200704035771E-2</v>
      </c>
    </row>
    <row r="488" spans="7:8">
      <c r="G488" s="22" t="s">
        <v>273</v>
      </c>
      <c r="H488" s="21">
        <v>9.629467786978875E-2</v>
      </c>
    </row>
    <row r="489" spans="7:8">
      <c r="G489" s="22" t="s">
        <v>274</v>
      </c>
      <c r="H489" s="21">
        <v>5.8698488757227843E-2</v>
      </c>
    </row>
    <row r="490" spans="7:8">
      <c r="G490" s="22" t="s">
        <v>275</v>
      </c>
      <c r="H490" s="21">
        <v>0.13234388714913151</v>
      </c>
    </row>
    <row r="491" spans="7:8">
      <c r="G491" s="20" t="s">
        <v>343</v>
      </c>
      <c r="H491" s="21">
        <v>1.9671564965366116E-2</v>
      </c>
    </row>
    <row r="492" spans="7:8">
      <c r="G492" s="20" t="s">
        <v>83</v>
      </c>
      <c r="H492" s="21"/>
    </row>
    <row r="493" spans="7:8">
      <c r="G493" s="22" t="s">
        <v>277</v>
      </c>
      <c r="H493" s="21">
        <v>6.439938029922096E-2</v>
      </c>
    </row>
    <row r="494" spans="7:8">
      <c r="G494" s="22" t="s">
        <v>278</v>
      </c>
      <c r="H494" s="21">
        <v>0.25465376990266536</v>
      </c>
    </row>
    <row r="495" spans="7:8">
      <c r="G495" s="22" t="s">
        <v>279</v>
      </c>
      <c r="H495" s="21">
        <v>7.2122747035577445E-2</v>
      </c>
    </row>
    <row r="496" spans="7:8">
      <c r="G496" s="22" t="s">
        <v>280</v>
      </c>
      <c r="H496" s="21">
        <v>5.9786813984844769E-2</v>
      </c>
    </row>
    <row r="497" spans="7:8">
      <c r="G497" s="22" t="s">
        <v>281</v>
      </c>
      <c r="H497" s="21">
        <v>7.3287062444914536E-2</v>
      </c>
    </row>
    <row r="498" spans="7:8">
      <c r="G498" s="22" t="s">
        <v>282</v>
      </c>
      <c r="H498" s="21">
        <v>3.8572138128902381E-2</v>
      </c>
    </row>
    <row r="499" spans="7:8">
      <c r="G499" s="22" t="s">
        <v>270</v>
      </c>
      <c r="H499" s="21">
        <v>6.9389622763755446E-2</v>
      </c>
    </row>
    <row r="500" spans="7:8">
      <c r="G500" s="22" t="s">
        <v>271</v>
      </c>
      <c r="H500" s="21">
        <v>6.711015689518765E-2</v>
      </c>
    </row>
    <row r="501" spans="7:8">
      <c r="G501" s="22" t="s">
        <v>272</v>
      </c>
      <c r="H501" s="21">
        <v>1.8312826529391115E-2</v>
      </c>
    </row>
    <row r="502" spans="7:8">
      <c r="G502" s="22" t="s">
        <v>273</v>
      </c>
      <c r="H502" s="21">
        <v>8.2364141188268847E-2</v>
      </c>
    </row>
    <row r="503" spans="7:8">
      <c r="G503" s="22" t="s">
        <v>274</v>
      </c>
      <c r="H503" s="21">
        <v>0.11571641438670717</v>
      </c>
    </row>
    <row r="504" spans="7:8">
      <c r="G504" s="22" t="s">
        <v>275</v>
      </c>
      <c r="H504" s="21">
        <v>8.4284926440564498E-2</v>
      </c>
    </row>
    <row r="505" spans="7:8">
      <c r="G505" s="20" t="s">
        <v>373</v>
      </c>
      <c r="H505" s="21">
        <v>1.0605365243556517E-2</v>
      </c>
    </row>
    <row r="506" spans="7:8">
      <c r="G506" s="20" t="s">
        <v>39</v>
      </c>
      <c r="H506" s="21"/>
    </row>
    <row r="507" spans="7:8">
      <c r="G507" s="22" t="s">
        <v>277</v>
      </c>
      <c r="H507" s="21">
        <v>6.2637018531121927E-2</v>
      </c>
    </row>
    <row r="508" spans="7:8">
      <c r="G508" s="22" t="s">
        <v>278</v>
      </c>
      <c r="H508" s="21">
        <v>9.3955527796682883E-2</v>
      </c>
    </row>
    <row r="509" spans="7:8">
      <c r="G509" s="22" t="s">
        <v>279</v>
      </c>
      <c r="H509" s="21">
        <v>0.10335108020300546</v>
      </c>
    </row>
    <row r="510" spans="7:8">
      <c r="G510" s="22" t="s">
        <v>280</v>
      </c>
      <c r="H510" s="21">
        <v>0.19574068272308315</v>
      </c>
    </row>
    <row r="511" spans="7:8">
      <c r="G511" s="22" t="s">
        <v>281</v>
      </c>
      <c r="H511" s="21">
        <v>5.6373316584673299E-3</v>
      </c>
    </row>
    <row r="512" spans="7:8">
      <c r="G512" s="22" t="s">
        <v>273</v>
      </c>
      <c r="H512" s="21">
        <v>0.15659254632780481</v>
      </c>
    </row>
    <row r="513" spans="7:8">
      <c r="G513" s="22" t="s">
        <v>274</v>
      </c>
      <c r="H513" s="21">
        <v>0.30692139080249742</v>
      </c>
    </row>
    <row r="514" spans="7:8">
      <c r="G514" s="22" t="s">
        <v>275</v>
      </c>
      <c r="H514" s="21">
        <v>7.516442195733701E-2</v>
      </c>
    </row>
    <row r="515" spans="7:8">
      <c r="G515" s="20" t="s">
        <v>320</v>
      </c>
      <c r="H515" s="21">
        <v>1.0090117106691167E-2</v>
      </c>
    </row>
    <row r="516" spans="7:8">
      <c r="G516" s="20" t="s">
        <v>73</v>
      </c>
      <c r="H516" s="21"/>
    </row>
    <row r="517" spans="7:8">
      <c r="G517" s="22" t="s">
        <v>277</v>
      </c>
      <c r="H517" s="21">
        <v>0.16742252406347191</v>
      </c>
    </row>
    <row r="518" spans="7:8">
      <c r="G518" s="22" t="s">
        <v>278</v>
      </c>
      <c r="H518" s="21">
        <v>1.8896447485594447E-2</v>
      </c>
    </row>
    <row r="519" spans="7:8">
      <c r="G519" s="22" t="s">
        <v>279</v>
      </c>
      <c r="H519" s="21">
        <v>0.12698412710319468</v>
      </c>
    </row>
    <row r="520" spans="7:8">
      <c r="G520" s="22" t="s">
        <v>280</v>
      </c>
      <c r="H520" s="21">
        <v>0.29024943314220431</v>
      </c>
    </row>
    <row r="521" spans="7:8">
      <c r="G521" s="22" t="s">
        <v>273</v>
      </c>
      <c r="H521" s="21">
        <v>1.2093726390780445E-2</v>
      </c>
    </row>
    <row r="522" spans="7:8">
      <c r="G522" s="22" t="s">
        <v>274</v>
      </c>
      <c r="H522" s="21">
        <v>0.18140589586170669</v>
      </c>
    </row>
    <row r="523" spans="7:8">
      <c r="G523" s="22" t="s">
        <v>275</v>
      </c>
      <c r="H523" s="21">
        <v>0.20294784595304749</v>
      </c>
    </row>
    <row r="524" spans="7:8">
      <c r="G524" s="20" t="s">
        <v>327</v>
      </c>
      <c r="H524" s="21">
        <v>2.9265447703356109E-3</v>
      </c>
    </row>
    <row r="525" spans="7:8">
      <c r="G525" s="20" t="s">
        <v>170</v>
      </c>
      <c r="H525" s="21"/>
    </row>
    <row r="526" spans="7:8">
      <c r="G526" s="22" t="s">
        <v>277</v>
      </c>
      <c r="H526" s="21">
        <v>0.12033847852204119</v>
      </c>
    </row>
    <row r="527" spans="7:8">
      <c r="G527" s="22" t="s">
        <v>278</v>
      </c>
      <c r="H527" s="21">
        <v>0.14826154130486191</v>
      </c>
    </row>
    <row r="528" spans="7:8">
      <c r="G528" s="22" t="s">
        <v>279</v>
      </c>
      <c r="H528" s="21">
        <v>0.13828294427503801</v>
      </c>
    </row>
    <row r="529" spans="7:8">
      <c r="G529" s="22" t="s">
        <v>280</v>
      </c>
      <c r="H529" s="21">
        <v>0.14450539333829301</v>
      </c>
    </row>
    <row r="530" spans="7:8">
      <c r="G530" s="22" t="s">
        <v>281</v>
      </c>
      <c r="H530" s="21">
        <v>5.0034726438754382E-2</v>
      </c>
    </row>
    <row r="531" spans="7:8">
      <c r="G531" s="22" t="s">
        <v>282</v>
      </c>
      <c r="H531" s="21">
        <v>2.5513458366733334E-2</v>
      </c>
    </row>
    <row r="532" spans="7:8">
      <c r="G532" s="22" t="s">
        <v>270</v>
      </c>
      <c r="H532" s="21">
        <v>0.14507235903858978</v>
      </c>
    </row>
    <row r="533" spans="7:8">
      <c r="G533" s="22" t="s">
        <v>271</v>
      </c>
      <c r="H533" s="21">
        <v>4.8546441614478707E-2</v>
      </c>
    </row>
    <row r="534" spans="7:8">
      <c r="G534" s="22" t="s">
        <v>272</v>
      </c>
      <c r="H534" s="21">
        <v>9.4258054447618686E-2</v>
      </c>
    </row>
    <row r="535" spans="7:8">
      <c r="G535" s="22" t="s">
        <v>273</v>
      </c>
      <c r="H535" s="21">
        <v>3.1891822958416666E-2</v>
      </c>
    </row>
    <row r="536" spans="7:8">
      <c r="G536" s="22" t="s">
        <v>274</v>
      </c>
      <c r="H536" s="21">
        <v>1.6158523628040222E-2</v>
      </c>
    </row>
    <row r="537" spans="7:8">
      <c r="G537" s="22" t="s">
        <v>275</v>
      </c>
      <c r="H537" s="21">
        <v>3.7136256067134082E-2</v>
      </c>
    </row>
    <row r="538" spans="7:8">
      <c r="G538" s="20" t="s">
        <v>321</v>
      </c>
      <c r="H538" s="21">
        <v>7.2457579685667453E-3</v>
      </c>
    </row>
    <row r="539" spans="7:8">
      <c r="G539" s="20" t="s">
        <v>159</v>
      </c>
      <c r="H539" s="21"/>
    </row>
    <row r="540" spans="7:8">
      <c r="G540" s="22" t="s">
        <v>277</v>
      </c>
      <c r="H540" s="21">
        <v>0.1366951974206039</v>
      </c>
    </row>
    <row r="541" spans="7:8">
      <c r="G541" s="22" t="s">
        <v>278</v>
      </c>
      <c r="H541" s="21">
        <v>0.12684291144003129</v>
      </c>
    </row>
    <row r="542" spans="7:8">
      <c r="G542" s="22" t="s">
        <v>279</v>
      </c>
      <c r="H542" s="21">
        <v>7.4208373720007006E-2</v>
      </c>
    </row>
    <row r="543" spans="7:8">
      <c r="G543" s="22" t="s">
        <v>280</v>
      </c>
      <c r="H543" s="21">
        <v>0.11412348381822247</v>
      </c>
    </row>
    <row r="544" spans="7:8">
      <c r="G544" s="22" t="s">
        <v>281</v>
      </c>
      <c r="H544" s="21">
        <v>9.8382313777222383E-3</v>
      </c>
    </row>
    <row r="545" spans="7:8">
      <c r="G545" s="22" t="s">
        <v>270</v>
      </c>
      <c r="H545" s="21">
        <v>6.0224030632206722E-2</v>
      </c>
    </row>
    <row r="546" spans="7:8">
      <c r="G546" s="22" t="s">
        <v>271</v>
      </c>
      <c r="H546" s="21">
        <v>4.392067579340285E-2</v>
      </c>
    </row>
    <row r="547" spans="7:8">
      <c r="G547" s="22" t="s">
        <v>272</v>
      </c>
      <c r="H547" s="21">
        <v>0.11524785324000304</v>
      </c>
    </row>
    <row r="548" spans="7:8">
      <c r="G548" s="22" t="s">
        <v>273</v>
      </c>
      <c r="H548" s="21">
        <v>0.14602746263496685</v>
      </c>
    </row>
    <row r="549" spans="7:8">
      <c r="G549" s="22" t="s">
        <v>274</v>
      </c>
      <c r="H549" s="21">
        <v>5.6218465015555642E-2</v>
      </c>
    </row>
    <row r="550" spans="7:8">
      <c r="G550" s="22" t="s">
        <v>275</v>
      </c>
      <c r="H550" s="21">
        <v>0.11665331490727796</v>
      </c>
    </row>
    <row r="551" spans="7:8">
      <c r="G551" s="20" t="s">
        <v>308</v>
      </c>
      <c r="H551" s="21">
        <v>8.4315916312121802E-3</v>
      </c>
    </row>
    <row r="552" spans="7:8">
      <c r="G552" s="20" t="s">
        <v>131</v>
      </c>
      <c r="H552" s="21"/>
    </row>
    <row r="553" spans="7:8">
      <c r="G553" s="22" t="s">
        <v>277</v>
      </c>
      <c r="H553" s="21">
        <v>8.2633246254937044E-3</v>
      </c>
    </row>
    <row r="554" spans="7:8">
      <c r="G554" s="22" t="s">
        <v>278</v>
      </c>
      <c r="H554" s="21">
        <v>0.21677454888857781</v>
      </c>
    </row>
    <row r="555" spans="7:8">
      <c r="G555" s="22" t="s">
        <v>279</v>
      </c>
      <c r="H555" s="21">
        <v>6.4894642572037919E-2</v>
      </c>
    </row>
    <row r="556" spans="7:8">
      <c r="G556" s="22" t="s">
        <v>280</v>
      </c>
      <c r="H556" s="21">
        <v>0.23584905648572255</v>
      </c>
    </row>
    <row r="557" spans="7:8">
      <c r="G557" s="22" t="s">
        <v>281</v>
      </c>
      <c r="H557" s="21">
        <v>2.6993527101737223E-2</v>
      </c>
    </row>
    <row r="558" spans="7:8">
      <c r="G558" s="22" t="s">
        <v>282</v>
      </c>
      <c r="H558" s="21">
        <v>5.6259468447780264E-2</v>
      </c>
    </row>
    <row r="559" spans="7:8">
      <c r="G559" s="22" t="s">
        <v>270</v>
      </c>
      <c r="H559" s="21">
        <v>4.8588348577905116E-2</v>
      </c>
    </row>
    <row r="560" spans="7:8">
      <c r="G560" s="22" t="s">
        <v>271</v>
      </c>
      <c r="H560" s="21">
        <v>3.77358491107746E-2</v>
      </c>
    </row>
    <row r="561" spans="7:8">
      <c r="G561" s="22" t="s">
        <v>272</v>
      </c>
      <c r="H561" s="21">
        <v>4.9579947670873471E-3</v>
      </c>
    </row>
    <row r="562" spans="7:8">
      <c r="G562" s="22" t="s">
        <v>273</v>
      </c>
      <c r="H562" s="21">
        <v>7.244181241881946E-2</v>
      </c>
    </row>
    <row r="563" spans="7:8">
      <c r="G563" s="22" t="s">
        <v>274</v>
      </c>
      <c r="H563" s="21">
        <v>2.9747968651777333E-2</v>
      </c>
    </row>
    <row r="564" spans="7:8">
      <c r="G564" s="22" t="s">
        <v>275</v>
      </c>
      <c r="H564" s="21">
        <v>0.19749345835228652</v>
      </c>
    </row>
    <row r="565" spans="7:8">
      <c r="G565" s="20" t="s">
        <v>356</v>
      </c>
      <c r="H565" s="21">
        <v>1.3767179501064802E-2</v>
      </c>
    </row>
    <row r="566" spans="7:8">
      <c r="G566" s="20" t="s">
        <v>55</v>
      </c>
      <c r="H566" s="21"/>
    </row>
    <row r="567" spans="7:8">
      <c r="G567" s="22" t="s">
        <v>277</v>
      </c>
      <c r="H567" s="21">
        <v>6.5092333492457563E-2</v>
      </c>
    </row>
    <row r="568" spans="7:8">
      <c r="G568" s="22" t="s">
        <v>278</v>
      </c>
      <c r="H568" s="21">
        <v>0.11511186343863244</v>
      </c>
    </row>
    <row r="569" spans="7:8">
      <c r="G569" s="22" t="s">
        <v>279</v>
      </c>
      <c r="H569" s="21">
        <v>0.20296006987599777</v>
      </c>
    </row>
    <row r="570" spans="7:8">
      <c r="G570" s="22" t="s">
        <v>280</v>
      </c>
      <c r="H570" s="21">
        <v>5.0680261338948485E-2</v>
      </c>
    </row>
    <row r="571" spans="7:8">
      <c r="G571" s="22" t="s">
        <v>281</v>
      </c>
      <c r="H571" s="21">
        <v>0.12187589201312503</v>
      </c>
    </row>
    <row r="572" spans="7:8">
      <c r="G572" s="22" t="s">
        <v>282</v>
      </c>
      <c r="H572" s="21">
        <v>1.0946936431088197E-2</v>
      </c>
    </row>
    <row r="573" spans="7:8">
      <c r="G573" s="22" t="s">
        <v>270</v>
      </c>
      <c r="H573" s="21">
        <v>9.3479669409210375E-2</v>
      </c>
    </row>
    <row r="574" spans="7:8">
      <c r="G574" s="22" t="s">
        <v>271</v>
      </c>
      <c r="H574" s="21">
        <v>2.7451566006683949E-2</v>
      </c>
    </row>
    <row r="575" spans="7:8">
      <c r="G575" s="22" t="s">
        <v>272</v>
      </c>
      <c r="H575" s="21">
        <v>0.11085036526439125</v>
      </c>
    </row>
    <row r="576" spans="7:8">
      <c r="G576" s="22" t="s">
        <v>273</v>
      </c>
      <c r="H576" s="21">
        <v>5.495628122466787E-2</v>
      </c>
    </row>
    <row r="577" spans="7:8">
      <c r="G577" s="22" t="s">
        <v>274</v>
      </c>
      <c r="H577" s="21">
        <v>6.0438317228584601E-2</v>
      </c>
    </row>
    <row r="578" spans="7:8">
      <c r="G578" s="22" t="s">
        <v>275</v>
      </c>
      <c r="H578" s="21">
        <v>8.6156444276212427E-2</v>
      </c>
    </row>
    <row r="579" spans="7:8">
      <c r="G579" s="20" t="s">
        <v>328</v>
      </c>
      <c r="H579" s="21">
        <v>1.3600782236757453E-2</v>
      </c>
    </row>
    <row r="580" spans="7:8">
      <c r="G580" s="20" t="s">
        <v>127</v>
      </c>
      <c r="H580" s="21"/>
    </row>
    <row r="581" spans="7:8">
      <c r="G581" s="22" t="s">
        <v>277</v>
      </c>
      <c r="H581" s="21">
        <v>7.3768710881390434E-2</v>
      </c>
    </row>
    <row r="582" spans="7:8">
      <c r="G582" s="22" t="s">
        <v>278</v>
      </c>
      <c r="H582" s="21">
        <v>8.7556387516454712E-2</v>
      </c>
    </row>
    <row r="583" spans="7:8">
      <c r="G583" s="22" t="s">
        <v>279</v>
      </c>
      <c r="H583" s="21">
        <v>7.0729463258546066E-2</v>
      </c>
    </row>
    <row r="584" spans="7:8">
      <c r="G584" s="22" t="s">
        <v>280</v>
      </c>
      <c r="H584" s="21">
        <v>0.14666934305790424</v>
      </c>
    </row>
    <row r="585" spans="7:8">
      <c r="G585" s="22" t="s">
        <v>281</v>
      </c>
      <c r="H585" s="21">
        <v>3.5870219762495187E-2</v>
      </c>
    </row>
    <row r="586" spans="7:8">
      <c r="G586" s="22" t="s">
        <v>282</v>
      </c>
      <c r="H586" s="21">
        <v>6.855197565960236E-2</v>
      </c>
    </row>
    <row r="587" spans="7:8">
      <c r="G587" s="22" t="s">
        <v>270</v>
      </c>
      <c r="H587" s="21">
        <v>1.9101621124662318E-2</v>
      </c>
    </row>
    <row r="588" spans="7:8">
      <c r="G588" s="22" t="s">
        <v>271</v>
      </c>
      <c r="H588" s="21">
        <v>9.3668906110026304E-2</v>
      </c>
    </row>
    <row r="589" spans="7:8">
      <c r="G589" s="22" t="s">
        <v>272</v>
      </c>
      <c r="H589" s="21">
        <v>5.4145562170162399E-2</v>
      </c>
    </row>
    <row r="590" spans="7:8">
      <c r="G590" s="22" t="s">
        <v>273</v>
      </c>
      <c r="H590" s="21">
        <v>0.19585140022392847</v>
      </c>
    </row>
    <row r="591" spans="7:8">
      <c r="G591" s="22" t="s">
        <v>275</v>
      </c>
      <c r="H591" s="21">
        <v>0.15408641023482755</v>
      </c>
    </row>
    <row r="592" spans="7:8">
      <c r="G592" s="20" t="s">
        <v>357</v>
      </c>
      <c r="H592" s="21">
        <v>1.625397625225395E-2</v>
      </c>
    </row>
    <row r="593" spans="7:8">
      <c r="G593" s="20" t="s">
        <v>45</v>
      </c>
      <c r="H593" s="21"/>
    </row>
    <row r="594" spans="7:8">
      <c r="G594" s="22" t="s">
        <v>277</v>
      </c>
      <c r="H594" s="21">
        <v>0.13347005883511578</v>
      </c>
    </row>
    <row r="595" spans="7:8">
      <c r="G595" s="22" t="s">
        <v>278</v>
      </c>
      <c r="H595" s="21">
        <v>0.18334228574075806</v>
      </c>
    </row>
    <row r="596" spans="7:8">
      <c r="G596" s="22" t="s">
        <v>279</v>
      </c>
      <c r="H596" s="21">
        <v>0.11678630152317146</v>
      </c>
    </row>
    <row r="597" spans="7:8">
      <c r="G597" s="22" t="s">
        <v>280</v>
      </c>
      <c r="H597" s="21">
        <v>1.6276836449222502E-2</v>
      </c>
    </row>
    <row r="598" spans="7:8">
      <c r="G598" s="22" t="s">
        <v>281</v>
      </c>
      <c r="H598" s="21">
        <v>0.15829223432922618</v>
      </c>
    </row>
    <row r="599" spans="7:8">
      <c r="G599" s="22" t="s">
        <v>282</v>
      </c>
      <c r="H599" s="21">
        <v>7.1618080018826955E-2</v>
      </c>
    </row>
    <row r="600" spans="7:8">
      <c r="G600" s="22" t="s">
        <v>270</v>
      </c>
      <c r="H600" s="21">
        <v>3.5809040188289509E-2</v>
      </c>
    </row>
    <row r="601" spans="7:8">
      <c r="G601" s="22" t="s">
        <v>271</v>
      </c>
      <c r="H601" s="21">
        <v>1.6276836449222502E-2</v>
      </c>
    </row>
    <row r="602" spans="7:8">
      <c r="G602" s="22" t="s">
        <v>272</v>
      </c>
      <c r="H602" s="21">
        <v>1.5625762991253605E-2</v>
      </c>
    </row>
    <row r="603" spans="7:8">
      <c r="G603" s="22" t="s">
        <v>273</v>
      </c>
      <c r="H603" s="21">
        <v>7.6501131117310758E-2</v>
      </c>
    </row>
    <row r="604" spans="7:8">
      <c r="G604" s="22" t="s">
        <v>274</v>
      </c>
      <c r="H604" s="21">
        <v>5.1890554553552938E-2</v>
      </c>
    </row>
    <row r="605" spans="7:8">
      <c r="G605" s="22" t="s">
        <v>275</v>
      </c>
      <c r="H605" s="21">
        <v>0.1241108778040497</v>
      </c>
    </row>
    <row r="606" spans="7:8">
      <c r="G606" s="20" t="s">
        <v>344</v>
      </c>
      <c r="H606" s="21">
        <v>1.019263781498453E-2</v>
      </c>
    </row>
    <row r="607" spans="7:8">
      <c r="G607" s="20" t="s">
        <v>47</v>
      </c>
      <c r="H607" s="21"/>
    </row>
    <row r="608" spans="7:8">
      <c r="G608" s="22" t="s">
        <v>278</v>
      </c>
      <c r="H608" s="21">
        <v>3.7201227689971007E-2</v>
      </c>
    </row>
    <row r="609" spans="7:8">
      <c r="G609" s="22" t="s">
        <v>279</v>
      </c>
      <c r="H609" s="21">
        <v>0.15500511537487921</v>
      </c>
    </row>
    <row r="610" spans="7:8">
      <c r="G610" s="22" t="s">
        <v>280</v>
      </c>
      <c r="H610" s="21">
        <v>0.13082431729324684</v>
      </c>
    </row>
    <row r="611" spans="7:8">
      <c r="G611" s="22" t="s">
        <v>281</v>
      </c>
      <c r="H611" s="21">
        <v>0.11981895362582062</v>
      </c>
    </row>
    <row r="612" spans="7:8">
      <c r="G612" s="22" t="s">
        <v>270</v>
      </c>
      <c r="H612" s="21">
        <v>2.8272933022204304E-2</v>
      </c>
    </row>
    <row r="613" spans="7:8">
      <c r="G613" s="22" t="s">
        <v>271</v>
      </c>
      <c r="H613" s="21">
        <v>9.4863129944216279E-2</v>
      </c>
    </row>
    <row r="614" spans="7:8">
      <c r="G614" s="22" t="s">
        <v>272</v>
      </c>
      <c r="H614" s="21">
        <v>0.31001023074975842</v>
      </c>
    </row>
    <row r="615" spans="7:8">
      <c r="G615" s="22" t="s">
        <v>273</v>
      </c>
      <c r="H615" s="21">
        <v>0.12400409229990336</v>
      </c>
    </row>
    <row r="616" spans="7:8">
      <c r="G616" s="20" t="s">
        <v>345</v>
      </c>
      <c r="H616" s="21">
        <v>9.6837789535405942E-3</v>
      </c>
    </row>
    <row r="617" spans="7:8">
      <c r="G617" s="20" t="s">
        <v>138</v>
      </c>
      <c r="H617" s="21"/>
    </row>
    <row r="618" spans="7:8">
      <c r="G618" s="22" t="s">
        <v>277</v>
      </c>
      <c r="H618" s="21">
        <v>0.17025059130977518</v>
      </c>
    </row>
    <row r="619" spans="7:8">
      <c r="G619" s="22" t="s">
        <v>278</v>
      </c>
      <c r="H619" s="21">
        <v>5.1633249381810534E-2</v>
      </c>
    </row>
    <row r="620" spans="7:8">
      <c r="G620" s="22" t="s">
        <v>279</v>
      </c>
      <c r="H620" s="21">
        <v>0.10326649880969264</v>
      </c>
    </row>
    <row r="621" spans="7:8">
      <c r="G621" s="22" t="s">
        <v>280</v>
      </c>
      <c r="H621" s="21">
        <v>0.2319631458937414</v>
      </c>
    </row>
    <row r="622" spans="7:8">
      <c r="G622" s="22" t="s">
        <v>281</v>
      </c>
      <c r="H622" s="21">
        <v>1.198076893145247E-2</v>
      </c>
    </row>
    <row r="623" spans="7:8">
      <c r="G623" s="22" t="s">
        <v>282</v>
      </c>
      <c r="H623" s="21">
        <v>3.4009924665540051E-2</v>
      </c>
    </row>
    <row r="624" spans="7:8">
      <c r="G624" s="22" t="s">
        <v>270</v>
      </c>
      <c r="H624" s="21">
        <v>0.11679317302149227</v>
      </c>
    </row>
    <row r="625" spans="7:8">
      <c r="G625" s="22" t="s">
        <v>271</v>
      </c>
      <c r="H625" s="21">
        <v>1.2800098951491021E-2</v>
      </c>
    </row>
    <row r="626" spans="7:8">
      <c r="G626" s="22" t="s">
        <v>272</v>
      </c>
      <c r="H626" s="21">
        <v>3.0145160580673753E-2</v>
      </c>
    </row>
    <row r="627" spans="7:8">
      <c r="G627" s="22" t="s">
        <v>273</v>
      </c>
      <c r="H627" s="21">
        <v>0.11147525754755951</v>
      </c>
    </row>
    <row r="628" spans="7:8">
      <c r="G628" s="22" t="s">
        <v>274</v>
      </c>
      <c r="H628" s="21">
        <v>6.8599564020979942E-2</v>
      </c>
    </row>
    <row r="629" spans="7:8">
      <c r="G629" s="22" t="s">
        <v>275</v>
      </c>
      <c r="H629" s="21">
        <v>5.7082566885791233E-2</v>
      </c>
    </row>
    <row r="630" spans="7:8">
      <c r="G630" s="20" t="s">
        <v>346</v>
      </c>
      <c r="H630" s="21">
        <v>5.6214323951185273E-2</v>
      </c>
    </row>
    <row r="631" spans="7:8">
      <c r="G631" s="20" t="s">
        <v>135</v>
      </c>
      <c r="H631" s="21"/>
    </row>
    <row r="632" spans="7:8">
      <c r="G632" s="22" t="s">
        <v>277</v>
      </c>
      <c r="H632" s="21">
        <v>0.2023415627503434</v>
      </c>
    </row>
    <row r="633" spans="7:8">
      <c r="G633" s="22" t="s">
        <v>278</v>
      </c>
      <c r="H633" s="21">
        <v>7.5337235858304055E-2</v>
      </c>
    </row>
    <row r="634" spans="7:8">
      <c r="G634" s="22" t="s">
        <v>279</v>
      </c>
      <c r="H634" s="21">
        <v>0.11453296005809799</v>
      </c>
    </row>
    <row r="635" spans="7:8">
      <c r="G635" s="22" t="s">
        <v>280</v>
      </c>
      <c r="H635" s="21">
        <v>0.12216849072863786</v>
      </c>
    </row>
    <row r="636" spans="7:8">
      <c r="G636" s="22" t="s">
        <v>281</v>
      </c>
      <c r="H636" s="21">
        <v>1.1453295986846754E-2</v>
      </c>
    </row>
    <row r="637" spans="7:8">
      <c r="G637" s="22" t="s">
        <v>282</v>
      </c>
      <c r="H637" s="21">
        <v>2.5451768901799555E-2</v>
      </c>
    </row>
    <row r="638" spans="7:8">
      <c r="G638" s="22" t="s">
        <v>270</v>
      </c>
      <c r="H638" s="21">
        <v>0.18172562993609315</v>
      </c>
    </row>
    <row r="639" spans="7:8">
      <c r="G639" s="22" t="s">
        <v>271</v>
      </c>
      <c r="H639" s="21">
        <v>4.0722830242879288E-3</v>
      </c>
    </row>
    <row r="640" spans="7:8">
      <c r="G640" s="22" t="s">
        <v>273</v>
      </c>
      <c r="H640" s="21">
        <v>0.13438533980150164</v>
      </c>
    </row>
    <row r="641" spans="7:8">
      <c r="G641" s="22" t="s">
        <v>274</v>
      </c>
      <c r="H641" s="21">
        <v>0.12853143295408775</v>
      </c>
    </row>
    <row r="642" spans="7:8">
      <c r="G642" s="20" t="s">
        <v>350</v>
      </c>
      <c r="H642" s="21">
        <v>6.0527667376059149E-3</v>
      </c>
    </row>
    <row r="643" spans="7:8">
      <c r="G643" s="20" t="s">
        <v>166</v>
      </c>
      <c r="H643" s="21"/>
    </row>
    <row r="644" spans="7:8">
      <c r="G644" s="22" t="s">
        <v>277</v>
      </c>
      <c r="H644" s="21">
        <v>1.8954471377578334E-2</v>
      </c>
    </row>
    <row r="645" spans="7:8">
      <c r="G645" s="22" t="s">
        <v>278</v>
      </c>
      <c r="H645" s="21">
        <v>0.13995981654019071</v>
      </c>
    </row>
    <row r="646" spans="7:8">
      <c r="G646" s="22" t="s">
        <v>279</v>
      </c>
      <c r="H646" s="21">
        <v>0.22356798957513849</v>
      </c>
    </row>
    <row r="647" spans="7:8">
      <c r="G647" s="22" t="s">
        <v>280</v>
      </c>
      <c r="H647" s="21">
        <v>0.10652412909115039</v>
      </c>
    </row>
    <row r="648" spans="7:8">
      <c r="G648" s="22" t="s">
        <v>281</v>
      </c>
      <c r="H648" s="21">
        <v>3.2222601341883164E-2</v>
      </c>
    </row>
    <row r="649" spans="7:8">
      <c r="G649" s="22" t="s">
        <v>282</v>
      </c>
      <c r="H649" s="21">
        <v>0.10851434847423087</v>
      </c>
    </row>
    <row r="650" spans="7:8">
      <c r="G650" s="22" t="s">
        <v>270</v>
      </c>
      <c r="H650" s="21">
        <v>6.0654308323517578E-2</v>
      </c>
    </row>
    <row r="651" spans="7:8">
      <c r="G651" s="22" t="s">
        <v>271</v>
      </c>
      <c r="H651" s="21">
        <v>4.0562568736719887E-2</v>
      </c>
    </row>
    <row r="652" spans="7:8">
      <c r="G652" s="22" t="s">
        <v>272</v>
      </c>
      <c r="H652" s="21">
        <v>5.9706584839371753E-2</v>
      </c>
    </row>
    <row r="653" spans="7:8">
      <c r="G653" s="22" t="s">
        <v>273</v>
      </c>
      <c r="H653" s="21">
        <v>7.7713332648071162E-2</v>
      </c>
    </row>
    <row r="654" spans="7:8">
      <c r="G654" s="22" t="s">
        <v>274</v>
      </c>
      <c r="H654" s="21">
        <v>3.191932977272733E-2</v>
      </c>
    </row>
    <row r="655" spans="7:8">
      <c r="G655" s="22" t="s">
        <v>275</v>
      </c>
      <c r="H655" s="21">
        <v>9.9700519279420294E-2</v>
      </c>
    </row>
    <row r="656" spans="7:8">
      <c r="G656" s="20" t="s">
        <v>309</v>
      </c>
      <c r="H656" s="21">
        <v>6.4603689110131002E-3</v>
      </c>
    </row>
    <row r="657" spans="7:8">
      <c r="G657" s="20" t="s">
        <v>163</v>
      </c>
      <c r="H657" s="21"/>
    </row>
    <row r="658" spans="7:8">
      <c r="G658" s="22" t="s">
        <v>277</v>
      </c>
      <c r="H658" s="21">
        <v>5.4037826467539296E-2</v>
      </c>
    </row>
    <row r="659" spans="7:8">
      <c r="G659" s="22" t="s">
        <v>278</v>
      </c>
      <c r="H659" s="21">
        <v>3.7526268442367283E-2</v>
      </c>
    </row>
    <row r="660" spans="7:8">
      <c r="G660" s="22" t="s">
        <v>279</v>
      </c>
      <c r="H660" s="21">
        <v>4.8033623427290929E-2</v>
      </c>
    </row>
    <row r="661" spans="7:8">
      <c r="G661" s="22" t="s">
        <v>281</v>
      </c>
      <c r="H661" s="21">
        <v>0.12676373473289204</v>
      </c>
    </row>
    <row r="662" spans="7:8">
      <c r="G662" s="22" t="s">
        <v>282</v>
      </c>
      <c r="H662" s="21">
        <v>1.1257880532710185E-2</v>
      </c>
    </row>
    <row r="663" spans="7:8">
      <c r="G663" s="22" t="s">
        <v>270</v>
      </c>
      <c r="H663" s="21">
        <v>0.11257880532710185</v>
      </c>
    </row>
    <row r="664" spans="7:8">
      <c r="G664" s="22" t="s">
        <v>271</v>
      </c>
      <c r="H664" s="21">
        <v>0.18669318471791826</v>
      </c>
    </row>
    <row r="665" spans="7:8">
      <c r="G665" s="22" t="s">
        <v>272</v>
      </c>
      <c r="H665" s="21">
        <v>0.18763134221183642</v>
      </c>
    </row>
    <row r="666" spans="7:8">
      <c r="G666" s="22" t="s">
        <v>273</v>
      </c>
      <c r="H666" s="21">
        <v>0.17918793147679279</v>
      </c>
    </row>
    <row r="667" spans="7:8">
      <c r="G667" s="22" t="s">
        <v>274</v>
      </c>
      <c r="H667" s="21">
        <v>5.6289402663550925E-2</v>
      </c>
    </row>
    <row r="668" spans="7:8">
      <c r="G668" s="20" t="s">
        <v>374</v>
      </c>
      <c r="H668" s="21">
        <v>3.157862204396491E-3</v>
      </c>
    </row>
    <row r="669" spans="7:8">
      <c r="G669" s="20" t="s">
        <v>111</v>
      </c>
      <c r="H669" s="21"/>
    </row>
    <row r="670" spans="7:8">
      <c r="G670" s="22" t="s">
        <v>277</v>
      </c>
      <c r="H670" s="21">
        <v>6.3067995106545746E-2</v>
      </c>
    </row>
    <row r="671" spans="7:8">
      <c r="G671" s="22" t="s">
        <v>278</v>
      </c>
      <c r="H671" s="21">
        <v>3.2847914240360591E-2</v>
      </c>
    </row>
    <row r="672" spans="7:8">
      <c r="G672" s="22" t="s">
        <v>279</v>
      </c>
      <c r="H672" s="21">
        <v>0.1129968249085249</v>
      </c>
    </row>
    <row r="673" spans="7:8">
      <c r="G673" s="22" t="s">
        <v>280</v>
      </c>
      <c r="H673" s="21">
        <v>8.9784298923652278E-2</v>
      </c>
    </row>
    <row r="674" spans="7:8">
      <c r="G674" s="22" t="s">
        <v>281</v>
      </c>
      <c r="H674" s="21">
        <v>0.18613817939011784</v>
      </c>
    </row>
    <row r="675" spans="7:8">
      <c r="G675" s="22" t="s">
        <v>271</v>
      </c>
      <c r="H675" s="21">
        <v>4.3797218987147453E-2</v>
      </c>
    </row>
    <row r="676" spans="7:8">
      <c r="G676" s="22" t="s">
        <v>273</v>
      </c>
      <c r="H676" s="21">
        <v>0.24088470442931101</v>
      </c>
    </row>
    <row r="677" spans="7:8">
      <c r="G677" s="22" t="s">
        <v>274</v>
      </c>
      <c r="H677" s="21">
        <v>0.1532902656718608</v>
      </c>
    </row>
    <row r="678" spans="7:8">
      <c r="G678" s="22" t="s">
        <v>275</v>
      </c>
      <c r="H678" s="21">
        <v>7.7192598342479379E-2</v>
      </c>
    </row>
    <row r="679" spans="7:8">
      <c r="G679" s="20" t="s">
        <v>375</v>
      </c>
      <c r="H679" s="21">
        <v>3.4272387806149841E-3</v>
      </c>
    </row>
    <row r="680" spans="7:8">
      <c r="G680" s="20" t="s">
        <v>79</v>
      </c>
      <c r="H680" s="21"/>
    </row>
    <row r="681" spans="7:8">
      <c r="G681" s="22" t="s">
        <v>277</v>
      </c>
      <c r="H681" s="21">
        <v>5.3544743543752889E-2</v>
      </c>
    </row>
    <row r="682" spans="7:8">
      <c r="G682" s="22" t="s">
        <v>278</v>
      </c>
      <c r="H682" s="21">
        <v>8.6065726944465779E-2</v>
      </c>
    </row>
    <row r="683" spans="7:8">
      <c r="G683" s="22" t="s">
        <v>279</v>
      </c>
      <c r="H683" s="21">
        <v>0.12664690793661881</v>
      </c>
    </row>
    <row r="684" spans="7:8">
      <c r="G684" s="22" t="s">
        <v>280</v>
      </c>
      <c r="H684" s="21">
        <v>0.26990921779900151</v>
      </c>
    </row>
    <row r="685" spans="7:8">
      <c r="G685" s="22" t="s">
        <v>281</v>
      </c>
      <c r="H685" s="21">
        <v>2.4488804695457604E-2</v>
      </c>
    </row>
    <row r="686" spans="7:8">
      <c r="G686" s="22" t="s">
        <v>271</v>
      </c>
      <c r="H686" s="21">
        <v>0.10153078386602965</v>
      </c>
    </row>
    <row r="687" spans="7:8">
      <c r="G687" s="22" t="s">
        <v>272</v>
      </c>
      <c r="H687" s="21">
        <v>4.5328883498333201E-2</v>
      </c>
    </row>
    <row r="688" spans="7:8">
      <c r="G688" s="22" t="s">
        <v>273</v>
      </c>
      <c r="H688" s="21">
        <v>0.11565714420693882</v>
      </c>
    </row>
    <row r="689" spans="7:8">
      <c r="G689" s="22" t="s">
        <v>274</v>
      </c>
      <c r="H689" s="21">
        <v>0.10165842695936021</v>
      </c>
    </row>
    <row r="690" spans="7:8">
      <c r="G690" s="22" t="s">
        <v>275</v>
      </c>
      <c r="H690" s="21">
        <v>7.5169360550041656E-2</v>
      </c>
    </row>
    <row r="691" spans="7:8">
      <c r="G691" s="20" t="s">
        <v>362</v>
      </c>
      <c r="H691" s="21">
        <v>2.0300822649356731E-2</v>
      </c>
    </row>
    <row r="692" spans="7:8">
      <c r="G692" s="20" t="s">
        <v>91</v>
      </c>
      <c r="H692" s="21"/>
    </row>
    <row r="693" spans="7:8">
      <c r="G693" s="22" t="s">
        <v>278</v>
      </c>
      <c r="H693" s="21">
        <v>5.0264550218706766E-2</v>
      </c>
    </row>
    <row r="694" spans="7:8">
      <c r="G694" s="22" t="s">
        <v>279</v>
      </c>
      <c r="H694" s="21">
        <v>0.10273368614218679</v>
      </c>
    </row>
    <row r="695" spans="7:8">
      <c r="G695" s="22" t="s">
        <v>280</v>
      </c>
      <c r="H695" s="21">
        <v>0.36706349156013701</v>
      </c>
    </row>
    <row r="696" spans="7:8">
      <c r="G696" s="22" t="s">
        <v>281</v>
      </c>
      <c r="H696" s="21">
        <v>9.3694885472050793E-2</v>
      </c>
    </row>
    <row r="697" spans="7:8">
      <c r="G697" s="22" t="s">
        <v>282</v>
      </c>
      <c r="H697" s="21">
        <v>8.8183421620753683E-2</v>
      </c>
    </row>
    <row r="698" spans="7:8">
      <c r="G698" s="22" t="s">
        <v>271</v>
      </c>
      <c r="H698" s="21">
        <v>3.5273368648301474E-2</v>
      </c>
    </row>
    <row r="699" spans="7:8">
      <c r="G699" s="22" t="s">
        <v>272</v>
      </c>
      <c r="H699" s="21">
        <v>2.4691358053811029E-2</v>
      </c>
    </row>
    <row r="700" spans="7:8">
      <c r="G700" s="22" t="s">
        <v>273</v>
      </c>
      <c r="H700" s="21">
        <v>5.2028218677402552E-2</v>
      </c>
    </row>
    <row r="701" spans="7:8">
      <c r="G701" s="22" t="s">
        <v>274</v>
      </c>
      <c r="H701" s="21">
        <v>0.14638447987731076</v>
      </c>
    </row>
    <row r="702" spans="7:8">
      <c r="G702" s="22" t="s">
        <v>275</v>
      </c>
      <c r="H702" s="21">
        <v>3.9682539729339154E-2</v>
      </c>
    </row>
    <row r="703" spans="7:8">
      <c r="G703" s="20" t="s">
        <v>310</v>
      </c>
      <c r="H703" s="21">
        <v>5.0169338907913689E-3</v>
      </c>
    </row>
    <row r="704" spans="7:8">
      <c r="G704" s="20" t="s">
        <v>77</v>
      </c>
      <c r="H704" s="21"/>
    </row>
    <row r="705" spans="7:8">
      <c r="G705" s="22" t="s">
        <v>277</v>
      </c>
      <c r="H705" s="21">
        <v>2.9073088353380409E-2</v>
      </c>
    </row>
    <row r="706" spans="7:8">
      <c r="G706" s="22" t="s">
        <v>278</v>
      </c>
      <c r="H706" s="21">
        <v>0.11622612769973262</v>
      </c>
    </row>
    <row r="707" spans="7:8">
      <c r="G707" s="22" t="s">
        <v>279</v>
      </c>
      <c r="H707" s="21">
        <v>0.15990198594359226</v>
      </c>
    </row>
    <row r="708" spans="7:8">
      <c r="G708" s="22" t="s">
        <v>280</v>
      </c>
      <c r="H708" s="21">
        <v>0.34887706024056492</v>
      </c>
    </row>
    <row r="709" spans="7:8">
      <c r="G709" s="22" t="s">
        <v>270</v>
      </c>
      <c r="H709" s="21">
        <v>0.20347850561676836</v>
      </c>
    </row>
    <row r="710" spans="7:8">
      <c r="G710" s="22" t="s">
        <v>271</v>
      </c>
      <c r="H710" s="21">
        <v>2.6150878732439837E-2</v>
      </c>
    </row>
    <row r="711" spans="7:8">
      <c r="G711" s="22" t="s">
        <v>275</v>
      </c>
      <c r="H711" s="21">
        <v>0.11629235341352163</v>
      </c>
    </row>
    <row r="712" spans="7:8">
      <c r="G712" s="20" t="s">
        <v>329</v>
      </c>
      <c r="H712" s="21">
        <v>1.1929181582822313E-2</v>
      </c>
    </row>
    <row r="713" spans="7:8">
      <c r="G713" s="20" t="s">
        <v>155</v>
      </c>
      <c r="H713" s="21"/>
    </row>
    <row r="714" spans="7:8">
      <c r="G714" s="22" t="s">
        <v>277</v>
      </c>
      <c r="H714" s="21">
        <v>0.12164333251893078</v>
      </c>
    </row>
    <row r="715" spans="7:8">
      <c r="G715" s="22" t="s">
        <v>278</v>
      </c>
      <c r="H715" s="21">
        <v>0.10127381230047383</v>
      </c>
    </row>
    <row r="716" spans="7:8">
      <c r="G716" s="22" t="s">
        <v>279</v>
      </c>
      <c r="H716" s="21">
        <v>0.1204957540118952</v>
      </c>
    </row>
    <row r="717" spans="7:8">
      <c r="G717" s="22" t="s">
        <v>280</v>
      </c>
      <c r="H717" s="21">
        <v>7.1723663102318577E-2</v>
      </c>
    </row>
    <row r="718" spans="7:8">
      <c r="G718" s="22" t="s">
        <v>281</v>
      </c>
      <c r="H718" s="21">
        <v>0.15779205882510086</v>
      </c>
    </row>
    <row r="719" spans="7:8">
      <c r="G719" s="22" t="s">
        <v>271</v>
      </c>
      <c r="H719" s="21">
        <v>4.5271976068102265E-2</v>
      </c>
    </row>
    <row r="720" spans="7:8">
      <c r="G720" s="22" t="s">
        <v>272</v>
      </c>
      <c r="H720" s="21">
        <v>5.6231351846567385E-2</v>
      </c>
    </row>
    <row r="721" spans="7:8">
      <c r="G721" s="22" t="s">
        <v>273</v>
      </c>
      <c r="H721" s="21">
        <v>0.13776681191251092</v>
      </c>
    </row>
    <row r="722" spans="7:8">
      <c r="G722" s="22" t="s">
        <v>274</v>
      </c>
      <c r="H722" s="21">
        <v>6.8854716321722024E-3</v>
      </c>
    </row>
    <row r="723" spans="7:8">
      <c r="G723" s="22" t="s">
        <v>275</v>
      </c>
      <c r="H723" s="21">
        <v>0.18091576778192797</v>
      </c>
    </row>
    <row r="724" spans="7:8">
      <c r="G724" s="20" t="s">
        <v>330</v>
      </c>
      <c r="H724" s="21">
        <v>6.8842217744986252E-3</v>
      </c>
    </row>
    <row r="725" spans="7:8">
      <c r="G725" s="20" t="s">
        <v>105</v>
      </c>
      <c r="H725" s="21"/>
    </row>
    <row r="726" spans="7:8">
      <c r="G726" s="22" t="s">
        <v>277</v>
      </c>
      <c r="H726" s="21">
        <v>0.14400000005893315</v>
      </c>
    </row>
    <row r="727" spans="7:8">
      <c r="G727" s="22" t="s">
        <v>278</v>
      </c>
      <c r="H727" s="21">
        <v>4.0816326587312365E-2</v>
      </c>
    </row>
    <row r="728" spans="7:8">
      <c r="G728" s="22" t="s">
        <v>279</v>
      </c>
      <c r="H728" s="21">
        <v>7.8367346998982887E-2</v>
      </c>
    </row>
    <row r="729" spans="7:8">
      <c r="G729" s="22" t="s">
        <v>280</v>
      </c>
      <c r="H729" s="21">
        <v>0.28342857156928142</v>
      </c>
    </row>
    <row r="730" spans="7:8">
      <c r="G730" s="22" t="s">
        <v>282</v>
      </c>
      <c r="H730" s="21">
        <v>3.8857142638642997E-2</v>
      </c>
    </row>
    <row r="731" spans="7:8">
      <c r="G731" s="22" t="s">
        <v>270</v>
      </c>
      <c r="H731" s="21">
        <v>0.1420408160372785</v>
      </c>
    </row>
    <row r="732" spans="7:8">
      <c r="G732" s="22" t="s">
        <v>271</v>
      </c>
      <c r="H732" s="21">
        <v>8.1632653174624741E-3</v>
      </c>
    </row>
    <row r="733" spans="7:8">
      <c r="G733" s="22" t="s">
        <v>272</v>
      </c>
      <c r="H733" s="21">
        <v>0.14840816343497512</v>
      </c>
    </row>
    <row r="734" spans="7:8">
      <c r="G734" s="22" t="s">
        <v>273</v>
      </c>
      <c r="H734" s="21">
        <v>1.0448979567426483E-2</v>
      </c>
    </row>
    <row r="735" spans="7:8">
      <c r="G735" s="22" t="s">
        <v>274</v>
      </c>
      <c r="H735" s="21">
        <v>5.7469387834935812E-2</v>
      </c>
    </row>
    <row r="736" spans="7:8">
      <c r="G736" s="22" t="s">
        <v>275</v>
      </c>
      <c r="H736" s="21">
        <v>4.7999999954768578E-2</v>
      </c>
    </row>
    <row r="737" spans="7:8">
      <c r="G737" s="20" t="s">
        <v>351</v>
      </c>
      <c r="H737" s="21">
        <v>6.7744091875330814E-3</v>
      </c>
    </row>
    <row r="738" spans="7:8">
      <c r="G738" s="20" t="s">
        <v>63</v>
      </c>
      <c r="H738" s="21"/>
    </row>
    <row r="739" spans="7:8">
      <c r="G739" s="22" t="s">
        <v>277</v>
      </c>
      <c r="H739" s="21">
        <v>1.7949454346900501E-2</v>
      </c>
    </row>
    <row r="740" spans="7:8">
      <c r="G740" s="22" t="s">
        <v>278</v>
      </c>
      <c r="H740" s="21">
        <v>6.8207926464728369E-2</v>
      </c>
    </row>
    <row r="741" spans="7:8">
      <c r="G741" s="22" t="s">
        <v>279</v>
      </c>
      <c r="H741" s="21">
        <v>0.24231763354942293</v>
      </c>
    </row>
    <row r="742" spans="7:8">
      <c r="G742" s="22" t="s">
        <v>280</v>
      </c>
      <c r="H742" s="21">
        <v>0.19385410694652541</v>
      </c>
    </row>
    <row r="743" spans="7:8">
      <c r="G743" s="22" t="s">
        <v>281</v>
      </c>
      <c r="H743" s="21">
        <v>5.1909821894205552E-2</v>
      </c>
    </row>
    <row r="744" spans="7:8">
      <c r="G744" s="22" t="s">
        <v>270</v>
      </c>
      <c r="H744" s="21">
        <v>0.16944284872447818</v>
      </c>
    </row>
    <row r="745" spans="7:8">
      <c r="G745" s="22" t="s">
        <v>271</v>
      </c>
      <c r="H745" s="21">
        <v>7.4669730083106081E-2</v>
      </c>
    </row>
    <row r="746" spans="7:8">
      <c r="G746" s="22" t="s">
        <v>272</v>
      </c>
      <c r="H746" s="21">
        <v>7.53877082569821E-2</v>
      </c>
    </row>
    <row r="747" spans="7:8">
      <c r="G747" s="22" t="s">
        <v>275</v>
      </c>
      <c r="H747" s="21">
        <v>0.10626076973365096</v>
      </c>
    </row>
    <row r="748" spans="7:8">
      <c r="G748" s="20" t="s">
        <v>331</v>
      </c>
      <c r="H748" s="21">
        <v>1.7825473283980847E-2</v>
      </c>
    </row>
    <row r="749" spans="7:8">
      <c r="G749" s="20" t="s">
        <v>65</v>
      </c>
      <c r="H749" s="21"/>
    </row>
    <row r="750" spans="7:8">
      <c r="G750" s="22" t="s">
        <v>277</v>
      </c>
      <c r="H750" s="21">
        <v>0.1221441125607015</v>
      </c>
    </row>
    <row r="751" spans="7:8">
      <c r="G751" s="22" t="s">
        <v>278</v>
      </c>
      <c r="H751" s="21">
        <v>0.11994727580018825</v>
      </c>
    </row>
    <row r="752" spans="7:8">
      <c r="G752" s="22" t="s">
        <v>279</v>
      </c>
      <c r="H752" s="21">
        <v>0.18211775035931585</v>
      </c>
    </row>
    <row r="753" spans="7:8">
      <c r="G753" s="22" t="s">
        <v>280</v>
      </c>
      <c r="H753" s="21">
        <v>0.1598198594065362</v>
      </c>
    </row>
    <row r="754" spans="7:8">
      <c r="G754" s="22" t="s">
        <v>281</v>
      </c>
      <c r="H754" s="21">
        <v>2.2407732877226801E-2</v>
      </c>
    </row>
    <row r="755" spans="7:8">
      <c r="G755" s="22" t="s">
        <v>270</v>
      </c>
      <c r="H755" s="21">
        <v>4.1739894593519712E-2</v>
      </c>
    </row>
    <row r="756" spans="7:8">
      <c r="G756" s="22" t="s">
        <v>271</v>
      </c>
      <c r="H756" s="21">
        <v>9.7210017532624343E-2</v>
      </c>
    </row>
    <row r="757" spans="7:8">
      <c r="G757" s="22" t="s">
        <v>272</v>
      </c>
      <c r="H757" s="21">
        <v>7.7768014117758633E-2</v>
      </c>
    </row>
    <row r="758" spans="7:8">
      <c r="G758" s="22" t="s">
        <v>273</v>
      </c>
      <c r="H758" s="21">
        <v>4.6792618636610654E-2</v>
      </c>
    </row>
    <row r="759" spans="7:8">
      <c r="G759" s="22" t="s">
        <v>274</v>
      </c>
      <c r="H759" s="21">
        <v>7.8646748721138859E-2</v>
      </c>
    </row>
    <row r="760" spans="7:8">
      <c r="G760" s="22" t="s">
        <v>275</v>
      </c>
      <c r="H760" s="21">
        <v>5.1405975394379189E-2</v>
      </c>
    </row>
    <row r="761" spans="7:8">
      <c r="G761" s="20" t="s">
        <v>332</v>
      </c>
      <c r="H761" s="21">
        <v>7.1923290107753579E-3</v>
      </c>
    </row>
    <row r="762" spans="7:8">
      <c r="G762" s="20" t="s">
        <v>142</v>
      </c>
      <c r="H762" s="21"/>
    </row>
    <row r="763" spans="7:8">
      <c r="G763" s="22" t="s">
        <v>277</v>
      </c>
      <c r="H763" s="21">
        <v>7.6052422394242689E-2</v>
      </c>
    </row>
    <row r="764" spans="7:8">
      <c r="G764" s="22" t="s">
        <v>278</v>
      </c>
      <c r="H764" s="21">
        <v>0.24861000753985232</v>
      </c>
    </row>
    <row r="765" spans="7:8">
      <c r="G765" s="22" t="s">
        <v>279</v>
      </c>
      <c r="H765" s="21">
        <v>5.9571088315389598E-2</v>
      </c>
    </row>
    <row r="766" spans="7:8">
      <c r="G766" s="22" t="s">
        <v>280</v>
      </c>
      <c r="H766" s="21">
        <v>0.24245432851453227</v>
      </c>
    </row>
    <row r="767" spans="7:8">
      <c r="G767" s="22" t="s">
        <v>281</v>
      </c>
      <c r="H767" s="21">
        <v>5.7585385341953996E-2</v>
      </c>
    </row>
    <row r="768" spans="7:8">
      <c r="G768" s="22" t="s">
        <v>270</v>
      </c>
      <c r="H768" s="21">
        <v>0.17871326494616879</v>
      </c>
    </row>
    <row r="769" spans="7:8">
      <c r="G769" s="22" t="s">
        <v>271</v>
      </c>
      <c r="H769" s="21">
        <v>3.1771246983184002E-2</v>
      </c>
    </row>
    <row r="770" spans="7:8">
      <c r="G770" s="22" t="s">
        <v>273</v>
      </c>
      <c r="H770" s="21">
        <v>2.9785544157694799E-2</v>
      </c>
    </row>
    <row r="771" spans="7:8">
      <c r="G771" s="22" t="s">
        <v>274</v>
      </c>
      <c r="H771" s="21">
        <v>3.5742652930055199E-2</v>
      </c>
    </row>
    <row r="772" spans="7:8">
      <c r="G772" s="22" t="s">
        <v>275</v>
      </c>
      <c r="H772" s="21">
        <v>3.9714058876926396E-2</v>
      </c>
    </row>
    <row r="773" spans="7:8">
      <c r="G773" s="20" t="s">
        <v>322</v>
      </c>
      <c r="H773" s="21">
        <v>1.1338820430896412E-2</v>
      </c>
    </row>
    <row r="774" spans="7:8">
      <c r="G774" s="20" t="s">
        <v>113</v>
      </c>
      <c r="H774" s="21"/>
    </row>
    <row r="775" spans="7:8">
      <c r="G775" s="22" t="s">
        <v>277</v>
      </c>
      <c r="H775" s="21">
        <v>0.10647628770043722</v>
      </c>
    </row>
    <row r="776" spans="7:8">
      <c r="G776" s="22" t="s">
        <v>278</v>
      </c>
      <c r="H776" s="21">
        <v>9.5053544119396288E-2</v>
      </c>
    </row>
    <row r="777" spans="7:8">
      <c r="G777" s="22" t="s">
        <v>279</v>
      </c>
      <c r="H777" s="21">
        <v>5.7113717540464411E-2</v>
      </c>
    </row>
    <row r="778" spans="7:8">
      <c r="G778" s="22" t="s">
        <v>280</v>
      </c>
      <c r="H778" s="21">
        <v>0.10331463537002514</v>
      </c>
    </row>
    <row r="779" spans="7:8">
      <c r="G779" s="22" t="s">
        <v>281</v>
      </c>
      <c r="H779" s="21">
        <v>5.8011218454095528E-2</v>
      </c>
    </row>
    <row r="780" spans="7:8">
      <c r="G780" s="22" t="s">
        <v>271</v>
      </c>
      <c r="H780" s="21">
        <v>6.2417133959496149E-2</v>
      </c>
    </row>
    <row r="781" spans="7:8">
      <c r="G781" s="22" t="s">
        <v>272</v>
      </c>
      <c r="H781" s="21">
        <v>0.21417644077674156</v>
      </c>
    </row>
    <row r="782" spans="7:8">
      <c r="G782" s="22" t="s">
        <v>273</v>
      </c>
      <c r="H782" s="21">
        <v>0.1346251913453804</v>
      </c>
    </row>
    <row r="783" spans="7:8">
      <c r="G783" s="22" t="s">
        <v>274</v>
      </c>
      <c r="H783" s="21">
        <v>5.4258031620888159E-2</v>
      </c>
    </row>
    <row r="784" spans="7:8">
      <c r="G784" s="22" t="s">
        <v>275</v>
      </c>
      <c r="H784" s="21">
        <v>0.1145537991130752</v>
      </c>
    </row>
    <row r="785" spans="7:8">
      <c r="G785" s="20" t="s">
        <v>376</v>
      </c>
      <c r="H785" s="21">
        <v>4.6476792152952834E-3</v>
      </c>
    </row>
    <row r="786" spans="7:8">
      <c r="G786" s="20" t="s">
        <v>92</v>
      </c>
      <c r="H786" s="21"/>
    </row>
    <row r="787" spans="7:8">
      <c r="G787" s="22" t="s">
        <v>277</v>
      </c>
      <c r="H787" s="21">
        <v>0.16213720312788862</v>
      </c>
    </row>
    <row r="788" spans="7:8">
      <c r="G788" s="22" t="s">
        <v>278</v>
      </c>
      <c r="H788" s="21">
        <v>5.7255936745922248E-2</v>
      </c>
    </row>
    <row r="789" spans="7:8">
      <c r="G789" s="22" t="s">
        <v>279</v>
      </c>
      <c r="H789" s="21">
        <v>6.5963060767191523E-2</v>
      </c>
    </row>
    <row r="790" spans="7:8">
      <c r="G790" s="22" t="s">
        <v>280</v>
      </c>
      <c r="H790" s="21">
        <v>0.15415567287728277</v>
      </c>
    </row>
    <row r="791" spans="7:8">
      <c r="G791" s="22" t="s">
        <v>281</v>
      </c>
      <c r="H791" s="21">
        <v>6.9920844255954823E-2</v>
      </c>
    </row>
    <row r="792" spans="7:8">
      <c r="G792" s="22" t="s">
        <v>282</v>
      </c>
      <c r="H792" s="21">
        <v>2.638522430687661E-2</v>
      </c>
    </row>
    <row r="793" spans="7:8">
      <c r="G793" s="22" t="s">
        <v>270</v>
      </c>
      <c r="H793" s="21">
        <v>8.245382595898941E-2</v>
      </c>
    </row>
    <row r="794" spans="7:8">
      <c r="G794" s="22" t="s">
        <v>271</v>
      </c>
      <c r="H794" s="21">
        <v>0.14538258587191455</v>
      </c>
    </row>
    <row r="795" spans="7:8">
      <c r="G795" s="22" t="s">
        <v>273</v>
      </c>
      <c r="H795" s="21">
        <v>0.10996042185855734</v>
      </c>
    </row>
    <row r="796" spans="7:8">
      <c r="G796" s="22" t="s">
        <v>274</v>
      </c>
      <c r="H796" s="21">
        <v>3.6939313892017586E-2</v>
      </c>
    </row>
    <row r="797" spans="7:8">
      <c r="G797" s="22" t="s">
        <v>275</v>
      </c>
      <c r="H797" s="21">
        <v>8.9445910337404427E-2</v>
      </c>
    </row>
    <row r="798" spans="7:8">
      <c r="G798" s="20" t="s">
        <v>311</v>
      </c>
      <c r="H798" s="21">
        <v>1.0779013290886793E-2</v>
      </c>
    </row>
    <row r="799" spans="7:8">
      <c r="G799" s="20" t="s">
        <v>144</v>
      </c>
      <c r="H799" s="21"/>
    </row>
    <row r="800" spans="7:8">
      <c r="G800" s="22" t="s">
        <v>277</v>
      </c>
      <c r="H800" s="21">
        <v>0.16301746353211724</v>
      </c>
    </row>
    <row r="801" spans="7:8">
      <c r="G801" s="22" t="s">
        <v>278</v>
      </c>
      <c r="H801" s="21">
        <v>9.0878220133968762E-2</v>
      </c>
    </row>
    <row r="802" spans="7:8">
      <c r="G802" s="22" t="s">
        <v>279</v>
      </c>
      <c r="H802" s="21">
        <v>0.14747738803028193</v>
      </c>
    </row>
    <row r="803" spans="7:8">
      <c r="G803" s="22" t="s">
        <v>280</v>
      </c>
      <c r="H803" s="21">
        <v>3.2094336070836844E-2</v>
      </c>
    </row>
    <row r="804" spans="7:8">
      <c r="G804" s="22" t="s">
        <v>281</v>
      </c>
      <c r="H804" s="21">
        <v>6.1579376510605882E-2</v>
      </c>
    </row>
    <row r="805" spans="7:8">
      <c r="G805" s="22" t="s">
        <v>282</v>
      </c>
      <c r="H805" s="21">
        <v>3.1572476932181195E-2</v>
      </c>
    </row>
    <row r="806" spans="7:8">
      <c r="G806" s="22" t="s">
        <v>270</v>
      </c>
      <c r="H806" s="21">
        <v>2.8170865776483318E-2</v>
      </c>
    </row>
    <row r="807" spans="7:8">
      <c r="G807" s="22" t="s">
        <v>271</v>
      </c>
      <c r="H807" s="21">
        <v>0.13000325780815108</v>
      </c>
    </row>
    <row r="808" spans="7:8">
      <c r="G808" s="22" t="s">
        <v>272</v>
      </c>
      <c r="H808" s="21">
        <v>0.11261783385722698</v>
      </c>
    </row>
    <row r="809" spans="7:8">
      <c r="G809" s="22" t="s">
        <v>273</v>
      </c>
      <c r="H809" s="21">
        <v>9.4328418210868015E-2</v>
      </c>
    </row>
    <row r="810" spans="7:8">
      <c r="G810" s="22" t="s">
        <v>274</v>
      </c>
      <c r="H810" s="21">
        <v>4.0705011602036975E-2</v>
      </c>
    </row>
    <row r="811" spans="7:8">
      <c r="G811" s="22" t="s">
        <v>275</v>
      </c>
      <c r="H811" s="21">
        <v>6.7555351535242072E-2</v>
      </c>
    </row>
    <row r="812" spans="7:8">
      <c r="G812" s="20" t="s">
        <v>333</v>
      </c>
      <c r="H812" s="21">
        <v>3.7316503192283836E-2</v>
      </c>
    </row>
    <row r="813" spans="7:8">
      <c r="G813" s="20" t="s">
        <v>61</v>
      </c>
      <c r="H813" s="21"/>
    </row>
    <row r="814" spans="7:8">
      <c r="G814" s="22" t="s">
        <v>277</v>
      </c>
      <c r="H814" s="21">
        <v>9.217210048156084E-2</v>
      </c>
    </row>
    <row r="815" spans="7:8">
      <c r="G815" s="22" t="s">
        <v>278</v>
      </c>
      <c r="H815" s="21">
        <v>0.13625989745631087</v>
      </c>
    </row>
    <row r="816" spans="7:8">
      <c r="G816" s="22" t="s">
        <v>279</v>
      </c>
      <c r="H816" s="21">
        <v>6.2190624707055157E-2</v>
      </c>
    </row>
    <row r="817" spans="7:8">
      <c r="G817" s="22" t="s">
        <v>280</v>
      </c>
      <c r="H817" s="21">
        <v>0.12946430096363271</v>
      </c>
    </row>
    <row r="818" spans="7:8">
      <c r="G818" s="22" t="s">
        <v>281</v>
      </c>
      <c r="H818" s="21">
        <v>9.3371223161387809E-2</v>
      </c>
    </row>
    <row r="819" spans="7:8">
      <c r="G819" s="22" t="s">
        <v>282</v>
      </c>
      <c r="H819" s="21">
        <v>4.3939398971083718E-2</v>
      </c>
    </row>
    <row r="820" spans="7:8">
      <c r="G820" s="22" t="s">
        <v>271</v>
      </c>
      <c r="H820" s="21">
        <v>9.976768068669209E-2</v>
      </c>
    </row>
    <row r="821" spans="7:8">
      <c r="G821" s="22" t="s">
        <v>272</v>
      </c>
      <c r="H821" s="21">
        <v>8.6156018963127523E-2</v>
      </c>
    </row>
    <row r="822" spans="7:8">
      <c r="G822" s="22" t="s">
        <v>273</v>
      </c>
      <c r="H822" s="21">
        <v>4.6745311841980157E-2</v>
      </c>
    </row>
    <row r="823" spans="7:8">
      <c r="G823" s="22" t="s">
        <v>274</v>
      </c>
      <c r="H823" s="21">
        <v>9.9614165740318741E-2</v>
      </c>
    </row>
    <row r="824" spans="7:8">
      <c r="G824" s="22" t="s">
        <v>275</v>
      </c>
      <c r="H824" s="21">
        <v>0.1103192770268505</v>
      </c>
    </row>
    <row r="825" spans="7:8">
      <c r="G825" s="20" t="s">
        <v>334</v>
      </c>
      <c r="H825" s="21">
        <v>4.6315786381590325E-3</v>
      </c>
    </row>
    <row r="826" spans="7:8">
      <c r="G826" s="20" t="s">
        <v>81</v>
      </c>
      <c r="H826" s="21"/>
    </row>
    <row r="827" spans="7:8">
      <c r="G827" s="22" t="s">
        <v>277</v>
      </c>
      <c r="H827" s="21">
        <v>4.9126468090877368E-2</v>
      </c>
    </row>
    <row r="828" spans="7:8">
      <c r="G828" s="22" t="s">
        <v>278</v>
      </c>
      <c r="H828" s="21">
        <v>0.25463043600281754</v>
      </c>
    </row>
    <row r="829" spans="7:8">
      <c r="G829" s="22" t="s">
        <v>279</v>
      </c>
      <c r="H829" s="21">
        <v>4.1519411922132737E-2</v>
      </c>
    </row>
    <row r="830" spans="7:8">
      <c r="G830" s="22" t="s">
        <v>280</v>
      </c>
      <c r="H830" s="21">
        <v>0.20023598256175248</v>
      </c>
    </row>
    <row r="831" spans="7:8">
      <c r="G831" s="22" t="s">
        <v>282</v>
      </c>
      <c r="H831" s="21">
        <v>1.5402767889365577E-2</v>
      </c>
    </row>
    <row r="832" spans="7:8">
      <c r="G832" s="22" t="s">
        <v>270</v>
      </c>
      <c r="H832" s="21">
        <v>1.231823266053148E-2</v>
      </c>
    </row>
    <row r="833" spans="7:8">
      <c r="G833" s="22" t="s">
        <v>271</v>
      </c>
      <c r="H833" s="21">
        <v>5.8524545503147722E-2</v>
      </c>
    </row>
    <row r="834" spans="7:8">
      <c r="G834" s="22" t="s">
        <v>272</v>
      </c>
      <c r="H834" s="21">
        <v>9.8568755731388485E-2</v>
      </c>
    </row>
    <row r="835" spans="7:8">
      <c r="G835" s="22" t="s">
        <v>273</v>
      </c>
      <c r="H835" s="21">
        <v>7.9170226937567922E-2</v>
      </c>
    </row>
    <row r="836" spans="7:8">
      <c r="G836" s="22" t="s">
        <v>274</v>
      </c>
      <c r="H836" s="21">
        <v>4.8041107376072777E-2</v>
      </c>
    </row>
    <row r="837" spans="7:8">
      <c r="G837" s="22" t="s">
        <v>275</v>
      </c>
      <c r="H837" s="21">
        <v>0.14246206532434602</v>
      </c>
    </row>
    <row r="838" spans="7:8">
      <c r="G838" s="20" t="s">
        <v>358</v>
      </c>
      <c r="H838" s="21">
        <v>6.3492742923650744E-2</v>
      </c>
    </row>
    <row r="839" spans="7:8">
      <c r="G839" s="20" t="s">
        <v>51</v>
      </c>
      <c r="H839" s="21"/>
    </row>
    <row r="840" spans="7:8">
      <c r="G840" s="22" t="s">
        <v>277</v>
      </c>
      <c r="H840" s="21">
        <v>0.15128593045719618</v>
      </c>
    </row>
    <row r="841" spans="7:8">
      <c r="G841" s="22" t="s">
        <v>279</v>
      </c>
      <c r="H841" s="21">
        <v>2.79297102510573E-2</v>
      </c>
    </row>
    <row r="842" spans="7:8">
      <c r="G842" s="22" t="s">
        <v>280</v>
      </c>
      <c r="H842" s="21">
        <v>0.20365413724729281</v>
      </c>
    </row>
    <row r="843" spans="7:8">
      <c r="G843" s="22" t="s">
        <v>281</v>
      </c>
      <c r="H843" s="21">
        <v>4.6462236742511813E-2</v>
      </c>
    </row>
    <row r="844" spans="7:8">
      <c r="G844" s="22" t="s">
        <v>282</v>
      </c>
      <c r="H844" s="21">
        <v>0.13848481284477743</v>
      </c>
    </row>
    <row r="845" spans="7:8">
      <c r="G845" s="22" t="s">
        <v>270</v>
      </c>
      <c r="H845" s="21">
        <v>2.0947282688292976E-2</v>
      </c>
    </row>
    <row r="846" spans="7:8">
      <c r="G846" s="22" t="s">
        <v>271</v>
      </c>
      <c r="H846" s="21">
        <v>6.9824275627643248E-2</v>
      </c>
    </row>
    <row r="847" spans="7:8">
      <c r="G847" s="22" t="s">
        <v>272</v>
      </c>
      <c r="H847" s="21">
        <v>9.5135575529658137E-2</v>
      </c>
    </row>
    <row r="848" spans="7:8">
      <c r="G848" s="22" t="s">
        <v>273</v>
      </c>
      <c r="H848" s="21">
        <v>4.4222041230840718E-2</v>
      </c>
    </row>
    <row r="849" spans="7:8">
      <c r="G849" s="22" t="s">
        <v>274</v>
      </c>
      <c r="H849" s="21">
        <v>5.8914232474118755E-2</v>
      </c>
    </row>
    <row r="850" spans="7:8">
      <c r="G850" s="22" t="s">
        <v>275</v>
      </c>
      <c r="H850" s="21">
        <v>0.14313976490661082</v>
      </c>
    </row>
    <row r="851" spans="7:8">
      <c r="G851" s="20" t="s">
        <v>363</v>
      </c>
      <c r="H851" s="21">
        <v>6.3134254590118139E-3</v>
      </c>
    </row>
    <row r="852" spans="7:8">
      <c r="G852" s="20" t="s">
        <v>129</v>
      </c>
      <c r="H852" s="21"/>
    </row>
    <row r="853" spans="7:8">
      <c r="G853" s="22" t="s">
        <v>277</v>
      </c>
      <c r="H853" s="21">
        <v>9.8760373302123908E-2</v>
      </c>
    </row>
    <row r="854" spans="7:8">
      <c r="G854" s="22" t="s">
        <v>278</v>
      </c>
      <c r="H854" s="21">
        <v>0.18314646832229994</v>
      </c>
    </row>
    <row r="855" spans="7:8">
      <c r="G855" s="22" t="s">
        <v>279</v>
      </c>
      <c r="H855" s="21">
        <v>2.2460800695313993E-2</v>
      </c>
    </row>
    <row r="856" spans="7:8">
      <c r="G856" s="22" t="s">
        <v>280</v>
      </c>
      <c r="H856" s="21">
        <v>4.7269199203415033E-2</v>
      </c>
    </row>
    <row r="857" spans="7:8">
      <c r="G857" s="22" t="s">
        <v>281</v>
      </c>
      <c r="H857" s="21">
        <v>9.5798910310455426E-2</v>
      </c>
    </row>
    <row r="858" spans="7:8">
      <c r="G858" s="22" t="s">
        <v>270</v>
      </c>
      <c r="H858" s="21">
        <v>8.5084558566147064E-2</v>
      </c>
    </row>
    <row r="859" spans="7:8">
      <c r="G859" s="22" t="s">
        <v>271</v>
      </c>
      <c r="H859" s="21">
        <v>5.8499599532478026E-2</v>
      </c>
    </row>
    <row r="860" spans="7:8">
      <c r="G860" s="22" t="s">
        <v>272</v>
      </c>
      <c r="H860" s="21">
        <v>6.201676635019631E-2</v>
      </c>
    </row>
    <row r="861" spans="7:8">
      <c r="G861" s="22" t="s">
        <v>273</v>
      </c>
      <c r="H861" s="21">
        <v>0.16997877080019699</v>
      </c>
    </row>
    <row r="862" spans="7:8">
      <c r="G862" s="22" t="s">
        <v>274</v>
      </c>
      <c r="H862" s="21">
        <v>0.13850827080568429</v>
      </c>
    </row>
    <row r="863" spans="7:8">
      <c r="G863" s="22" t="s">
        <v>275</v>
      </c>
      <c r="H863" s="21">
        <v>3.8476282111688881E-2</v>
      </c>
    </row>
    <row r="864" spans="7:8">
      <c r="G864" s="20" t="s">
        <v>359</v>
      </c>
      <c r="H864" s="21">
        <v>3.7353954013814613E-3</v>
      </c>
    </row>
    <row r="865" spans="7:8">
      <c r="G865" s="20" t="s">
        <v>69</v>
      </c>
      <c r="H865" s="21"/>
    </row>
    <row r="866" spans="7:8">
      <c r="G866" s="22" t="s">
        <v>277</v>
      </c>
      <c r="H866" s="21">
        <v>0.25229806386386133</v>
      </c>
    </row>
    <row r="867" spans="7:8">
      <c r="G867" s="22" t="s">
        <v>278</v>
      </c>
      <c r="H867" s="21">
        <v>0.14472912184856557</v>
      </c>
    </row>
    <row r="868" spans="7:8">
      <c r="G868" s="22" t="s">
        <v>279</v>
      </c>
      <c r="H868" s="21">
        <v>6.8061803329936249E-2</v>
      </c>
    </row>
    <row r="869" spans="7:8">
      <c r="G869" s="22" t="s">
        <v>280</v>
      </c>
      <c r="H869" s="21">
        <v>3.5204381032725642E-2</v>
      </c>
    </row>
    <row r="870" spans="7:8">
      <c r="G870" s="22" t="s">
        <v>281</v>
      </c>
      <c r="H870" s="21">
        <v>0.15744181432896753</v>
      </c>
    </row>
    <row r="871" spans="7:8">
      <c r="G871" s="22" t="s">
        <v>271</v>
      </c>
      <c r="H871" s="21">
        <v>1.9557989462625356E-2</v>
      </c>
    </row>
    <row r="872" spans="7:8">
      <c r="G872" s="22" t="s">
        <v>272</v>
      </c>
      <c r="H872" s="21">
        <v>7.2364561011713818E-2</v>
      </c>
    </row>
    <row r="873" spans="7:8">
      <c r="G873" s="22" t="s">
        <v>273</v>
      </c>
      <c r="H873" s="21">
        <v>6.2585566280401142E-2</v>
      </c>
    </row>
    <row r="874" spans="7:8">
      <c r="G874" s="22" t="s">
        <v>274</v>
      </c>
      <c r="H874" s="21">
        <v>0.12517113256080228</v>
      </c>
    </row>
    <row r="875" spans="7:8">
      <c r="G875" s="22" t="s">
        <v>275</v>
      </c>
      <c r="H875" s="21">
        <v>6.2585566280401142E-2</v>
      </c>
    </row>
    <row r="876" spans="7:8">
      <c r="G876" s="20" t="s">
        <v>352</v>
      </c>
      <c r="H876" s="21">
        <v>3.6354284272207991E-3</v>
      </c>
    </row>
    <row r="877" spans="7:8">
      <c r="G877" s="20" t="s">
        <v>37</v>
      </c>
      <c r="H877" s="21"/>
    </row>
    <row r="878" spans="7:8">
      <c r="G878" s="22" t="s">
        <v>277</v>
      </c>
      <c r="H878" s="21">
        <v>3.1300608297250766E-2</v>
      </c>
    </row>
    <row r="879" spans="7:8">
      <c r="G879" s="22" t="s">
        <v>278</v>
      </c>
      <c r="H879" s="21">
        <v>5.8736271960647783E-2</v>
      </c>
    </row>
    <row r="880" spans="7:8">
      <c r="G880" s="22" t="s">
        <v>279</v>
      </c>
      <c r="H880" s="21">
        <v>0.32797593953964688</v>
      </c>
    </row>
    <row r="881" spans="7:8">
      <c r="G881" s="22" t="s">
        <v>280</v>
      </c>
      <c r="H881" s="21">
        <v>0.22658918603986208</v>
      </c>
    </row>
    <row r="882" spans="7:8">
      <c r="G882" s="22" t="s">
        <v>281</v>
      </c>
      <c r="H882" s="21">
        <v>3.4294579553897607E-2</v>
      </c>
    </row>
    <row r="883" spans="7:8">
      <c r="G883" s="22" t="s">
        <v>270</v>
      </c>
      <c r="H883" s="21">
        <v>9.118003298405121E-2</v>
      </c>
    </row>
    <row r="884" spans="7:8">
      <c r="G884" s="22" t="s">
        <v>271</v>
      </c>
      <c r="H884" s="21">
        <v>4.76313605140566E-2</v>
      </c>
    </row>
    <row r="885" spans="7:8">
      <c r="G885" s="22" t="s">
        <v>273</v>
      </c>
      <c r="H885" s="21">
        <v>0.12248064132185983</v>
      </c>
    </row>
    <row r="886" spans="7:8">
      <c r="G886" s="22" t="s">
        <v>275</v>
      </c>
      <c r="H886" s="21">
        <v>5.9811379788727213E-2</v>
      </c>
    </row>
    <row r="887" spans="7:8">
      <c r="G887" s="20" t="s">
        <v>364</v>
      </c>
      <c r="H887" s="21">
        <v>1.7415406248127589E-2</v>
      </c>
    </row>
    <row r="888" spans="7:8">
      <c r="G888" s="20" t="s">
        <v>121</v>
      </c>
      <c r="H888" s="21"/>
    </row>
    <row r="889" spans="7:8">
      <c r="G889" s="22" t="s">
        <v>277</v>
      </c>
      <c r="H889" s="21">
        <v>0.15126447653051464</v>
      </c>
    </row>
    <row r="890" spans="7:8">
      <c r="G890" s="22" t="s">
        <v>279</v>
      </c>
      <c r="H890" s="21">
        <v>0.25053178925366487</v>
      </c>
    </row>
    <row r="891" spans="7:8">
      <c r="G891" s="22" t="s">
        <v>281</v>
      </c>
      <c r="H891" s="21">
        <v>0.10399432761472882</v>
      </c>
    </row>
    <row r="892" spans="7:8">
      <c r="G892" s="22" t="s">
        <v>271</v>
      </c>
      <c r="H892" s="21">
        <v>0.11226660358694382</v>
      </c>
    </row>
    <row r="893" spans="7:8">
      <c r="G893" s="22" t="s">
        <v>274</v>
      </c>
      <c r="H893" s="21">
        <v>0.32521862431520487</v>
      </c>
    </row>
    <row r="894" spans="7:8">
      <c r="G894" s="22" t="s">
        <v>275</v>
      </c>
      <c r="H894" s="21">
        <v>5.6724178698942994E-2</v>
      </c>
    </row>
    <row r="895" spans="7:8">
      <c r="G895" s="20" t="s">
        <v>335</v>
      </c>
      <c r="H895" s="21">
        <v>2.7158369456465243E-3</v>
      </c>
    </row>
    <row r="896" spans="7:8">
      <c r="G896" s="20" t="s">
        <v>146</v>
      </c>
      <c r="H896" s="21"/>
    </row>
    <row r="897" spans="7:8">
      <c r="G897" s="22" t="s">
        <v>277</v>
      </c>
      <c r="H897" s="21">
        <v>0.19177634783661898</v>
      </c>
    </row>
    <row r="898" spans="7:8">
      <c r="G898" s="22" t="s">
        <v>279</v>
      </c>
      <c r="H898" s="21">
        <v>0.27599986741689736</v>
      </c>
    </row>
    <row r="899" spans="7:8">
      <c r="G899" s="22" t="s">
        <v>280</v>
      </c>
      <c r="H899" s="21">
        <v>0.11039994696675895</v>
      </c>
    </row>
    <row r="900" spans="7:8">
      <c r="G900" s="22" t="s">
        <v>282</v>
      </c>
      <c r="H900" s="21">
        <v>1.5771420995251278E-2</v>
      </c>
    </row>
    <row r="901" spans="7:8">
      <c r="G901" s="22" t="s">
        <v>270</v>
      </c>
      <c r="H901" s="21">
        <v>5.0468546996794102E-2</v>
      </c>
    </row>
    <row r="902" spans="7:8">
      <c r="G902" s="22" t="s">
        <v>271</v>
      </c>
      <c r="H902" s="21">
        <v>2.7321561883573115E-2</v>
      </c>
    </row>
    <row r="903" spans="7:8">
      <c r="G903" s="22" t="s">
        <v>273</v>
      </c>
      <c r="H903" s="21">
        <v>0.19548418755250702</v>
      </c>
    </row>
    <row r="904" spans="7:8">
      <c r="G904" s="22" t="s">
        <v>274</v>
      </c>
      <c r="H904" s="21">
        <v>2.3657131492876918E-2</v>
      </c>
    </row>
    <row r="905" spans="7:8">
      <c r="G905" s="22" t="s">
        <v>275</v>
      </c>
      <c r="H905" s="21">
        <v>0.10912098885872225</v>
      </c>
    </row>
    <row r="906" spans="7:8">
      <c r="G906" s="20" t="s">
        <v>323</v>
      </c>
      <c r="H906" s="21">
        <v>1.3194175093493627E-2</v>
      </c>
    </row>
    <row r="907" spans="7:8">
      <c r="G907" s="20" t="s">
        <v>148</v>
      </c>
      <c r="H907" s="21"/>
    </row>
    <row r="908" spans="7:8">
      <c r="G908" s="22" t="s">
        <v>277</v>
      </c>
      <c r="H908" s="21">
        <v>0.16520540901434544</v>
      </c>
    </row>
    <row r="909" spans="7:8">
      <c r="G909" s="22" t="s">
        <v>278</v>
      </c>
      <c r="H909" s="21">
        <v>0.12999893995631648</v>
      </c>
    </row>
    <row r="910" spans="7:8">
      <c r="G910" s="22" t="s">
        <v>279</v>
      </c>
      <c r="H910" s="21">
        <v>6.4204485263137004E-2</v>
      </c>
    </row>
    <row r="911" spans="7:8">
      <c r="G911" s="22" t="s">
        <v>280</v>
      </c>
      <c r="H911" s="21">
        <v>6.0570269003346063E-2</v>
      </c>
    </row>
    <row r="912" spans="7:8">
      <c r="G912" s="22" t="s">
        <v>281</v>
      </c>
      <c r="H912" s="21">
        <v>0.19979103268170756</v>
      </c>
    </row>
    <row r="913" spans="7:8">
      <c r="G913" s="22" t="s">
        <v>282</v>
      </c>
      <c r="H913" s="21">
        <v>7.9044201155982388E-2</v>
      </c>
    </row>
    <row r="914" spans="7:8">
      <c r="G914" s="22" t="s">
        <v>271</v>
      </c>
      <c r="H914" s="21">
        <v>2.4530958992047627E-2</v>
      </c>
    </row>
    <row r="915" spans="7:8">
      <c r="G915" s="22" t="s">
        <v>272</v>
      </c>
      <c r="H915" s="21">
        <v>6.2841654174176975E-2</v>
      </c>
    </row>
    <row r="916" spans="7:8">
      <c r="G916" s="22" t="s">
        <v>273</v>
      </c>
      <c r="H916" s="21">
        <v>6.0570269116166982E-2</v>
      </c>
    </row>
    <row r="917" spans="7:8">
      <c r="G917" s="22" t="s">
        <v>274</v>
      </c>
      <c r="H917" s="21">
        <v>7.4501430949705669E-2</v>
      </c>
    </row>
    <row r="918" spans="7:8">
      <c r="G918" s="22" t="s">
        <v>275</v>
      </c>
      <c r="H918" s="21">
        <v>7.8741349693067786E-2</v>
      </c>
    </row>
    <row r="919" spans="7:8">
      <c r="G919" s="20" t="s">
        <v>353</v>
      </c>
      <c r="H919" s="21">
        <v>1.734720197058558E-2</v>
      </c>
    </row>
    <row r="920" spans="7:8">
      <c r="G920" s="20" t="s">
        <v>115</v>
      </c>
      <c r="H920" s="21"/>
    </row>
    <row r="921" spans="7:8">
      <c r="G921" s="22" t="s">
        <v>277</v>
      </c>
      <c r="H921" s="21">
        <v>0.22081413216494902</v>
      </c>
    </row>
    <row r="922" spans="7:8">
      <c r="G922" s="22" t="s">
        <v>278</v>
      </c>
      <c r="H922" s="21">
        <v>4.5362903163127431E-2</v>
      </c>
    </row>
    <row r="923" spans="7:8">
      <c r="G923" s="22" t="s">
        <v>279</v>
      </c>
      <c r="H923" s="21">
        <v>0.17521121356566607</v>
      </c>
    </row>
    <row r="924" spans="7:8">
      <c r="G924" s="22" t="s">
        <v>280</v>
      </c>
      <c r="H924" s="21">
        <v>1.2240783327655557E-2</v>
      </c>
    </row>
    <row r="925" spans="7:8">
      <c r="G925" s="22" t="s">
        <v>282</v>
      </c>
      <c r="H925" s="21">
        <v>6.0003840262214413E-2</v>
      </c>
    </row>
    <row r="926" spans="7:8">
      <c r="G926" s="22" t="s">
        <v>270</v>
      </c>
      <c r="H926" s="21">
        <v>3.6002304157328649E-2</v>
      </c>
    </row>
    <row r="927" spans="7:8">
      <c r="G927" s="22" t="s">
        <v>272</v>
      </c>
      <c r="H927" s="21">
        <v>0.16897081415693674</v>
      </c>
    </row>
    <row r="928" spans="7:8">
      <c r="G928" s="22" t="s">
        <v>273</v>
      </c>
      <c r="H928" s="21">
        <v>0.15538594465147185</v>
      </c>
    </row>
    <row r="929" spans="7:8">
      <c r="G929" s="22" t="s">
        <v>274</v>
      </c>
      <c r="H929" s="21">
        <v>5.4003456235992967E-2</v>
      </c>
    </row>
    <row r="930" spans="7:8">
      <c r="G930" s="22" t="s">
        <v>275</v>
      </c>
      <c r="H930" s="21">
        <v>7.2004608314657298E-2</v>
      </c>
    </row>
    <row r="931" spans="7:8">
      <c r="G931" s="20" t="s">
        <v>336</v>
      </c>
      <c r="H931" s="21">
        <v>3.1269566818534489E-3</v>
      </c>
    </row>
    <row r="932" spans="7:8">
      <c r="G932" s="20" t="s">
        <v>268</v>
      </c>
      <c r="H932" s="21">
        <v>1</v>
      </c>
    </row>
  </sheetData>
  <conditionalFormatting sqref="K616:K1048576">
    <cfRule type="colorScale" priority="18">
      <colorScale>
        <cfvo type="min"/>
        <cfvo type="percentile" val="50"/>
        <cfvo type="max"/>
        <color rgb="FFF8696B"/>
        <color rgb="FFFFEB84"/>
        <color rgb="FF63BE7B"/>
      </colorScale>
    </cfRule>
  </conditionalFormatting>
  <conditionalFormatting sqref="G1:G932">
    <cfRule type="colorScale" priority="17">
      <colorScale>
        <cfvo type="min"/>
        <cfvo type="percentile" val="50"/>
        <cfvo type="max"/>
        <color rgb="FFF8696B"/>
        <color rgb="FFFFEB84"/>
        <color rgb="FF63BE7B"/>
      </colorScale>
    </cfRule>
  </conditionalFormatting>
  <conditionalFormatting sqref="D1:D315">
    <cfRule type="colorScale" priority="16">
      <colorScale>
        <cfvo type="min"/>
        <cfvo type="percentile" val="50"/>
        <cfvo type="max"/>
        <color rgb="FFF8696B"/>
        <color rgb="FFFFEB84"/>
        <color rgb="FF63BE7B"/>
      </colorScale>
    </cfRule>
  </conditionalFormatting>
  <conditionalFormatting sqref="A1:A95 C1">
    <cfRule type="colorScale" priority="15">
      <colorScale>
        <cfvo type="min"/>
        <cfvo type="percentile" val="50"/>
        <cfvo type="max"/>
        <color rgb="FFF8696B"/>
        <color rgb="FFFFEB84"/>
        <color rgb="FF63BE7B"/>
      </colorScale>
    </cfRule>
  </conditionalFormatting>
  <conditionalFormatting sqref="C14">
    <cfRule type="colorScale" priority="12">
      <colorScale>
        <cfvo type="percent" val="0"/>
        <cfvo type="percentile" val="50"/>
        <cfvo type="percent" val="100"/>
        <color rgb="FFF8696B"/>
        <color rgb="FFFFEB84"/>
        <color rgb="FF63BE7B"/>
      </colorScale>
    </cfRule>
  </conditionalFormatting>
  <conditionalFormatting sqref="B1:B1048576">
    <cfRule type="dataBar" priority="8">
      <dataBar>
        <cfvo type="min"/>
        <cfvo type="max"/>
        <color rgb="FF008AEF"/>
      </dataBar>
      <extLst>
        <ext xmlns:x14="http://schemas.microsoft.com/office/spreadsheetml/2009/9/main" uri="{B025F937-C7B1-47D3-B67F-A62EFF666E3E}">
          <x14:id>{38CC03C6-F469-42AF-B6A8-0E93D2FC92DC}</x14:id>
        </ext>
      </extLst>
    </cfRule>
  </conditionalFormatting>
  <conditionalFormatting sqref="E1">
    <cfRule type="dataBar" priority="5">
      <dataBar>
        <cfvo type="min"/>
        <cfvo type="max"/>
        <color rgb="FF008AEF"/>
      </dataBar>
      <extLst>
        <ext xmlns:x14="http://schemas.microsoft.com/office/spreadsheetml/2009/9/main" uri="{B025F937-C7B1-47D3-B67F-A62EFF666E3E}">
          <x14:id>{86D9126C-644A-462D-B29A-B4BCD81CF90E}</x14:id>
        </ext>
      </extLst>
    </cfRule>
  </conditionalFormatting>
  <conditionalFormatting sqref="E1">
    <cfRule type="dataBar" priority="4">
      <dataBar>
        <cfvo type="min"/>
        <cfvo type="max"/>
        <color rgb="FF008AEF"/>
      </dataBar>
      <extLst>
        <ext xmlns:x14="http://schemas.microsoft.com/office/spreadsheetml/2009/9/main" uri="{B025F937-C7B1-47D3-B67F-A62EFF666E3E}">
          <x14:id>{05F55647-B71B-4FD9-B3E9-B887783A2599}</x14:id>
        </ext>
      </extLst>
    </cfRule>
  </conditionalFormatting>
  <conditionalFormatting sqref="J933:J1048576 H1:H932">
    <cfRule type="dataBar" priority="1">
      <dataBar>
        <cfvo type="min"/>
        <cfvo type="max"/>
        <color rgb="FF008AEF"/>
      </dataBar>
      <extLst>
        <ext xmlns:x14="http://schemas.microsoft.com/office/spreadsheetml/2009/9/main" uri="{B025F937-C7B1-47D3-B67F-A62EFF666E3E}">
          <x14:id>{DE88C58C-F42D-49A4-A525-C37835728E4A}</x14:id>
        </ext>
      </extLst>
    </cfRule>
  </conditionalFormatting>
  <conditionalFormatting sqref="G933:G1048576 E1">
    <cfRule type="dataBar" priority="19">
      <dataBar>
        <cfvo type="min"/>
        <cfvo type="max"/>
        <color rgb="FF008AEF"/>
      </dataBar>
      <extLst>
        <ext xmlns:x14="http://schemas.microsoft.com/office/spreadsheetml/2009/9/main" uri="{B025F937-C7B1-47D3-B67F-A62EFF666E3E}">
          <x14:id>{D8DF5426-2BA5-40DE-B59D-00BE909E18FC}</x14:id>
        </ext>
      </extLst>
    </cfRule>
  </conditionalFormatting>
  <conditionalFormatting sqref="G933:G1048576 E1:E461">
    <cfRule type="dataBar" priority="21">
      <dataBar>
        <cfvo type="min"/>
        <cfvo type="max"/>
        <color rgb="FF008AEF"/>
      </dataBar>
      <extLst>
        <ext xmlns:x14="http://schemas.microsoft.com/office/spreadsheetml/2009/9/main" uri="{B025F937-C7B1-47D3-B67F-A62EFF666E3E}">
          <x14:id>{D0912ED4-6E52-4D00-9DC6-DE88780D9CE3}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8CC03C6-F469-42AF-B6A8-0E93D2FC92DC}">
            <x14:dataBar minLength="0" maxLength="100" gradient="0">
              <x14:cfvo type="autoMin"/>
              <x14:cfvo type="autoMax"/>
              <x14:negativeFillColor rgb="FFFF0000"/>
              <x14:axisColor rgb="FF000000"/>
            </x14:dataBar>
          </x14:cfRule>
          <xm:sqref>B1:B1048576</xm:sqref>
        </x14:conditionalFormatting>
        <x14:conditionalFormatting xmlns:xm="http://schemas.microsoft.com/office/excel/2006/main">
          <x14:cfRule type="dataBar" id="{86D9126C-644A-462D-B29A-B4BCD81CF90E}">
            <x14:dataBar minLength="0" maxLength="100" gradient="0">
              <x14:cfvo type="autoMin"/>
              <x14:cfvo type="autoMax"/>
              <x14:negativeFillColor rgb="FFFF0000"/>
              <x14:axisColor rgb="FF000000"/>
            </x14:dataBar>
          </x14:cfRule>
          <xm:sqref>E1</xm:sqref>
        </x14:conditionalFormatting>
        <x14:conditionalFormatting xmlns:xm="http://schemas.microsoft.com/office/excel/2006/main">
          <x14:cfRule type="dataBar" id="{05F55647-B71B-4FD9-B3E9-B887783A2599}">
            <x14:dataBar minLength="0" maxLength="100" gradient="0">
              <x14:cfvo type="autoMin"/>
              <x14:cfvo type="autoMax"/>
              <x14:negativeFillColor rgb="FFFF0000"/>
              <x14:axisColor rgb="FF000000"/>
            </x14:dataBar>
          </x14:cfRule>
          <xm:sqref>E1</xm:sqref>
        </x14:conditionalFormatting>
        <x14:conditionalFormatting xmlns:xm="http://schemas.microsoft.com/office/excel/2006/main">
          <x14:cfRule type="dataBar" id="{DE88C58C-F42D-49A4-A525-C37835728E4A}">
            <x14:dataBar minLength="0" maxLength="100" gradient="0">
              <x14:cfvo type="autoMin"/>
              <x14:cfvo type="autoMax"/>
              <x14:negativeFillColor rgb="FFFF0000"/>
              <x14:axisColor rgb="FF000000"/>
            </x14:dataBar>
          </x14:cfRule>
          <xm:sqref>J933:J1048576 H1:H932</xm:sqref>
        </x14:conditionalFormatting>
        <x14:conditionalFormatting xmlns:xm="http://schemas.microsoft.com/office/excel/2006/main">
          <x14:cfRule type="dataBar" id="{D8DF5426-2BA5-40DE-B59D-00BE909E18FC}">
            <x14:dataBar minLength="0" maxLength="100" gradient="0">
              <x14:cfvo type="autoMin"/>
              <x14:cfvo type="autoMax"/>
              <x14:negativeFillColor rgb="FFFF0000"/>
              <x14:axisColor rgb="FF000000"/>
            </x14:dataBar>
          </x14:cfRule>
          <xm:sqref>G933:G1048576 E1</xm:sqref>
        </x14:conditionalFormatting>
        <x14:conditionalFormatting xmlns:xm="http://schemas.microsoft.com/office/excel/2006/main">
          <x14:cfRule type="dataBar" id="{D0912ED4-6E52-4D00-9DC6-DE88780D9CE3}">
            <x14:dataBar minLength="0" maxLength="100" gradient="0">
              <x14:cfvo type="autoMin"/>
              <x14:cfvo type="autoMax"/>
              <x14:negativeFillColor rgb="FFFF0000"/>
              <x14:axisColor rgb="FF000000"/>
            </x14:dataBar>
          </x14:cfRule>
          <xm:sqref>G933:G1048576 E1:E461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Category</vt:lpstr>
      <vt:lpstr>Orders</vt:lpstr>
      <vt:lpstr>Product</vt:lpstr>
      <vt:lpstr>OrderDetails</vt:lpstr>
      <vt:lpstr>Sales Performance Overview</vt:lpstr>
      <vt:lpstr>Sales Key Insights</vt:lpstr>
      <vt:lpstr>Sales Composition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مجید ایوزیان</dc:creator>
  <cp:lastModifiedBy>Asus</cp:lastModifiedBy>
  <cp:lastPrinted>2026-06-27T18:20:41Z</cp:lastPrinted>
  <dcterms:created xsi:type="dcterms:W3CDTF">2024-12-23T16:31:14Z</dcterms:created>
  <dcterms:modified xsi:type="dcterms:W3CDTF">2026-06-27T21:00:20Z</dcterms:modified>
</cp:coreProperties>
</file>